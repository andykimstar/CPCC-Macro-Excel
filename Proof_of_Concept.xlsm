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xml"/>
  <Override PartName="/xl/drawings/drawing7.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8.xml" ContentType="application/vnd.openxmlformats-officedocument.drawing+xml"/>
  <Override PartName="/xl/comments3.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charts/chart9.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1.xml" ContentType="application/vnd.openxmlformats-officedocument.drawingml.chartshapes+xml"/>
  <Override PartName="/xl/drawings/drawing12.xml" ContentType="application/vnd.openxmlformats-officedocument.drawing+xml"/>
  <Override PartName="/xl/charts/chart10.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defaultThemeVersion="166925"/>
  <mc:AlternateContent xmlns:mc="http://schemas.openxmlformats.org/markup-compatibility/2006">
    <mc:Choice Requires="x15">
      <x15ac:absPath xmlns:x15ac="http://schemas.microsoft.com/office/spreadsheetml/2010/11/ac" url="C:\Users\andyk\OneDrive\Desktop\CPCC\ProofConcept\2025 - January\"/>
    </mc:Choice>
  </mc:AlternateContent>
  <xr:revisionPtr revIDLastSave="0" documentId="13_ncr:1_{A34EC1EE-04F6-405B-A2DF-94224CF3AB76}" xr6:coauthVersionLast="47" xr6:coauthVersionMax="47" xr10:uidLastSave="{00000000-0000-0000-0000-000000000000}"/>
  <bookViews>
    <workbookView xWindow="-28920" yWindow="-60" windowWidth="29040" windowHeight="15720" tabRatio="792" xr2:uid="{03692767-995C-469D-BAAF-23F939F43B50}"/>
  </bookViews>
  <sheets>
    <sheet name="Orders" sheetId="1" r:id="rId1"/>
    <sheet name="On hold" sheetId="3" r:id="rId2"/>
    <sheet name="Customers" sheetId="2" r:id="rId3"/>
    <sheet name="Org #" sheetId="4" r:id="rId4"/>
    <sheet name="ID #" sheetId="5" r:id="rId5"/>
    <sheet name="Usage" sheetId="6" r:id="rId6"/>
    <sheet name="Media Requests" sheetId="9" r:id="rId7"/>
    <sheet name="Source Requests" sheetId="7" r:id="rId8"/>
    <sheet name="Strains Ordered" sheetId="8" r:id="rId9"/>
    <sheet name="Service Revenue Breakdown" sheetId="10" r:id="rId10"/>
    <sheet name="Users List" sheetId="11" r:id="rId11"/>
    <sheet name="Institution List" sheetId="12" r:id="rId12"/>
    <sheet name="User Growth" sheetId="13" r:id="rId13"/>
    <sheet name="Summary of Revenue" sheetId="14" r:id="rId14"/>
  </sheets>
  <externalReferences>
    <externalReference r:id="rId15"/>
  </externalReferences>
  <definedNames>
    <definedName name="_xlnm._FilterDatabase" localSheetId="2" hidden="1">Customers!$A$1:$U$191</definedName>
    <definedName name="_xlnm._FilterDatabase" localSheetId="4" hidden="1">'ID #'!$A$1:$E$135</definedName>
    <definedName name="_xlnm._FilterDatabase" localSheetId="11" hidden="1">'Institution List'!$A$53:$E$58</definedName>
    <definedName name="_xlnm._FilterDatabase" localSheetId="0" hidden="1">Orders!$A$1:$AL$336</definedName>
    <definedName name="_xlnm._FilterDatabase" localSheetId="8" hidden="1">'Strains Ordered'!$A$3:$G$412</definedName>
    <definedName name="_xlnm._FilterDatabase" localSheetId="10" hidden="1">'Users List'!$A$3:$G$3</definedName>
    <definedName name="_xlnm.Print_Area" localSheetId="8">'Strains Ordered'!$A$1:$R$756</definedName>
    <definedName name="_xlnm.Print_Area" localSheetId="13">'Summary of Revenue'!$A$1:$N$35</definedName>
    <definedName name="Z_01A9ED0B_DF24_45BC_95C5_BD91570C7C1E_.wvu.FilterData" localSheetId="2" hidden="1">Customers!$A$1:$U$61</definedName>
    <definedName name="Z_02F95D9C_9880_457B_9972_F76722A9E370_.wvu.FilterData" localSheetId="2" hidden="1">Customers!$A$1:$S$61</definedName>
    <definedName name="Z_05528C33_81D1_45A7_A460_70CE8864D203_.wvu.FilterData" localSheetId="2" hidden="1">Customers!$A$1:$U$61</definedName>
    <definedName name="Z_05528C33_81D1_45A7_A460_70CE8864D203_.wvu.Rows" localSheetId="2" hidden="1">Customers!$102230:$1048576,Customers!$287:$102222</definedName>
    <definedName name="Z_057E0097_33DE_4B2B_BD36_17C0CCF5847C_.wvu.FilterData" localSheetId="2" hidden="1">Customers!$A$1:$U$61</definedName>
    <definedName name="Z_077AF07C_3CA8_417A_A657_F2412F35ACDF_.wvu.FilterData" localSheetId="2" hidden="1">Customers!$A$1:$U$180</definedName>
    <definedName name="Z_077AF07C_3CA8_417A_A657_F2412F35ACDF_.wvu.FilterData" localSheetId="0" hidden="1">Orders!$A$1:$AL$259</definedName>
    <definedName name="Z_08D03B0A_8E61_4117_A8A3_A5F703F5FE7E_.wvu.FilterData" localSheetId="2" hidden="1">Customers!$A$1:$S$61</definedName>
    <definedName name="Z_0923159A_509D_449B_B04B_9A92226C9754_.wvu.FilterData" localSheetId="2" hidden="1">Customers!$A$1:$S$61</definedName>
    <definedName name="Z_0960C364_9CA6_4FD7_A278_5A992568229E_.wvu.FilterData" localSheetId="2" hidden="1">Customers!$A$1:$S$61</definedName>
    <definedName name="Z_09E13CF3_994B_4C7A_8D39_4A84F42F53E1_.wvu.FilterData" localSheetId="2" hidden="1">Customers!$A$1:$S$61</definedName>
    <definedName name="Z_0AC0AC00_4CD0_466F_B0BF_D32BD23637F7_.wvu.FilterData" localSheetId="2" hidden="1">Customers!$A$1:$U$61</definedName>
    <definedName name="Z_0B08DF90_F04A_4C4D_8084_580C07F70199_.wvu.FilterData" localSheetId="2" hidden="1">Customers!$A$1:$S$61</definedName>
    <definedName name="Z_0B1D28B4_1BF9_4C1E_90EE_577173195559_.wvu.FilterData" localSheetId="2" hidden="1">Customers!$A$1:$S$61</definedName>
    <definedName name="Z_0D3CB70A_7918_41EC_B348_1B5F1FD005E3_.wvu.FilterData" localSheetId="2" hidden="1">Customers!$A$1:$S$61</definedName>
    <definedName name="Z_0D993734_4F35_4C44_BA7B_20897744AB28_.wvu.FilterData" localSheetId="2" hidden="1">Customers!$A$1:$U$178</definedName>
    <definedName name="Z_0D993734_4F35_4C44_BA7B_20897744AB28_.wvu.FilterData" localSheetId="4" hidden="1">'ID #'!$A$1:$E$135</definedName>
    <definedName name="Z_0D993734_4F35_4C44_BA7B_20897744AB28_.wvu.FilterData" localSheetId="1" hidden="1">'On hold'!#REF!</definedName>
    <definedName name="Z_0D993734_4F35_4C44_BA7B_20897744AB28_.wvu.FilterData" localSheetId="0" hidden="1">Orders!$A$1:$AL$259</definedName>
    <definedName name="Z_0DE98C9D_E335_4C06_AAEB_33F1171558A6_.wvu.FilterData" localSheetId="2" hidden="1">Customers!$A$1:$U$61</definedName>
    <definedName name="Z_0E11D8A9_A469_4618_A9B9_0D5F8A11F0BF_.wvu.FilterData" localSheetId="2" hidden="1">Customers!$A$1:$U$61</definedName>
    <definedName name="Z_0E5EE264_C8FC_4764_8B42_F3DB4AEA807A_.wvu.FilterData" localSheetId="1" hidden="1">'On hold'!#REF!</definedName>
    <definedName name="Z_0E5EE264_C8FC_4764_8B42_F3DB4AEA807A_.wvu.FilterData" localSheetId="0" hidden="1">Orders!$A$1:$AL$259</definedName>
    <definedName name="Z_0E9573DA_D165_496C_9E82_9C98BAD92894_.wvu.FilterData" localSheetId="2" hidden="1">Customers!$A$1:$U$61</definedName>
    <definedName name="Z_0EE401EF_EF2A_4A4F_8695_D23417B14CF5_.wvu.FilterData" localSheetId="2" hidden="1">Customers!$A$1:$S$61</definedName>
    <definedName name="Z_123A840E_CECF_4A73_876C_919943E25806_.wvu.FilterData" localSheetId="2" hidden="1">Customers!$A$1:$S$61</definedName>
    <definedName name="Z_124BF050_F22C_4F7D_A2BC_3F774D571E76_.wvu.FilterData" localSheetId="2" hidden="1">Customers!$A$1:$S$61</definedName>
    <definedName name="Z_14504AF7_F861_4D4C_A7C6_AE281F642BC2_.wvu.FilterData" localSheetId="2" hidden="1">Customers!$A$1:$S$61</definedName>
    <definedName name="Z_15042D90_A4DD_46E7_B47C_0F7695D8CCC8_.wvu.FilterData" localSheetId="2" hidden="1">Customers!$A$1:$S$61</definedName>
    <definedName name="Z_15598311_1152_468C_84E0_348B1304630A_.wvu.FilterData" localSheetId="2" hidden="1">Customers!$A$1:$U$61</definedName>
    <definedName name="Z_15823CD8_9372_4471_AB2E_68C8953A334B_.wvu.FilterData" localSheetId="2" hidden="1">Customers!$A$1:$S$61</definedName>
    <definedName name="Z_15C8DA3E_2EF4_4BC5_92A8_C0B70D8C441A_.wvu.FilterData" localSheetId="2" hidden="1">Customers!$A$1:$U$61</definedName>
    <definedName name="Z_1799C562_102A_42C2_A2C3_FEEFF25DD9AC_.wvu.FilterData" localSheetId="2" hidden="1">Customers!$A$1:$U$61</definedName>
    <definedName name="Z_194239DF_280C_4DAF_98C0_350A50D89FAC_.wvu.FilterData" localSheetId="2" hidden="1">Customers!$A$1:$U$61</definedName>
    <definedName name="Z_1AD01311_D277_466A_B767_905BB0CA98E9_.wvu.FilterData" localSheetId="2" hidden="1">Customers!$A$1:$U$179</definedName>
    <definedName name="Z_1AD01311_D277_466A_B767_905BB0CA98E9_.wvu.FilterData" localSheetId="1" hidden="1">'On hold'!#REF!</definedName>
    <definedName name="Z_1AD01311_D277_466A_B767_905BB0CA98E9_.wvu.FilterData" localSheetId="0" hidden="1">Orders!$A$1:$AL$259</definedName>
    <definedName name="Z_1AE23285_86A9_4A77_9351_73BF4DD6A940_.wvu.FilterData" localSheetId="2" hidden="1">Customers!$A$1:$W$2483</definedName>
    <definedName name="Z_1AEA102B_6DBD_4CD1_BA6E_9F478DB9BFC7_.wvu.FilterData" localSheetId="2" hidden="1">Customers!$A$1:$U$156</definedName>
    <definedName name="Z_1AEA102B_6DBD_4CD1_BA6E_9F478DB9BFC7_.wvu.FilterData" localSheetId="4" hidden="1">'ID #'!$A$1:$E$110</definedName>
    <definedName name="Z_1AEA102B_6DBD_4CD1_BA6E_9F478DB9BFC7_.wvu.FilterData" localSheetId="1" hidden="1">'On hold'!#REF!</definedName>
    <definedName name="Z_1AEA102B_6DBD_4CD1_BA6E_9F478DB9BFC7_.wvu.FilterData" localSheetId="0" hidden="1">Orders!$F$1:$F$259</definedName>
    <definedName name="Z_1AECDBD6_9BD8_4393_BCCF_F168F1FC0F97_.wvu.FilterData" localSheetId="2" hidden="1">Customers!$A$1:$S$61</definedName>
    <definedName name="Z_1BA288E8_DE1B_4AE5_B9CC_08AD6EF1B6D5_.wvu.FilterData" localSheetId="2" hidden="1">Customers!$A$1:$U$61</definedName>
    <definedName name="Z_1C9072EB_FA12_43C0_980C_9D14D7786DF9_.wvu.FilterData" localSheetId="2" hidden="1">Customers!$A$1:$U$61</definedName>
    <definedName name="Z_1DAF1A10_DA54_4220_9DB7_3122C2B5263E_.wvu.FilterData" localSheetId="2" hidden="1">Customers!$A$1:$S$61</definedName>
    <definedName name="Z_2114B382_337F_4637_B32C_82E2B221955C_.wvu.FilterData" localSheetId="2" hidden="1">Customers!$A$1:$S$61</definedName>
    <definedName name="Z_22E40B9B_9B12_458E_B0C1_6A876723E597_.wvu.FilterData" localSheetId="2" hidden="1">Customers!$A$1:$U$61</definedName>
    <definedName name="Z_2419ABDE_184A_4CB7_BFA3_1B7A654C3CE9_.wvu.FilterData" localSheetId="2" hidden="1">Customers!$A$1:$S$61</definedName>
    <definedName name="Z_24BE4DF7_DBEE_40E5_9A1F_B10B4AA37C62_.wvu.FilterData" localSheetId="2" hidden="1">Customers!$A$1:$S$61</definedName>
    <definedName name="Z_281EBCF3_41A1_4872_B40E_31B6680B090A_.wvu.FilterData" localSheetId="2" hidden="1">Customers!$A$1:$U$61</definedName>
    <definedName name="Z_2A175F4B_C9FD_4B74_8608_E1D4C540EE97_.wvu.FilterData" localSheetId="2" hidden="1">Customers!$A$1:$U$61</definedName>
    <definedName name="Z_2B05B75E_1159_4FAD_881B_C88147567992_.wvu.FilterData" localSheetId="2" hidden="1">Customers!$A$1:$U$61</definedName>
    <definedName name="Z_2BDDF1AE_08F3_4261_9F07_BBAEEE93AA57_.wvu.FilterData" localSheetId="2" hidden="1">Customers!$A$1:$U$61</definedName>
    <definedName name="Z_2C285736_9C2F_4A1D_A991_11EED5720846_.wvu.FilterData" localSheetId="2" hidden="1">Customers!$A$1:$S$61</definedName>
    <definedName name="Z_2C789CCB_A212_4045_88A9_45B975A84EEF_.wvu.FilterData" localSheetId="2" hidden="1">Customers!$A$1:$U$61</definedName>
    <definedName name="Z_2CE26DFD_34E3_4C8A_808A_DB6470A099B6_.wvu.FilterData" localSheetId="2" hidden="1">Customers!$A$1:$U$61</definedName>
    <definedName name="Z_2DF807C0_75DF_42B8_B2EF_239E53F08F33_.wvu.FilterData" localSheetId="2" hidden="1">Customers!$A$1:$U$61</definedName>
    <definedName name="Z_2E463966_C10E_477C_BD6C_14F7863FBF3B_.wvu.FilterData" localSheetId="2" hidden="1">Customers!$A$1:$S$61</definedName>
    <definedName name="Z_2F4FA9EA_D9E2_44D1_B53F_18367CB65DF1_.wvu.FilterData" localSheetId="2" hidden="1">Customers!$A$1:$S$61</definedName>
    <definedName name="Z_306673A5_8853_4D54_9E7B_5C4819A024FE_.wvu.FilterData" localSheetId="2" hidden="1">Customers!$A$1:$S$61</definedName>
    <definedName name="Z_30A83E4E_E6C5_4F24_98DA_533CED76E622_.wvu.FilterData" localSheetId="2" hidden="1">Customers!$A$1:$U$61</definedName>
    <definedName name="Z_316CCF29_8DC1_492E_A72A_C26D3EBE6A98_.wvu.FilterData" localSheetId="2" hidden="1">Customers!$A$1:$S$61</definedName>
    <definedName name="Z_324714AB_B2F4_4375_ABCE_41BA37806584_.wvu.FilterData" localSheetId="2" hidden="1">Customers!$A$1:$S$61</definedName>
    <definedName name="Z_32A79AA1_35E2_4CED_B6CA_89DCF42176EF_.wvu.FilterData" localSheetId="2" hidden="1">Customers!$A$1:$S$61</definedName>
    <definedName name="Z_3476D1ED_414E_421D_A55E_FD958431708C_.wvu.FilterData" localSheetId="2" hidden="1">Customers!$A$1:$U$179</definedName>
    <definedName name="Z_3476D1ED_414E_421D_A55E_FD958431708C_.wvu.FilterData" localSheetId="4" hidden="1">'ID #'!$A$1:$E$135</definedName>
    <definedName name="Z_3476D1ED_414E_421D_A55E_FD958431708C_.wvu.FilterData" localSheetId="1" hidden="1">'On hold'!#REF!</definedName>
    <definedName name="Z_3476D1ED_414E_421D_A55E_FD958431708C_.wvu.FilterData" localSheetId="0" hidden="1">Orders!$A$1:$AL$259</definedName>
    <definedName name="Z_34C4FF3F_E12F_4760_BA5C_2893A4C126A5_.wvu.FilterData" localSheetId="2" hidden="1">Customers!$A$1:$S$61</definedName>
    <definedName name="Z_34C6109E_11DB_4B69_9DBA_067FF3968B53_.wvu.FilterData" localSheetId="2" hidden="1">Customers!$A$1:$S$61</definedName>
    <definedName name="Z_3540A52E_4019_4432_A26D_DAC8FAE6758F_.wvu.FilterData" localSheetId="2" hidden="1">Customers!$A$1:$S$61</definedName>
    <definedName name="Z_3623BE9F_A0A7_46A6_B6DF_607669F26A7D_.wvu.FilterData" localSheetId="2" hidden="1">Customers!$A$1:$S$61</definedName>
    <definedName name="Z_36B40A71_971C_4EAC_9D4E_62949657AB75_.wvu.FilterData" localSheetId="2" hidden="1">Customers!$A$1:$S$61</definedName>
    <definedName name="Z_370B9E45_FA7A_41A6_8D39_B71F41D85158_.wvu.FilterData" localSheetId="2" hidden="1">Customers!$A$1:$S$61</definedName>
    <definedName name="Z_37C6D458_6DDB_412D_B316_D74E013577B2_.wvu.FilterData" localSheetId="2" hidden="1">Customers!$A$1:$S$61</definedName>
    <definedName name="Z_3B089370_2288_479E_9BB2_BF14C1D6CEA9_.wvu.FilterData" localSheetId="2" hidden="1">Customers!$A$1:$S$61</definedName>
    <definedName name="Z_3C323939_F1BA_489D_B4EE_5A4359D68188_.wvu.FilterData" localSheetId="2" hidden="1">Customers!$A$1:$S$61</definedName>
    <definedName name="Z_3E1217D1_5DB2_4689_91CE_36C40822EB7A_.wvu.FilterData" localSheetId="1" hidden="1">'On hold'!#REF!</definedName>
    <definedName name="Z_3E1217D1_5DB2_4689_91CE_36C40822EB7A_.wvu.FilterData" localSheetId="0" hidden="1">Orders!$A$1:$AL$259</definedName>
    <definedName name="Z_3E213671_A931_45FE_9AC4_0A2C97A5D2B7_.wvu.FilterData" localSheetId="2" hidden="1">Customers!$A$1:$U$61</definedName>
    <definedName name="Z_3E9A1E51_561E_4222_9605_530749114E8A_.wvu.FilterData" localSheetId="2" hidden="1">Customers!$A$1:$S$61</definedName>
    <definedName name="Z_4083537B_0172_4FFF_8F2D_F24814047D47_.wvu.FilterData" localSheetId="2" hidden="1">Customers!$A$1:$S$61</definedName>
    <definedName name="Z_412A4B1B_D285_4C50_92C0_19ECD33BC978_.wvu.FilterData" localSheetId="2" hidden="1">Customers!$A$1:$S$61</definedName>
    <definedName name="Z_425248A7_D3C2_4C6B_9853_C529D94E6B40_.wvu.FilterData" localSheetId="2" hidden="1">Customers!$A$1:$S$61</definedName>
    <definedName name="Z_43FBAD0C_F5C4_403F_B74C_2F2636A1D604_.wvu.FilterData" localSheetId="2" hidden="1">Customers!$A$1:$S$61</definedName>
    <definedName name="Z_468859DD_C66A_45E6_9F76_8EA2A3F08247_.wvu.FilterData" localSheetId="2" hidden="1">Customers!$A$1:$S$61</definedName>
    <definedName name="Z_470CDEEE_11EC_48E7_8E95_D12D877354A6_.wvu.FilterData" localSheetId="2" hidden="1">Customers!$A$1:$S$61</definedName>
    <definedName name="Z_47856320_3AD9_4A28_8CFF_27894B676034_.wvu.FilterData" localSheetId="2" hidden="1">Customers!$A$1:$S$61</definedName>
    <definedName name="Z_4846F672_B67F_413A_BBA0_4A1983FB36E6_.wvu.FilterData" localSheetId="2" hidden="1">Customers!$A$1:$U$61</definedName>
    <definedName name="Z_48586E95_DDF9_47AC_8A2F_5DEC849D1E97_.wvu.FilterData" localSheetId="2" hidden="1">Customers!$A$1:$S$61</definedName>
    <definedName name="Z_487FDA64_43FD_491A_993D_C0549FA677C1_.wvu.FilterData" localSheetId="2" hidden="1">Customers!$A$1:$S$61</definedName>
    <definedName name="Z_4963D636_DCCD_4ADA_89EE_AD3D889BB7EE_.wvu.FilterData" localSheetId="2" hidden="1">Customers!$A$1:$S$61</definedName>
    <definedName name="Z_4C71DC0B_4B59_4445_AE93_0F33FA4E1EBB_.wvu.PrintArea" localSheetId="13" hidden="1">'Summary of Revenue'!$A$1:$M$32</definedName>
    <definedName name="Z_4D5A2795_8F31_47BB_ACC8_92A07E30D455_.wvu.FilterData" localSheetId="2" hidden="1">Customers!$A$1:$S$61</definedName>
    <definedName name="Z_4DDC7EDA_20B8_4A15_8983_4F27A2B105AD_.wvu.FilterData" localSheetId="2" hidden="1">Customers!$A$1:$S$61</definedName>
    <definedName name="Z_4EDED74A_5528_41CF_8F9F_E98F9D8CA65C_.wvu.FilterData" localSheetId="2" hidden="1">Customers!$A$1:$S$61</definedName>
    <definedName name="Z_50B08817_9ABC_4295_B994_DDDF0A420FEC_.wvu.PrintArea" localSheetId="13" hidden="1">'Summary of Revenue'!$A$1:$M$32</definedName>
    <definedName name="Z_51E5D74B_F291_46F6_B698_D90CE9852D03_.wvu.FilterData" localSheetId="2" hidden="1">Customers!$A$1:$S$61</definedName>
    <definedName name="Z_548959B7_DF27_4650_B9F0_80D0E703904F_.wvu.FilterData" localSheetId="1" hidden="1">'On hold'!#REF!</definedName>
    <definedName name="Z_548959B7_DF27_4650_B9F0_80D0E703904F_.wvu.FilterData" localSheetId="0" hidden="1">Orders!$A$1:$AL$259</definedName>
    <definedName name="Z_582082FC_4C99_492A_AB81_4007805B363B_.wvu.FilterData" localSheetId="1" hidden="1">'On hold'!#REF!</definedName>
    <definedName name="Z_582082FC_4C99_492A_AB81_4007805B363B_.wvu.FilterData" localSheetId="0" hidden="1">Orders!$A$1:$AL$259</definedName>
    <definedName name="Z_58FD9CCC_7081_4857_9A4B_31C1BA501EE7_.wvu.FilterData" localSheetId="2" hidden="1">Customers!$A$1:$S$61</definedName>
    <definedName name="Z_5A8E5D63_870B_4A69_A5FB_8873D537B2DF_.wvu.FilterData" localSheetId="2" hidden="1">Customers!$A$1:$S$61</definedName>
    <definedName name="Z_5AA4A117_B40E_4924_BC02_F750133941D1_.wvu.FilterData" localSheetId="2" hidden="1">Customers!$A$1:$S$61</definedName>
    <definedName name="Z_5C032D29_7B83_43D6_ADEE_2028F32B8855_.wvu.FilterData" localSheetId="2" hidden="1">Customers!$A$1:$S$61</definedName>
    <definedName name="Z_5D355267_9CE9_4BF8_BCC4_C88E40FC64B0_.wvu.FilterData" localSheetId="2" hidden="1">Customers!$A$1:$W$2483</definedName>
    <definedName name="Z_5D4B7B92_2F63_4BEB_9322_2CC963193A86_.wvu.FilterData" localSheetId="2" hidden="1">Customers!$A$1:$S$61</definedName>
    <definedName name="Z_5D6FF941_63E5_4376_B36C_F4F88CB68C56_.wvu.FilterData" localSheetId="2" hidden="1">Customers!$A$1:$S$61</definedName>
    <definedName name="Z_5D7CC3A6_11B9_416E_82C1_DA3C09520413_.wvu.FilterData" localSheetId="2" hidden="1">Customers!$A$1:$S$61</definedName>
    <definedName name="Z_5E5DA5CA_A490_41B5_9A95_C2C8D7349E3C_.wvu.FilterData" localSheetId="2" hidden="1">Customers!$A$1:$U$61</definedName>
    <definedName name="Z_5F737016_1628_4558_9596_ABEBBAE3F31F_.wvu.FilterData" localSheetId="2" hidden="1">Customers!$A$1:$U$61</definedName>
    <definedName name="Z_5F8FD084_40FB_49AA_B447_CD935F604D55_.wvu.Cols" localSheetId="0" hidden="1">Orders!$AM:$AEH</definedName>
    <definedName name="Z_5F8FD084_40FB_49AA_B447_CD935F604D55_.wvu.Cols" localSheetId="8" hidden="1">'Strains Ordered'!$G:$G</definedName>
    <definedName name="Z_5F8FD084_40FB_49AA_B447_CD935F604D55_.wvu.FilterData" localSheetId="2" hidden="1">Customers!$A$1:$U$191</definedName>
    <definedName name="Z_5F8FD084_40FB_49AA_B447_CD935F604D55_.wvu.FilterData" localSheetId="4" hidden="1">'ID #'!$A$1:$E$135</definedName>
    <definedName name="Z_5F8FD084_40FB_49AA_B447_CD935F604D55_.wvu.FilterData" localSheetId="0" hidden="1">Orders!$A$1:$AL$336</definedName>
    <definedName name="Z_5F8FD084_40FB_49AA_B447_CD935F604D55_.wvu.FilterData" localSheetId="8" hidden="1">'Strains Ordered'!$A$3:$F$3</definedName>
    <definedName name="Z_5F8FD084_40FB_49AA_B447_CD935F604D55_.wvu.FilterData" localSheetId="10" hidden="1">'Users List'!$A$3:$G$3</definedName>
    <definedName name="Z_5F8FD084_40FB_49AA_B447_CD935F604D55_.wvu.PrintArea" localSheetId="8" hidden="1">'Strains Ordered'!$A$1:$P$756</definedName>
    <definedName name="Z_5F8FD084_40FB_49AA_B447_CD935F604D55_.wvu.PrintArea" localSheetId="13" hidden="1">'Summary of Revenue'!$A$1:$N$35</definedName>
    <definedName name="Z_5F8FD084_40FB_49AA_B447_CD935F604D55_.wvu.Rows" localSheetId="2" hidden="1">Customers!$343:$1048576,Customers!$218:$319</definedName>
    <definedName name="Z_5FD7D287_AC38_49FE_8AA5_C4506E353DCC_.wvu.Cols" localSheetId="0" hidden="1">Orders!$AM:$AEH</definedName>
    <definedName name="Z_5FD7D287_AC38_49FE_8AA5_C4506E353DCC_.wvu.Cols" localSheetId="8" hidden="1">'Strains Ordered'!$G:$G</definedName>
    <definedName name="Z_5FD7D287_AC38_49FE_8AA5_C4506E353DCC_.wvu.FilterData" localSheetId="2" hidden="1">Customers!$A$1:$U$191</definedName>
    <definedName name="Z_5FD7D287_AC38_49FE_8AA5_C4506E353DCC_.wvu.FilterData" localSheetId="4" hidden="1">'ID #'!$A$1:$E$135</definedName>
    <definedName name="Z_5FD7D287_AC38_49FE_8AA5_C4506E353DCC_.wvu.FilterData" localSheetId="11" hidden="1">'Institution List'!$A$24:$E$27</definedName>
    <definedName name="Z_5FD7D287_AC38_49FE_8AA5_C4506E353DCC_.wvu.FilterData" localSheetId="0" hidden="1">Orders!$A$1:$AL$336</definedName>
    <definedName name="Z_5FD7D287_AC38_49FE_8AA5_C4506E353DCC_.wvu.FilterData" localSheetId="8" hidden="1">'Strains Ordered'!$A$3:$F$3</definedName>
    <definedName name="Z_5FD7D287_AC38_49FE_8AA5_C4506E353DCC_.wvu.FilterData" localSheetId="10" hidden="1">'Users List'!$A$3:$G$3</definedName>
    <definedName name="Z_5FD7D287_AC38_49FE_8AA5_C4506E353DCC_.wvu.PrintArea" localSheetId="8" hidden="1">'Strains Ordered'!$A$1:$P$756</definedName>
    <definedName name="Z_5FD7D287_AC38_49FE_8AA5_C4506E353DCC_.wvu.PrintArea" localSheetId="13" hidden="1">'Summary of Revenue'!$A$1:$N$35</definedName>
    <definedName name="Z_5FD7D287_AC38_49FE_8AA5_C4506E353DCC_.wvu.Rows" localSheetId="2" hidden="1">Customers!$343:$1048576,Customers!$218:$319</definedName>
    <definedName name="Z_61028C94_EC3D_4C20_8587_5C2D7CF66B0D_.wvu.FilterData" localSheetId="2" hidden="1">Customers!$A$1:$U$61</definedName>
    <definedName name="Z_6112D39A_D932_4373_AA5F_CA9E1F611F69_.wvu.FilterData" localSheetId="2" hidden="1">Customers!$A$1:$S$61</definedName>
    <definedName name="Z_62678150_DA72_40CB_A903_43E060994270_.wvu.FilterData" localSheetId="2" hidden="1">Customers!$A$1:$S$61</definedName>
    <definedName name="Z_651A610F_F1CE_4C44_9685_22EBACADEDBD_.wvu.FilterData" localSheetId="2" hidden="1">Customers!$A$1:$S$61</definedName>
    <definedName name="Z_66E99DA6_1006_433E_AB37_03DEFD871E54_.wvu.FilterData" localSheetId="2" hidden="1">Customers!$A$1:$S$61</definedName>
    <definedName name="Z_6B913906_3132_4382_AEB9_4DA58EA4F9C1_.wvu.FilterData" localSheetId="2" hidden="1">Customers!$A$1:$U$61</definedName>
    <definedName name="Z_6DFFCFF9_7E6B_4E5B_8DBC_E885F25DAB6E_.wvu.FilterData" localSheetId="2" hidden="1">Customers!$A$1:$S$61</definedName>
    <definedName name="Z_6E05751F_B490_4DE6_81C1_5B38484F0E7F_.wvu.FilterData" localSheetId="2" hidden="1">Customers!$A$1:$U$61</definedName>
    <definedName name="Z_6E48F2D2_A9AF_4176_80B8_F981C335E967_.wvu.FilterData" localSheetId="2" hidden="1">Customers!$A$1:$S$61</definedName>
    <definedName name="Z_71DCFA3D_3C4F_41D9_ABE2_D53D85709596_.wvu.FilterData" localSheetId="2" hidden="1">Customers!$A$1:$U$176</definedName>
    <definedName name="Z_71DCFA3D_3C4F_41D9_ABE2_D53D85709596_.wvu.FilterData" localSheetId="4" hidden="1">'ID #'!$A$1:$E$135</definedName>
    <definedName name="Z_71DCFA3D_3C4F_41D9_ABE2_D53D85709596_.wvu.FilterData" localSheetId="1" hidden="1">'On hold'!#REF!</definedName>
    <definedName name="Z_71DCFA3D_3C4F_41D9_ABE2_D53D85709596_.wvu.FilterData" localSheetId="0" hidden="1">Orders!$A$1:$AL$259</definedName>
    <definedName name="Z_75958685_2ED6_4950_8802_F55AD9E07E94_.wvu.FilterData" localSheetId="2" hidden="1">Customers!$A$1:$U$61</definedName>
    <definedName name="Z_769A061D_6837_457A_A465_ABDEBF33B437_.wvu.FilterData" localSheetId="1" hidden="1">'On hold'!#REF!</definedName>
    <definedName name="Z_769A061D_6837_457A_A465_ABDEBF33B437_.wvu.FilterData" localSheetId="0" hidden="1">Orders!$A$1:$AL$259</definedName>
    <definedName name="Z_76CA1261_981D_4342_B54B_24F92BB0F2C8_.wvu.FilterData" localSheetId="2" hidden="1">Customers!$A$1:$U$61</definedName>
    <definedName name="Z_76CA1261_981D_4342_B54B_24F92BB0F2C8_.wvu.Rows" localSheetId="2" hidden="1">Customers!$74:$1048576</definedName>
    <definedName name="Z_77C2B1C4_8E2B_4F7E_B4FF_A1F73C4F05D8_.wvu.FilterData" localSheetId="2" hidden="1">Customers!$A$1:$S$61</definedName>
    <definedName name="Z_7989B9FC_7D65_40E3_AA6D_B218CFDF472C_.wvu.FilterData" localSheetId="2" hidden="1">Customers!$A$1:$S$61</definedName>
    <definedName name="Z_79C86C3F_8A41_445C_88F0_1AA10DDDF500_.wvu.FilterData" localSheetId="2" hidden="1">Customers!$A$1:$U$61</definedName>
    <definedName name="Z_7D8886C8_3527_4B7C_B4D6_7D2470DD848E_.wvu.FilterData" localSheetId="1" hidden="1">'On hold'!#REF!</definedName>
    <definedName name="Z_7D8886C8_3527_4B7C_B4D6_7D2470DD848E_.wvu.FilterData" localSheetId="0" hidden="1">Orders!$A$1:$AL$259</definedName>
    <definedName name="Z_7E5F60A6_C835_4D0C_97F2_A0672DFFE4A5_.wvu.FilterData" localSheetId="2" hidden="1">Customers!$A$1:$S$61</definedName>
    <definedName name="Z_7E6F529A_D922_44B0_84DD_BEAD72A89823_.wvu.FilterData" localSheetId="2" hidden="1">Customers!$A$1:$U$61</definedName>
    <definedName name="Z_7EA94C34_7DE8_4E6F_A571_D2D6AF9D6638_.wvu.FilterData" localSheetId="2" hidden="1">Customers!$A$1:$S$61</definedName>
    <definedName name="Z_8241C455_1A83_45A6_B9A1_57D4239D6E2B_.wvu.FilterData" localSheetId="2" hidden="1">Customers!$A$1:$S$61</definedName>
    <definedName name="Z_832C7CDD_5CCF_4C1C_87C7_6A0C86FE0CAF_.wvu.FilterData" localSheetId="2" hidden="1">Customers!$A$1:$S$61</definedName>
    <definedName name="Z_83907747_92A3_4C32_9FC9_3E7BFD6E2505_.wvu.FilterData" localSheetId="2" hidden="1">Customers!$A$1:$S$61</definedName>
    <definedName name="Z_8396BDF8_F576_470C_A81C_1EA8BCA3FADC_.wvu.FilterData" localSheetId="2" hidden="1">Customers!$A$1:$S$61</definedName>
    <definedName name="Z_85055D39_69F2_49AB_82A1_EFD555E119FB_.wvu.FilterData" localSheetId="2" hidden="1">Customers!$A$1:$U$61</definedName>
    <definedName name="Z_86D469F2_00F2_44FD_AEB7_59F0F94BAE09_.wvu.FilterData" localSheetId="2" hidden="1">Customers!$A$1:$S$61</definedName>
    <definedName name="Z_8834B401_3F8B_4CEA_823A_F19A2DA96C01_.wvu.FilterData" localSheetId="2" hidden="1">Customers!$A$1:$S$61</definedName>
    <definedName name="Z_89C66BF5_C0A1_4CFD_AD19_1E58ECA01EA1_.wvu.FilterData" localSheetId="2" hidden="1">Customers!$A$1:$U$61</definedName>
    <definedName name="Z_8B27CCA8_E5B8_4637_ADE7_402FB774F222_.wvu.FilterData" localSheetId="2" hidden="1">Customers!$A$1:$S$61</definedName>
    <definedName name="Z_8CDD90CC_0CC7_4679_9965_DE0B86822325_.wvu.FilterData" localSheetId="2" hidden="1">Customers!$A$1:$U$61</definedName>
    <definedName name="Z_8DC17055_2F6A_4516_A1BC_73A2734C9422_.wvu.FilterData" localSheetId="2" hidden="1">Customers!$A$1:$S$61</definedName>
    <definedName name="Z_8EA42E50_CBDD_4E0E_B100_FB8C5BE4E297_.wvu.FilterData" localSheetId="2" hidden="1">Customers!$A$1:$S$61</definedName>
    <definedName name="Z_8F272701_50D5_414B_A961_A01B753451D3_.wvu.FilterData" localSheetId="2" hidden="1">Customers!$A$1:$S$61</definedName>
    <definedName name="Z_90BD4742_A9F2_482E_8842_CC9BF662BE13_.wvu.FilterData" localSheetId="2" hidden="1">Customers!$A$1:$S$61</definedName>
    <definedName name="Z_91F889FB_5D80_4D29_8576_CE3754F7DBE2_.wvu.FilterData" localSheetId="2" hidden="1">Customers!$A$1:$S$61</definedName>
    <definedName name="Z_93361748_839A_4107_B4F5_87CEA8DF8B7E_.wvu.FilterData" localSheetId="2" hidden="1">Customers!$A$1:$U$61</definedName>
    <definedName name="Z_9386D3D8_8B03_4890_9964_EE98771801EE_.wvu.FilterData" localSheetId="2" hidden="1">Customers!$A$1:$U$61</definedName>
    <definedName name="Z_93B2C922_875B_4450_BA8B_FE17285ED150_.wvu.FilterData" localSheetId="2" hidden="1">Customers!$A$1:$S$61</definedName>
    <definedName name="Z_95F3D5D3_9E15_45C5_ABC4_CB8B382FD3B2_.wvu.FilterData" localSheetId="2" hidden="1">Customers!$A$1:$S$61</definedName>
    <definedName name="Z_9890A177_916A_408F_88AB_46B74E449144_.wvu.FilterData" localSheetId="2" hidden="1">Customers!$A$1:$S$61</definedName>
    <definedName name="Z_9A6D2FE5_57F1_4D88_AB42_8AC52CABDC1A_.wvu.FilterData" localSheetId="2" hidden="1">Customers!$A$1:$U$61</definedName>
    <definedName name="Z_9C545442_9149_484D_BF6D_BF1F494D9D6C_.wvu.FilterData" localSheetId="2" hidden="1">Customers!$A$1:$S$61</definedName>
    <definedName name="Z_9C6617EE_E8B3_4877_8B49_774D8089485D_.wvu.FilterData" localSheetId="2" hidden="1">Customers!$A$1:$U$61</definedName>
    <definedName name="Z_9E444562_391C_4695_AA62_3DC8398021E8_.wvu.FilterData" localSheetId="2" hidden="1">Customers!$A$1:$S$61</definedName>
    <definedName name="Z_9ED3C2DD_9D6D_4642_BB0A_C41F55D70C47_.wvu.FilterData" localSheetId="2" hidden="1">Customers!$A$1:$S$61</definedName>
    <definedName name="Z_9EDCA6FE_65AE_4755_94CD_99468CF9EAC9_.wvu.FilterData" localSheetId="2" hidden="1">Customers!$A$1:$S$61</definedName>
    <definedName name="Z_9F723D54_2187_437F_B61E_47DFC967B142_.wvu.FilterData" localSheetId="2" hidden="1">Customers!$A$1:$S$61</definedName>
    <definedName name="Z_9FBB0C8E_C2BB_40FA_834F_7EE40386EA08_.wvu.FilterData" localSheetId="2" hidden="1">Customers!$A$1:$W$2483</definedName>
    <definedName name="Z_9FF0F7A0_5D75_4138_ACBD_78FE49D9D0B6_.wvu.FilterData" localSheetId="2" hidden="1">Customers!$A$1:$U$61</definedName>
    <definedName name="Z_A038CA49_7BD7_465C_A1E4_E3A82C721E41_.wvu.FilterData" localSheetId="1" hidden="1">'On hold'!#REF!</definedName>
    <definedName name="Z_A038CA49_7BD7_465C_A1E4_E3A82C721E41_.wvu.FilterData" localSheetId="0" hidden="1">Orders!$A$1:$AL$259</definedName>
    <definedName name="Z_A1BC7076_BFF5_4775_AC59_80A399082A89_.wvu.FilterData" localSheetId="2" hidden="1">Customers!$A$1:$U$61</definedName>
    <definedName name="Z_A24DA479_FD5A_4541_A31B_D5838740AF05_.wvu.FilterData" localSheetId="2" hidden="1">Customers!$A$1:$U$61</definedName>
    <definedName name="Z_A2BF15BD_B072_41AB_AE54_9C51DAAD4974_.wvu.FilterData" localSheetId="2" hidden="1">Customers!$A$1:$S$61</definedName>
    <definedName name="Z_A2FBC728_9D86_4C6D_A9F3_086556BB16AE_.wvu.FilterData" localSheetId="2" hidden="1">Customers!$A$1:$S$61</definedName>
    <definedName name="Z_A473F89E_9A2C_4182_8F94_F4E82D527D95_.wvu.FilterData" localSheetId="2" hidden="1">Customers!$A$1:$U$61</definedName>
    <definedName name="Z_A7E5A95C_C72F_4665_8511_0FF173683729_.wvu.FilterData" localSheetId="2" hidden="1">Customers!$A$1:$S$61</definedName>
    <definedName name="Z_A8F5E5DE_9E6B_477B_8EF8_DA467F68519B_.wvu.FilterData" localSheetId="2" hidden="1">Customers!$A$1:$S$61</definedName>
    <definedName name="Z_AAAB3C3C_3AB3_45B8_A247_62408F910C0F_.wvu.FilterData" localSheetId="2" hidden="1">Customers!$A$1:$S$61</definedName>
    <definedName name="Z_AAEC71F8_F801_47A8_BD8A_4023DC2F4DEA_.wvu.FilterData" localSheetId="2" hidden="1">Customers!$A$1:$U$61</definedName>
    <definedName name="Z_AF45FFDD_A9AC_4EE8_871D_3FCDA4A5DA89_.wvu.FilterData" localSheetId="2" hidden="1">Customers!$A$1:$U$61</definedName>
    <definedName name="Z_B09B6287_37B0_4199_A90D_29C4DAE1BC94_.wvu.FilterData" localSheetId="2" hidden="1">Customers!$A$1:$S$61</definedName>
    <definedName name="Z_B0CA3AB4_28D3_4963_AA9F_5551F486CB11_.wvu.FilterData" localSheetId="2" hidden="1">Customers!$A$1:$S$61</definedName>
    <definedName name="Z_B16243C9_DAE2_459E_A3CD_B9C66F9FCB63_.wvu.FilterData" localSheetId="2" hidden="1">Customers!$A$1:$S$61</definedName>
    <definedName name="Z_B4A9F15A_A595_4474_A84A_0C0CE7CAFCEB_.wvu.FilterData" localSheetId="2" hidden="1">Customers!$A$1:$S$61</definedName>
    <definedName name="Z_B68E69D1_607C_4F8A_884B_B83B2A5798A9_.wvu.FilterData" localSheetId="2" hidden="1">Customers!$A$1:$S$61</definedName>
    <definedName name="Z_B9CF3902_ADB1_4A89_973E_09E241E21C07_.wvu.FilterData" localSheetId="2" hidden="1">Customers!$A$1:$S$61</definedName>
    <definedName name="Z_BA1E1DEE_9E19_432C_BE00_577734DE7741_.wvu.FilterData" localSheetId="2" hidden="1">Customers!$A$1:$S$61</definedName>
    <definedName name="Z_BAA662EE_9473_4083_B9C2_986B463FD81F_.wvu.FilterData" localSheetId="1" hidden="1">'On hold'!#REF!</definedName>
    <definedName name="Z_BAA662EE_9473_4083_B9C2_986B463FD81F_.wvu.FilterData" localSheetId="0" hidden="1">Orders!$A$1:$AL$259</definedName>
    <definedName name="Z_BE266D46_E454_4702_8C2B_6364802A9598_.wvu.FilterData" localSheetId="2" hidden="1">Customers!$A$1:$S$61</definedName>
    <definedName name="Z_BE87DDBF_9258_42F0_BF7C_4F2358BE8887_.wvu.FilterData" localSheetId="2" hidden="1">Customers!$A$1:$S$61</definedName>
    <definedName name="Z_C0190E5C_330A_46A3_BE29_68E9864101B2_.wvu.FilterData" localSheetId="2" hidden="1">Customers!$A$1:$S$61</definedName>
    <definedName name="Z_C0686EA9_00CF_49DF_938A_2763ED2D79A8_.wvu.FilterData" localSheetId="2" hidden="1">Customers!$A$1:$S$61</definedName>
    <definedName name="Z_C11872C6_FA7E_483E_9265_47712A42ABEE_.wvu.FilterData" localSheetId="2" hidden="1">Customers!$A$1:$S$61</definedName>
    <definedName name="Z_C3F43031_E6E3_4911_90D5_7D1612A1B17C_.wvu.FilterData" localSheetId="1" hidden="1">'On hold'!#REF!</definedName>
    <definedName name="Z_C3F43031_E6E3_4911_90D5_7D1612A1B17C_.wvu.FilterData" localSheetId="0" hidden="1">Orders!$A$1:$AL$259</definedName>
    <definedName name="Z_C8AD380E_5A05_4799_A4C9_AE79E0E211E5_.wvu.FilterData" localSheetId="2" hidden="1">Customers!$A$1:$S$61</definedName>
    <definedName name="Z_C8D6B9DA_42F3_4CEF_8688_1001745A6AEC_.wvu.FilterData" localSheetId="2" hidden="1">Customers!$A$1:$S$61</definedName>
    <definedName name="Z_CA388BF7_9E67_4AE4_93E3_7E08B2951B0A_.wvu.FilterData" localSheetId="2" hidden="1">Customers!$A$1:$U$190</definedName>
    <definedName name="Z_CA388BF7_9E67_4AE4_93E3_7E08B2951B0A_.wvu.FilterData" localSheetId="4" hidden="1">'ID #'!$A$1:$E$135</definedName>
    <definedName name="Z_CA388BF7_9E67_4AE4_93E3_7E08B2951B0A_.wvu.FilterData" localSheetId="0" hidden="1">Orders!$A$1:$AL$259</definedName>
    <definedName name="Z_CA388BF7_9E67_4AE4_93E3_7E08B2951B0A_.wvu.Rows" localSheetId="2" hidden="1">Customers!$343:$1048576,Customers!$218:$319</definedName>
    <definedName name="Z_CA6B18C9_1FDE_479F_8A39_6CA197903EED_.wvu.FilterData" localSheetId="2" hidden="1">Customers!$A$1:$S$61</definedName>
    <definedName name="Z_CC724ABA_BF43_4D69_BA95_B6DF0B53A64B_.wvu.FilterData" localSheetId="2" hidden="1">Customers!$A$1:$U$61</definedName>
    <definedName name="Z_CC753A06_BD5C_41C0_9BC6_23EB429086EC_.wvu.FilterData" localSheetId="2" hidden="1">Customers!$A$1:$S$61</definedName>
    <definedName name="Z_CD314720_567C_4237_95AE_5F6DCAE3DAB6_.wvu.FilterData" localSheetId="2" hidden="1">Customers!$A$1:$S$61</definedName>
    <definedName name="Z_D1A86A0F_7EA3_47C3_9FE9_43C21033A6D4_.wvu.FilterData" localSheetId="2" hidden="1">Customers!$A$1:$S$61</definedName>
    <definedName name="Z_D1DEDC4A_0BC4_4F9D_975A_8C1B9B477949_.wvu.FilterData" localSheetId="2" hidden="1">Customers!$A$1:$U$180</definedName>
    <definedName name="Z_D1DEDC4A_0BC4_4F9D_975A_8C1B9B477949_.wvu.FilterData" localSheetId="4" hidden="1">'ID #'!$A$1:$E$135</definedName>
    <definedName name="Z_D1DEDC4A_0BC4_4F9D_975A_8C1B9B477949_.wvu.FilterData" localSheetId="1" hidden="1">'On hold'!#REF!</definedName>
    <definedName name="Z_D1DEDC4A_0BC4_4F9D_975A_8C1B9B477949_.wvu.FilterData" localSheetId="0" hidden="1">Orders!$A$1:$AL$259</definedName>
    <definedName name="Z_D1DEDC4A_0BC4_4F9D_975A_8C1B9B477949_.wvu.Rows" localSheetId="2" hidden="1">Customers!$341:$1048576,Customers!$218:$319</definedName>
    <definedName name="Z_D1E8CC81_8913_42B6_AF99_EAC3B76C1304_.wvu.FilterData" localSheetId="2" hidden="1">Customers!$A$1:$S$61</definedName>
    <definedName name="Z_D3BD9660_1B4E_43B2_AAAA_F22776FD6026_.wvu.FilterData" localSheetId="2" hidden="1">Customers!$A$1:$S$61</definedName>
    <definedName name="Z_D7140F5D_AB4C_4937_9ECE_07A48B7D650C_.wvu.FilterData" localSheetId="2" hidden="1">Customers!$A$1:$S$61</definedName>
    <definedName name="Z_D921AD50_9EFC_4D03_A72E_FB0D91D01534_.wvu.FilterData" localSheetId="2" hidden="1">Customers!$A$1:$U$61</definedName>
    <definedName name="Z_D921AD50_9EFC_4D03_A72E_FB0D91D01534_.wvu.Rows" localSheetId="2" hidden="1">Customers!$101778:$1048576,Customers!$345:$101761</definedName>
    <definedName name="Z_D9B7DCEC_2DFD_474B_BD9E_6067FEDB7DAF_.wvu.FilterData" localSheetId="2" hidden="1">Customers!$A$1:$S$61</definedName>
    <definedName name="Z_DA1524D8_73DC_4627_875D_20129C213D82_.wvu.FilterData" localSheetId="2" hidden="1">Customers!$A$1:$S$61</definedName>
    <definedName name="Z_DBC10026_F76F_4ADE_AB6B_7E193F9DD4F3_.wvu.FilterData" localSheetId="2" hidden="1">Customers!$A$1:$U$61</definedName>
    <definedName name="Z_DE432F2B_0619_4515_B005_63E69A29E63E_.wvu.FilterData" localSheetId="2" hidden="1">Customers!$A$1:$S$61</definedName>
    <definedName name="Z_DFE8BED3_148F_433A_BE7B_3A8E8C235125_.wvu.FilterData" localSheetId="2" hidden="1">Customers!$A$1:$S$61</definedName>
    <definedName name="Z_E0A22B92_F29D_4BF1_88F4_0871682493F6_.wvu.FilterData" localSheetId="2" hidden="1">Customers!$A$1:$S$61</definedName>
    <definedName name="Z_E0B3606C_C39A_4B5C_B89E_59DF38499F32_.wvu.FilterData" localSheetId="2" hidden="1">Customers!$A$1:$S$61</definedName>
    <definedName name="Z_E18092B4_2B5C_4384_A9EA_D297339A07D0_.wvu.FilterData" localSheetId="2" hidden="1">Customers!$A$1:$U$61</definedName>
    <definedName name="Z_E2AF74D1_C63C_4B65_BD2F_77D0E23C8646_.wvu.FilterData" localSheetId="2" hidden="1">Customers!$A$1:$S$61</definedName>
    <definedName name="Z_E2C29897_F386_4739_AAF8_B31EB13C8E37_.wvu.FilterData" localSheetId="2" hidden="1">Customers!$A$1:$S$61</definedName>
    <definedName name="Z_E376D474_B0BF_42AD_8499_D71508803952_.wvu.FilterData" localSheetId="2" hidden="1">Customers!$A$1:$S$61</definedName>
    <definedName name="Z_E4B91F86_DF43_435A_94B1_6662ECB64D33_.wvu.FilterData" localSheetId="2" hidden="1">Customers!$A$1:$S$61</definedName>
    <definedName name="Z_E6D09829_ED4C_45EC_8AA9_450F29A93444_.wvu.FilterData" localSheetId="2" hidden="1">Customers!$A$1:$S$61</definedName>
    <definedName name="Z_E7A9B95E_D1AD_446E_A756_04EBA43380E7_.wvu.FilterData" localSheetId="2" hidden="1">Customers!$A$1:$S$61</definedName>
    <definedName name="Z_E7C75BDD_4FE3_4A25_8808_A7062785F95B_.wvu.FilterData" localSheetId="2" hidden="1">Customers!$A$1:$W$2483</definedName>
    <definedName name="Z_E819231C_AC6F_4FEA_B539_8A7C1969F767_.wvu.FilterData" localSheetId="2" hidden="1">Customers!$A$1:$S$61</definedName>
    <definedName name="Z_E9547FFE_2F79_438E_9A18_B1EFC88AF9F7_.wvu.FilterData" localSheetId="2" hidden="1">Customers!$A$1:$U$61</definedName>
    <definedName name="Z_E9FF999C_5336_474B_A2B0_BB7F5404E3BF_.wvu.FilterData" localSheetId="2" hidden="1">Customers!$A$1:$S$61</definedName>
    <definedName name="Z_EE061481_2BEE_4412_B6BA_EACD2BAB0273_.wvu.FilterData" localSheetId="2" hidden="1">Customers!$A$1:$S$61</definedName>
    <definedName name="Z_EEEEDF6F_B474_4C10_8B7F_4BD2B6F67F70_.wvu.FilterData" localSheetId="2" hidden="1">Customers!$A$1:$S$61</definedName>
    <definedName name="Z_F1A65364_0E1C_46F3_8406_E57A940E52FC_.wvu.FilterData" localSheetId="2" hidden="1">Customers!$A$1:$S$61</definedName>
    <definedName name="Z_F1B9108A_5649_4488_B682_53EC6FA58EBE_.wvu.FilterData" localSheetId="2" hidden="1">Customers!$A$1:$U$61</definedName>
    <definedName name="Z_F37F7E2D_7407_4BBF_BF5F_0FE3977A212F_.wvu.FilterData" localSheetId="1" hidden="1">'On hold'!#REF!</definedName>
    <definedName name="Z_F37F7E2D_7407_4BBF_BF5F_0FE3977A212F_.wvu.FilterData" localSheetId="0" hidden="1">Orders!$A$1:$AL$259</definedName>
    <definedName name="Z_F42221A2_1E06_4A9B_96C7_690531BD7DC1_.wvu.FilterData" localSheetId="2" hidden="1">Customers!$A$1:$U$61</definedName>
    <definedName name="Z_F4C9096C_0F99_4F96_A86D_EB7BF95FBCCE_.wvu.FilterData" localSheetId="2" hidden="1">Customers!$A$1:$S$61</definedName>
    <definedName name="Z_F57DCD9C_A412_4B80_BDFB_BF17F40150EF_.wvu.FilterData" localSheetId="2" hidden="1">Customers!$A$1:$S$61</definedName>
    <definedName name="Z_F602501B_E232_4F20_A98C_51A3BEBA5EC9_.wvu.FilterData" localSheetId="2" hidden="1">Customers!$A$1:$S$61</definedName>
    <definedName name="Z_F6B50F7E_3B78_4BDC_8916_1649A287F9EB_.wvu.FilterData" localSheetId="2" hidden="1">Customers!$A$1:$S$61</definedName>
    <definedName name="Z_F6FC4001_ABDD_438A_9566_38510DBD85D4_.wvu.FilterData" localSheetId="2" hidden="1">Customers!$A$1:$U$61</definedName>
    <definedName name="Z_F73556D4_9918_4893_9F37_5167C5B4D0F4_.wvu.FilterData" localSheetId="2" hidden="1">Customers!$A$1:$S$61</definedName>
    <definedName name="Z_F796F84A_06D5_4076_B707_FD24207BAA2E_.wvu.FilterData" localSheetId="2" hidden="1">Customers!$A$1:$S$61</definedName>
    <definedName name="Z_F7972C2E_340B_4CB1_95FB_CB4DFB6510BA_.wvu.FilterData" localSheetId="2" hidden="1">Customers!$A$1:$S$61</definedName>
    <definedName name="Z_F92FDCDC_C995_4503_AB0C_A51FFA565867_.wvu.FilterData" localSheetId="2" hidden="1">Customers!$A$1:$S$61</definedName>
    <definedName name="Z_F9F809B1_00E3_4F89_BC21_CA5DBC38F2C4_.wvu.FilterData" localSheetId="2" hidden="1">Customers!$A$1:$S$61</definedName>
    <definedName name="Z_FBCA0BF8_86C7_4C0F_9D4E_1E8F9C7B41C6_.wvu.FilterData" localSheetId="2" hidden="1">Customers!$A$1:$S$61</definedName>
    <definedName name="Z_FDB6E961_7CBD_40D5_825F_290026389377_.wvu.FilterData" localSheetId="2" hidden="1">Customers!$A$1:$S$61</definedName>
    <definedName name="Z_FF4EFC8E_E1DF_4221_81CD_710BB6F17D91_.wvu.FilterData" localSheetId="1" hidden="1">'On hold'!#REF!</definedName>
    <definedName name="Z_FF4EFC8E_E1DF_4221_81CD_710BB6F17D91_.wvu.FilterData" localSheetId="0" hidden="1">Orders!$A$1:$AL$259</definedName>
    <definedName name="Z_FF6F62EA_5D7F_4FC1_9D11_3C3C3B370DD6_.wvu.FilterData" localSheetId="2" hidden="1">Customers!$A$1:$U$175</definedName>
    <definedName name="Z_FF6F62EA_5D7F_4FC1_9D11_3C3C3B370DD6_.wvu.FilterData" localSheetId="4" hidden="1">'ID #'!$A$1:$E$135</definedName>
    <definedName name="Z_FF6F62EA_5D7F_4FC1_9D11_3C3C3B370DD6_.wvu.FilterData" localSheetId="1" hidden="1">'On hold'!#REF!</definedName>
    <definedName name="Z_FF6F62EA_5D7F_4FC1_9D11_3C3C3B370DD6_.wvu.FilterData" localSheetId="0" hidden="1">Orders!$F$1:$F$259</definedName>
    <definedName name="Z_FF982B85_FB0B_4867_8B18_23B4C937F3EF_.wvu.FilterData" localSheetId="2" hidden="1">Customers!$A$1:$S$61</definedName>
  </definedNames>
  <calcPr calcId="191029"/>
  <customWorkbookViews>
    <customWorkbookView name="cpcc - Personal View" guid="{5F8FD084-40FB-49AA-B447-CD935F604D55}" mergeInterval="0" personalView="1" xWindow="-8" windowWidth="1451" windowHeight="544" tabRatio="732" activeSheetId="1"/>
    <customWorkbookView name="Heather Roshon - Personal View" guid="{5FD7D287-AC38-49FE-8AA5-C4506E353DCC}" mergeInterval="0" personalView="1" maximized="1" xWindow="-8" yWindow="-8" windowWidth="1296" windowHeight="992" tabRatio="732"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79" i="9" l="1"/>
  <c r="M41" i="9"/>
  <c r="L79" i="9"/>
  <c r="L41" i="9"/>
  <c r="K79" i="9"/>
  <c r="K41" i="9"/>
  <c r="J79" i="9"/>
  <c r="J41" i="9"/>
  <c r="I79" i="9"/>
  <c r="I41" i="9"/>
  <c r="H79" i="9"/>
  <c r="H41" i="9"/>
  <c r="G79" i="9"/>
  <c r="G41" i="9"/>
  <c r="F79" i="9"/>
  <c r="F41" i="9"/>
  <c r="E79" i="9"/>
  <c r="E41" i="9"/>
  <c r="D79" i="9"/>
  <c r="D41" i="9"/>
  <c r="C79" i="9"/>
  <c r="C41" i="9"/>
  <c r="B79" i="9"/>
  <c r="B41" i="9"/>
  <c r="N55" i="7"/>
  <c r="M55" i="7"/>
  <c r="L55" i="7"/>
  <c r="K55" i="7"/>
  <c r="J55" i="7"/>
  <c r="I55" i="7"/>
  <c r="H55" i="7"/>
  <c r="G55" i="7"/>
  <c r="F55" i="7"/>
  <c r="E55" i="7"/>
  <c r="D55" i="7"/>
  <c r="C55" i="7"/>
  <c r="O54" i="7"/>
  <c r="O53" i="7"/>
  <c r="O52" i="7"/>
  <c r="O51" i="7"/>
  <c r="O50" i="7"/>
  <c r="O49" i="7"/>
  <c r="O48" i="7"/>
  <c r="O47" i="7"/>
  <c r="O46" i="7"/>
  <c r="O45" i="7"/>
  <c r="O44" i="7"/>
  <c r="O43" i="7"/>
  <c r="O42" i="7"/>
  <c r="O41" i="7"/>
  <c r="O40" i="7"/>
  <c r="O39" i="7"/>
  <c r="O38" i="7"/>
  <c r="O37" i="7"/>
  <c r="O36" i="7"/>
  <c r="O35" i="7"/>
  <c r="O34" i="7"/>
  <c r="O33" i="7"/>
  <c r="O32" i="7"/>
  <c r="O31" i="7"/>
  <c r="O30" i="7"/>
  <c r="N29" i="7"/>
  <c r="M29" i="7"/>
  <c r="L29" i="7"/>
  <c r="K29" i="7"/>
  <c r="J29" i="7"/>
  <c r="I29" i="7"/>
  <c r="H29" i="7"/>
  <c r="G29" i="7"/>
  <c r="F29" i="7"/>
  <c r="E29" i="7"/>
  <c r="D29" i="7"/>
  <c r="C29" i="7"/>
  <c r="N10" i="7"/>
  <c r="M10" i="7"/>
  <c r="L10" i="7"/>
  <c r="K10" i="7"/>
  <c r="J10" i="7"/>
  <c r="I10" i="7"/>
  <c r="H10" i="7"/>
  <c r="G10" i="7"/>
  <c r="F10" i="7"/>
  <c r="E10" i="7"/>
  <c r="D10" i="7"/>
  <c r="C10" i="7"/>
  <c r="O9" i="7"/>
  <c r="O8" i="7"/>
  <c r="O7" i="7"/>
  <c r="O6" i="7"/>
  <c r="O5" i="7"/>
  <c r="O4" i="7"/>
  <c r="U3" i="7"/>
  <c r="N3" i="7"/>
  <c r="M3" i="7"/>
  <c r="L3" i="7"/>
  <c r="K3" i="7"/>
  <c r="J3" i="7"/>
  <c r="I3" i="7"/>
  <c r="H3" i="7"/>
  <c r="G3" i="7"/>
  <c r="F3" i="7"/>
  <c r="E3" i="7"/>
  <c r="D3" i="7"/>
  <c r="C3" i="7"/>
  <c r="O16" i="7" l="1"/>
  <c r="O14" i="7"/>
  <c r="O10" i="7"/>
  <c r="P5" i="7" s="1"/>
  <c r="Q5" i="7" s="1"/>
  <c r="O15" i="7"/>
  <c r="O55" i="7"/>
  <c r="P46" i="7" s="1"/>
  <c r="Q46" i="7" s="1"/>
  <c r="P45" i="7" l="1"/>
  <c r="Q45" i="7" s="1"/>
  <c r="P52" i="7"/>
  <c r="Q52" i="7" s="1"/>
  <c r="P53" i="7"/>
  <c r="Q53" i="7" s="1"/>
  <c r="P54" i="7"/>
  <c r="Q54" i="7" s="1"/>
  <c r="P44" i="7"/>
  <c r="Q44" i="7" s="1"/>
  <c r="P9" i="7"/>
  <c r="Q9" i="7" s="1"/>
  <c r="P16" i="7"/>
  <c r="Q16" i="7" s="1"/>
  <c r="P14" i="7"/>
  <c r="Q14" i="7" s="1"/>
  <c r="P6" i="7"/>
  <c r="Q6" i="7" s="1"/>
  <c r="P4" i="7"/>
  <c r="Q4" i="7" s="1"/>
  <c r="P8" i="7"/>
  <c r="Q8" i="7" s="1"/>
  <c r="P15" i="7"/>
  <c r="Q15" i="7" s="1"/>
  <c r="P7" i="7"/>
  <c r="Q7" i="7" s="1"/>
  <c r="P30" i="7"/>
  <c r="P51" i="7"/>
  <c r="Q51" i="7" s="1"/>
  <c r="P43" i="7"/>
  <c r="Q43" i="7" s="1"/>
  <c r="P35" i="7"/>
  <c r="Q35" i="7" s="1"/>
  <c r="P48" i="7"/>
  <c r="Q48" i="7" s="1"/>
  <c r="P33" i="7"/>
  <c r="Q33" i="7" s="1"/>
  <c r="P50" i="7"/>
  <c r="Q50" i="7" s="1"/>
  <c r="P42" i="7"/>
  <c r="Q42" i="7" s="1"/>
  <c r="P34" i="7"/>
  <c r="Q34" i="7" s="1"/>
  <c r="P49" i="7"/>
  <c r="Q49" i="7" s="1"/>
  <c r="P47" i="7"/>
  <c r="Q47" i="7" s="1"/>
  <c r="P39" i="7"/>
  <c r="Q39" i="7" s="1"/>
  <c r="P31" i="7"/>
  <c r="Q31" i="7" s="1"/>
  <c r="P41" i="7"/>
  <c r="Q41" i="7" s="1"/>
  <c r="P38" i="7"/>
  <c r="Q38" i="7" s="1"/>
  <c r="P40" i="7"/>
  <c r="Q40" i="7" s="1"/>
  <c r="P37" i="7"/>
  <c r="Q37" i="7" s="1"/>
  <c r="P32" i="7"/>
  <c r="Q32" i="7" s="1"/>
  <c r="P36" i="7"/>
  <c r="Q36" i="7" s="1"/>
  <c r="Q17" i="7" l="1"/>
  <c r="Q10" i="7"/>
  <c r="P10" i="7"/>
  <c r="P55" i="7"/>
  <c r="Q30" i="7"/>
  <c r="Q55" i="7" s="1"/>
  <c r="I295" i="1" l="1"/>
  <c r="I296" i="1"/>
  <c r="I297" i="1"/>
  <c r="I298" i="1"/>
  <c r="I299" i="1"/>
  <c r="I300" i="1"/>
  <c r="I301" i="1"/>
  <c r="H295" i="1"/>
  <c r="H296" i="1"/>
  <c r="H297" i="1"/>
  <c r="H298" i="1"/>
  <c r="H299" i="1"/>
  <c r="H300" i="1"/>
  <c r="H301" i="1"/>
  <c r="G295" i="1"/>
  <c r="G296" i="1"/>
  <c r="G297" i="1"/>
  <c r="G298" i="1"/>
  <c r="G299" i="1"/>
  <c r="G300" i="1"/>
  <c r="G301" i="1"/>
  <c r="F295" i="1"/>
  <c r="F296" i="1"/>
  <c r="F297" i="1"/>
  <c r="F298" i="1"/>
  <c r="F299" i="1"/>
  <c r="F300" i="1"/>
  <c r="F301" i="1"/>
  <c r="C134" i="5"/>
  <c r="E134" i="5" s="1"/>
  <c r="D295" i="1"/>
  <c r="D296" i="1"/>
  <c r="D297" i="1"/>
  <c r="D298" i="1"/>
  <c r="D299" i="1"/>
  <c r="D300" i="1"/>
  <c r="D301" i="1"/>
  <c r="X301" i="1"/>
  <c r="Z301" i="1" s="1"/>
  <c r="W300" i="1"/>
  <c r="V300" i="1"/>
  <c r="Z299" i="1"/>
  <c r="AB299" i="1" s="1"/>
  <c r="V298" i="1"/>
  <c r="Z298" i="1" s="1"/>
  <c r="AB298" i="1" s="1"/>
  <c r="N298" i="1"/>
  <c r="Z297" i="1"/>
  <c r="AB297" i="1" s="1"/>
  <c r="N297" i="1"/>
  <c r="M297" i="1"/>
  <c r="W296" i="1"/>
  <c r="Z296" i="1" s="1"/>
  <c r="AB296" i="1" s="1"/>
  <c r="V295" i="1"/>
  <c r="Z295" i="1" s="1"/>
  <c r="AB295" i="1" s="1"/>
  <c r="N295" i="1"/>
  <c r="Z300" i="1" l="1"/>
  <c r="AB300" i="1" s="1"/>
  <c r="N12" i="6" l="1"/>
  <c r="N11" i="6"/>
  <c r="M292" i="1"/>
  <c r="E133" i="5"/>
  <c r="E135" i="5"/>
  <c r="E136" i="5"/>
  <c r="E137" i="5"/>
  <c r="E138" i="5"/>
  <c r="E139" i="5"/>
  <c r="E140" i="5"/>
  <c r="E141" i="5"/>
  <c r="E142" i="5"/>
  <c r="C132" i="5"/>
  <c r="C131" i="5"/>
  <c r="C130" i="5"/>
  <c r="C129" i="5"/>
  <c r="C128" i="5"/>
  <c r="C127" i="5"/>
  <c r="C126" i="5"/>
  <c r="Z40" i="1" l="1"/>
  <c r="Z43" i="1"/>
  <c r="Z64" i="1"/>
  <c r="Z68" i="1"/>
  <c r="Z77" i="1"/>
  <c r="Z188" i="1"/>
  <c r="Z194" i="1"/>
  <c r="Z234" i="1"/>
  <c r="Z248" i="1"/>
  <c r="W274" i="1" l="1"/>
  <c r="Y272" i="1"/>
  <c r="W268" i="1"/>
  <c r="V265" i="1"/>
  <c r="V261" i="1"/>
  <c r="V260" i="1"/>
  <c r="V259" i="1"/>
  <c r="V258" i="1"/>
  <c r="W256" i="1"/>
  <c r="W255" i="1"/>
  <c r="Z255" i="1" s="1"/>
  <c r="W254" i="1"/>
  <c r="Z254" i="1" s="1"/>
  <c r="V247" i="1"/>
  <c r="Z247" i="1" s="1"/>
  <c r="W217" i="1"/>
  <c r="V205" i="1"/>
  <c r="W198" i="1"/>
  <c r="W197" i="1"/>
  <c r="W193" i="1"/>
  <c r="Y191" i="1"/>
  <c r="W189" i="1"/>
  <c r="Y187" i="1"/>
  <c r="W183" i="1"/>
  <c r="W182" i="1"/>
  <c r="V173" i="1"/>
  <c r="X170" i="1"/>
  <c r="W162" i="1" l="1"/>
  <c r="V152" i="1"/>
  <c r="W130" i="1"/>
  <c r="V130" i="1"/>
  <c r="V129" i="1"/>
  <c r="V128" i="1"/>
  <c r="V123" i="1"/>
  <c r="X121" i="1"/>
  <c r="X119" i="1"/>
  <c r="Y117" i="1"/>
  <c r="V115" i="1"/>
  <c r="Y108" i="1"/>
  <c r="Z108" i="1" s="1"/>
  <c r="X113" i="1"/>
  <c r="V105" i="1"/>
  <c r="V98" i="1"/>
  <c r="X94" i="1"/>
  <c r="V93" i="1"/>
  <c r="X76" i="1"/>
  <c r="Z76" i="1" s="1"/>
  <c r="V75" i="1"/>
  <c r="W74" i="1"/>
  <c r="Z74" i="1" s="1"/>
  <c r="Y67" i="1"/>
  <c r="X65" i="1"/>
  <c r="X61" i="1"/>
  <c r="V60" i="1"/>
  <c r="V59" i="1"/>
  <c r="V58" i="1"/>
  <c r="X49" i="1"/>
  <c r="W47" i="1"/>
  <c r="V11" i="1"/>
  <c r="V10" i="1"/>
  <c r="W9" i="1"/>
  <c r="V6" i="1"/>
  <c r="N77" i="9" l="1"/>
  <c r="N39" i="9"/>
  <c r="N284" i="1" l="1"/>
  <c r="N294" i="1"/>
  <c r="N293" i="1"/>
  <c r="N292" i="1"/>
  <c r="N291" i="1"/>
  <c r="N288" i="1"/>
  <c r="N287" i="1"/>
  <c r="N283" i="1"/>
  <c r="N282" i="1"/>
  <c r="N280" i="1"/>
  <c r="N278" i="1"/>
  <c r="N277" i="1"/>
  <c r="N275" i="1"/>
  <c r="N273" i="1"/>
  <c r="N271" i="1"/>
  <c r="N269" i="1"/>
  <c r="N267" i="1"/>
  <c r="N266" i="1"/>
  <c r="N265" i="1"/>
  <c r="N262" i="1"/>
  <c r="N261" i="1"/>
  <c r="N260" i="1"/>
  <c r="N259" i="1"/>
  <c r="N258" i="1"/>
  <c r="N252" i="1"/>
  <c r="N250" i="1"/>
  <c r="N249" i="1"/>
  <c r="N248" i="1"/>
  <c r="N247" i="1"/>
  <c r="N245" i="1"/>
  <c r="N244" i="1"/>
  <c r="N243" i="1"/>
  <c r="N242" i="1"/>
  <c r="N241" i="1"/>
  <c r="N240" i="1"/>
  <c r="N239" i="1"/>
  <c r="N237" i="1"/>
  <c r="N236" i="1"/>
  <c r="N231" i="1"/>
  <c r="N230" i="1"/>
  <c r="N228" i="1"/>
  <c r="N227" i="1"/>
  <c r="N226" i="1"/>
  <c r="N225" i="1"/>
  <c r="N224" i="1"/>
  <c r="N223" i="1"/>
  <c r="N222" i="1"/>
  <c r="N221" i="1"/>
  <c r="N220" i="1"/>
  <c r="N219" i="1"/>
  <c r="N216" i="1"/>
  <c r="N214" i="1"/>
  <c r="N212" i="1"/>
  <c r="N211" i="1"/>
  <c r="N210" i="1"/>
  <c r="N207" i="1"/>
  <c r="N206" i="1"/>
  <c r="N205" i="1"/>
  <c r="N204" i="1"/>
  <c r="N203" i="1"/>
  <c r="N200" i="1"/>
  <c r="N199" i="1"/>
  <c r="N195" i="1"/>
  <c r="N188" i="1"/>
  <c r="N186" i="1"/>
  <c r="N185" i="1"/>
  <c r="N184" i="1"/>
  <c r="N179" i="1"/>
  <c r="N178" i="1"/>
  <c r="N177" i="1"/>
  <c r="N175" i="1"/>
  <c r="N174" i="1"/>
  <c r="N173" i="1"/>
  <c r="N172" i="1"/>
  <c r="N171" i="1"/>
  <c r="N169" i="1"/>
  <c r="N168" i="1"/>
  <c r="N167" i="1"/>
  <c r="N166" i="1"/>
  <c r="N165" i="1"/>
  <c r="N164" i="1"/>
  <c r="N163" i="1"/>
  <c r="N160" i="1"/>
  <c r="N159" i="1"/>
  <c r="N158" i="1"/>
  <c r="N157" i="1"/>
  <c r="N153" i="1"/>
  <c r="N152" i="1"/>
  <c r="N151" i="1"/>
  <c r="N150" i="1"/>
  <c r="N149" i="1"/>
  <c r="N148" i="1"/>
  <c r="N147" i="1"/>
  <c r="N146" i="1"/>
  <c r="N145" i="1"/>
  <c r="N144" i="1"/>
  <c r="N143" i="1"/>
  <c r="N139" i="1"/>
  <c r="N136" i="1"/>
  <c r="N135" i="1"/>
  <c r="N134" i="1"/>
  <c r="N133" i="1"/>
  <c r="N132" i="1"/>
  <c r="N131" i="1"/>
  <c r="N130" i="1"/>
  <c r="N129" i="1"/>
  <c r="N128" i="1"/>
  <c r="N127" i="1"/>
  <c r="N126" i="1"/>
  <c r="N124" i="1"/>
  <c r="N123" i="1"/>
  <c r="N122" i="1"/>
  <c r="N118" i="1"/>
  <c r="N116" i="1"/>
  <c r="N115" i="1"/>
  <c r="N114" i="1"/>
  <c r="N111" i="1"/>
  <c r="N110" i="1"/>
  <c r="N109" i="1"/>
  <c r="N107" i="1"/>
  <c r="N106" i="1"/>
  <c r="N105" i="1"/>
  <c r="N103" i="1"/>
  <c r="N99" i="1"/>
  <c r="N102" i="1"/>
  <c r="N101" i="1"/>
  <c r="N100" i="1"/>
  <c r="N98" i="1"/>
  <c r="N97" i="1"/>
  <c r="N96" i="1"/>
  <c r="N95" i="1"/>
  <c r="N93" i="1"/>
  <c r="N92" i="1"/>
  <c r="N91" i="1"/>
  <c r="N89" i="1"/>
  <c r="N87" i="1"/>
  <c r="N86" i="1"/>
  <c r="N85" i="1"/>
  <c r="N82" i="1"/>
  <c r="N81" i="1"/>
  <c r="N80" i="1"/>
  <c r="N79" i="1"/>
  <c r="N78" i="1"/>
  <c r="N76" i="1"/>
  <c r="N75" i="1"/>
  <c r="N73" i="1"/>
  <c r="N72" i="1"/>
  <c r="N70" i="1"/>
  <c r="N69" i="1"/>
  <c r="V63" i="1"/>
  <c r="N68" i="1"/>
  <c r="N66" i="1"/>
  <c r="N64" i="1"/>
  <c r="N63" i="1"/>
  <c r="N62" i="1"/>
  <c r="N60" i="1"/>
  <c r="N59" i="1"/>
  <c r="N58" i="1"/>
  <c r="N57" i="1"/>
  <c r="N56" i="1"/>
  <c r="N55" i="1"/>
  <c r="N54" i="1"/>
  <c r="D44" i="6" l="1"/>
  <c r="C26" i="13" l="1"/>
  <c r="C24" i="13"/>
  <c r="C11" i="13"/>
  <c r="C10" i="13" s="1"/>
  <c r="C9" i="13" s="1"/>
  <c r="C8" i="13" s="1"/>
  <c r="C7" i="13" s="1"/>
  <c r="C6" i="13" s="1"/>
  <c r="C5" i="13" s="1"/>
  <c r="Z264" i="1" l="1"/>
  <c r="AB264" i="1" s="1"/>
  <c r="I264" i="1"/>
  <c r="H264" i="1"/>
  <c r="G264" i="1"/>
  <c r="F264" i="1"/>
  <c r="D264" i="1"/>
  <c r="AB262" i="1"/>
  <c r="AB258" i="1"/>
  <c r="AB255" i="1"/>
  <c r="AB256" i="1"/>
  <c r="AB257" i="1"/>
  <c r="AB254" i="1"/>
  <c r="X253" i="1"/>
  <c r="Z253" i="1" s="1"/>
  <c r="AA248" i="1"/>
  <c r="Z221" i="1"/>
  <c r="I224" i="1"/>
  <c r="H224" i="1"/>
  <c r="G224" i="1"/>
  <c r="F224" i="1"/>
  <c r="D224" i="1"/>
  <c r="I223" i="1"/>
  <c r="H223" i="1"/>
  <c r="G223" i="1"/>
  <c r="F223" i="1"/>
  <c r="D223" i="1"/>
  <c r="N51" i="1"/>
  <c r="N48" i="1"/>
  <c r="N46" i="1"/>
  <c r="N45" i="1"/>
  <c r="N2" i="1"/>
  <c r="N44" i="1"/>
  <c r="N42" i="1"/>
  <c r="N40" i="1"/>
  <c r="N39" i="1"/>
  <c r="N37" i="1"/>
  <c r="N36" i="1"/>
  <c r="N35" i="1"/>
  <c r="N34" i="1"/>
  <c r="N31" i="1"/>
  <c r="N30" i="1"/>
  <c r="N29" i="1"/>
  <c r="N28" i="1"/>
  <c r="N27" i="1"/>
  <c r="N26" i="1"/>
  <c r="N24" i="1"/>
  <c r="N22" i="1"/>
  <c r="N21" i="1"/>
  <c r="N20" i="1"/>
  <c r="N19" i="1"/>
  <c r="N18" i="1"/>
  <c r="N16" i="1"/>
  <c r="N13" i="1"/>
  <c r="N11" i="1"/>
  <c r="N12" i="1"/>
  <c r="N10" i="1"/>
  <c r="N8" i="1"/>
  <c r="N7" i="1"/>
  <c r="N6" i="1"/>
  <c r="N5" i="1"/>
  <c r="N4" i="1"/>
  <c r="N3" i="1"/>
  <c r="I291" i="1"/>
  <c r="I292" i="1"/>
  <c r="I293" i="1"/>
  <c r="I294" i="1"/>
  <c r="H292" i="1"/>
  <c r="H293" i="1"/>
  <c r="H294" i="1"/>
  <c r="G292" i="1"/>
  <c r="G293" i="1"/>
  <c r="G294" i="1"/>
  <c r="F292" i="1"/>
  <c r="F293" i="1"/>
  <c r="F294" i="1"/>
  <c r="D292" i="1"/>
  <c r="D293" i="1"/>
  <c r="D294" i="1"/>
  <c r="V293" i="1"/>
  <c r="Z293" i="1" s="1"/>
  <c r="AB293" i="1" s="1"/>
  <c r="V292" i="1"/>
  <c r="Z292" i="1" s="1"/>
  <c r="AB292" i="1" s="1"/>
  <c r="H291" i="1"/>
  <c r="G291" i="1"/>
  <c r="F291" i="1"/>
  <c r="D291" i="1"/>
  <c r="V291" i="1"/>
  <c r="Z291" i="1" s="1"/>
  <c r="AB291" i="1" s="1"/>
  <c r="I275" i="1"/>
  <c r="H275" i="1"/>
  <c r="G275" i="1"/>
  <c r="G276" i="1"/>
  <c r="F275" i="1"/>
  <c r="I290" i="1"/>
  <c r="H290" i="1"/>
  <c r="G290" i="1"/>
  <c r="F290" i="1"/>
  <c r="D290" i="1"/>
  <c r="W290" i="1"/>
  <c r="Z290" i="1" s="1"/>
  <c r="AB290" i="1" s="1"/>
  <c r="I289" i="1"/>
  <c r="H289" i="1"/>
  <c r="G289" i="1"/>
  <c r="F289" i="1"/>
  <c r="D289" i="1"/>
  <c r="W289" i="1"/>
  <c r="Z289" i="1" s="1"/>
  <c r="AB289" i="1" s="1"/>
  <c r="I288" i="1"/>
  <c r="H288" i="1"/>
  <c r="G288" i="1"/>
  <c r="F288" i="1"/>
  <c r="D288" i="1"/>
  <c r="Z288" i="1"/>
  <c r="AB288" i="1" s="1"/>
  <c r="F287" i="1"/>
  <c r="F285" i="1"/>
  <c r="F286" i="1"/>
  <c r="I287" i="1"/>
  <c r="H287" i="1"/>
  <c r="G287" i="1"/>
  <c r="D287" i="1"/>
  <c r="X287" i="1"/>
  <c r="V287" i="1"/>
  <c r="I286" i="1"/>
  <c r="H286" i="1"/>
  <c r="G286" i="1"/>
  <c r="D286" i="1"/>
  <c r="Z286" i="1"/>
  <c r="AB286" i="1" s="1"/>
  <c r="I285" i="1"/>
  <c r="H285" i="1"/>
  <c r="G285" i="1"/>
  <c r="D285" i="1"/>
  <c r="Z285" i="1"/>
  <c r="AB285" i="1" s="1"/>
  <c r="X285" i="1"/>
  <c r="I283" i="1"/>
  <c r="I284" i="1"/>
  <c r="I282" i="1"/>
  <c r="H283" i="1"/>
  <c r="H284" i="1"/>
  <c r="G283" i="1"/>
  <c r="G284" i="1"/>
  <c r="F283" i="1"/>
  <c r="F284" i="1"/>
  <c r="D283" i="1"/>
  <c r="D284" i="1"/>
  <c r="Z284" i="1"/>
  <c r="V284" i="1"/>
  <c r="Z283" i="1"/>
  <c r="V283" i="1"/>
  <c r="H282" i="1"/>
  <c r="G282" i="1"/>
  <c r="F282" i="1"/>
  <c r="D282" i="1"/>
  <c r="Z282" i="1"/>
  <c r="AB282" i="1" s="1"/>
  <c r="I281" i="1"/>
  <c r="H281" i="1"/>
  <c r="G281" i="1"/>
  <c r="F281" i="1"/>
  <c r="D281" i="1"/>
  <c r="W281" i="1"/>
  <c r="Z281" i="1" s="1"/>
  <c r="AB281" i="1" s="1"/>
  <c r="D275" i="1"/>
  <c r="I280" i="1"/>
  <c r="H280" i="1"/>
  <c r="G280" i="1"/>
  <c r="F280" i="1"/>
  <c r="D280" i="1"/>
  <c r="V280" i="1"/>
  <c r="Z280" i="1" s="1"/>
  <c r="AB280" i="1" s="1"/>
  <c r="I279" i="1"/>
  <c r="H279" i="1"/>
  <c r="G279" i="1"/>
  <c r="F279" i="1"/>
  <c r="D279" i="1"/>
  <c r="Z279" i="1"/>
  <c r="AB279" i="1" s="1"/>
  <c r="X279" i="1"/>
  <c r="I278" i="1"/>
  <c r="H278" i="1"/>
  <c r="G278" i="1"/>
  <c r="F278" i="1"/>
  <c r="D278" i="1"/>
  <c r="V278" i="1"/>
  <c r="Z278" i="1" s="1"/>
  <c r="AB278" i="1" s="1"/>
  <c r="I277" i="1"/>
  <c r="H277" i="1"/>
  <c r="G277" i="1"/>
  <c r="F277" i="1"/>
  <c r="D277" i="1"/>
  <c r="V277" i="1"/>
  <c r="Z277" i="1" s="1"/>
  <c r="AB277" i="1" s="1"/>
  <c r="I276" i="1"/>
  <c r="H276" i="1"/>
  <c r="F276" i="1"/>
  <c r="D276" i="1"/>
  <c r="Z276" i="1"/>
  <c r="AB276" i="1" s="1"/>
  <c r="V275" i="1"/>
  <c r="Z275" i="1" s="1"/>
  <c r="AB275" i="1" s="1"/>
  <c r="I274" i="1"/>
  <c r="H274" i="1"/>
  <c r="G274" i="1"/>
  <c r="F274" i="1"/>
  <c r="D274" i="1"/>
  <c r="Z274" i="1"/>
  <c r="AB274" i="1" s="1"/>
  <c r="I273" i="1"/>
  <c r="H273" i="1"/>
  <c r="G273" i="1"/>
  <c r="F273" i="1"/>
  <c r="D273" i="1"/>
  <c r="Z273" i="1"/>
  <c r="AB273" i="1" s="1"/>
  <c r="I272" i="1"/>
  <c r="H272" i="1"/>
  <c r="G272" i="1"/>
  <c r="F272" i="1"/>
  <c r="D272" i="1"/>
  <c r="Z272" i="1"/>
  <c r="AB272" i="1" s="1"/>
  <c r="I271" i="1"/>
  <c r="H271" i="1"/>
  <c r="G271" i="1"/>
  <c r="F271" i="1"/>
  <c r="D271" i="1"/>
  <c r="V271" i="1"/>
  <c r="Z271" i="1" s="1"/>
  <c r="AB271" i="1" s="1"/>
  <c r="I270" i="1"/>
  <c r="H270" i="1"/>
  <c r="G270" i="1"/>
  <c r="F270" i="1"/>
  <c r="D270" i="1"/>
  <c r="W270" i="1"/>
  <c r="Z270" i="1" s="1"/>
  <c r="AB270" i="1" s="1"/>
  <c r="I269" i="1"/>
  <c r="H269" i="1"/>
  <c r="G269" i="1"/>
  <c r="F269" i="1"/>
  <c r="D269" i="1"/>
  <c r="Z269" i="1"/>
  <c r="AB269" i="1" s="1"/>
  <c r="I268" i="1"/>
  <c r="H268" i="1"/>
  <c r="G268" i="1"/>
  <c r="F268" i="1"/>
  <c r="D268" i="1"/>
  <c r="Z268" i="1"/>
  <c r="AB268" i="1" s="1"/>
  <c r="H267" i="1"/>
  <c r="G267" i="1"/>
  <c r="F267" i="1"/>
  <c r="D267" i="1"/>
  <c r="X267" i="1"/>
  <c r="V267" i="1"/>
  <c r="D265" i="1"/>
  <c r="D266" i="1"/>
  <c r="F265" i="1"/>
  <c r="F266" i="1"/>
  <c r="G265" i="1"/>
  <c r="G266" i="1"/>
  <c r="H265" i="1"/>
  <c r="H266" i="1"/>
  <c r="I265" i="1"/>
  <c r="I266" i="1"/>
  <c r="Z265" i="1"/>
  <c r="AB265" i="1" s="1"/>
  <c r="Z287" i="1" l="1"/>
  <c r="AB287" i="1" s="1"/>
  <c r="AB283" i="1"/>
  <c r="Z267" i="1"/>
  <c r="AB267" i="1" s="1"/>
  <c r="N64" i="9"/>
  <c r="N26" i="9"/>
  <c r="N70" i="9"/>
  <c r="N69" i="9"/>
  <c r="N68" i="9"/>
  <c r="N67" i="9"/>
  <c r="N66" i="9"/>
  <c r="N65" i="9"/>
  <c r="N63" i="9"/>
  <c r="N62" i="9"/>
  <c r="N35" i="9"/>
  <c r="N34" i="9"/>
  <c r="N33" i="9"/>
  <c r="N32" i="9"/>
  <c r="N31" i="9"/>
  <c r="N38" i="9"/>
  <c r="N37" i="9"/>
  <c r="N36" i="9"/>
  <c r="C44" i="6" l="1"/>
  <c r="E44" i="6"/>
  <c r="I261" i="1"/>
  <c r="H261" i="1"/>
  <c r="I260" i="1"/>
  <c r="H260" i="1"/>
  <c r="I259" i="1"/>
  <c r="H259" i="1"/>
  <c r="I233" i="1"/>
  <c r="H233" i="1"/>
  <c r="I222" i="1"/>
  <c r="H222" i="1"/>
  <c r="I218" i="1"/>
  <c r="H218" i="1"/>
  <c r="I215" i="1"/>
  <c r="H215" i="1"/>
  <c r="I211" i="1"/>
  <c r="H211" i="1"/>
  <c r="I204" i="1"/>
  <c r="H204" i="1"/>
  <c r="I200" i="1"/>
  <c r="H200" i="1"/>
  <c r="I183" i="1"/>
  <c r="H183" i="1"/>
  <c r="I169" i="1"/>
  <c r="H169" i="1"/>
  <c r="I168" i="1"/>
  <c r="H168" i="1"/>
  <c r="I167" i="1"/>
  <c r="H167" i="1"/>
  <c r="I166" i="1"/>
  <c r="H166" i="1"/>
  <c r="I119" i="1"/>
  <c r="H119" i="1"/>
  <c r="I102" i="1"/>
  <c r="H102" i="1"/>
  <c r="I101" i="1"/>
  <c r="H101" i="1"/>
  <c r="I100" i="1"/>
  <c r="H100" i="1"/>
  <c r="I87" i="1"/>
  <c r="H87" i="1"/>
  <c r="I83" i="1"/>
  <c r="H83" i="1"/>
  <c r="I73" i="1"/>
  <c r="H73" i="1"/>
  <c r="I57" i="1"/>
  <c r="H57" i="1"/>
  <c r="I56" i="1"/>
  <c r="H56" i="1"/>
  <c r="I17" i="1"/>
  <c r="H17" i="1"/>
  <c r="D17" i="1"/>
  <c r="D57" i="1"/>
  <c r="D56" i="1"/>
  <c r="D73" i="1"/>
  <c r="D83" i="1"/>
  <c r="D87" i="1"/>
  <c r="D102" i="1"/>
  <c r="D101" i="1"/>
  <c r="D100" i="1"/>
  <c r="D119" i="1"/>
  <c r="D233" i="1"/>
  <c r="D261" i="1"/>
  <c r="D260" i="1"/>
  <c r="D259" i="1"/>
  <c r="D222" i="1"/>
  <c r="D218" i="1"/>
  <c r="D215" i="1"/>
  <c r="D211" i="1"/>
  <c r="D204" i="1"/>
  <c r="D200" i="1"/>
  <c r="D169" i="1"/>
  <c r="D168" i="1"/>
  <c r="D167" i="1"/>
  <c r="D166" i="1"/>
  <c r="D183" i="1"/>
  <c r="G4" i="1"/>
  <c r="G5" i="1"/>
  <c r="G6" i="1"/>
  <c r="G7" i="1"/>
  <c r="G8" i="1"/>
  <c r="G9" i="1"/>
  <c r="G10" i="1"/>
  <c r="G11" i="1"/>
  <c r="G12" i="1"/>
  <c r="G13"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1" i="1"/>
  <c r="G202" i="1"/>
  <c r="G203" i="1"/>
  <c r="G204" i="1"/>
  <c r="G205" i="1"/>
  <c r="G206" i="1"/>
  <c r="G207" i="1"/>
  <c r="G208" i="1"/>
  <c r="G209" i="1"/>
  <c r="G210" i="1"/>
  <c r="G211" i="1"/>
  <c r="G212" i="1"/>
  <c r="G213" i="1"/>
  <c r="G214" i="1"/>
  <c r="G215" i="1"/>
  <c r="G216" i="1"/>
  <c r="G217" i="1"/>
  <c r="G218" i="1"/>
  <c r="G219" i="1"/>
  <c r="G220" i="1"/>
  <c r="G221" i="1"/>
  <c r="G222" i="1"/>
  <c r="G225" i="1"/>
  <c r="G226" i="1"/>
  <c r="G227" i="1"/>
  <c r="G228" i="1"/>
  <c r="G229" i="1"/>
  <c r="G230" i="1"/>
  <c r="G231" i="1"/>
  <c r="G232" i="1"/>
  <c r="G233" i="1"/>
  <c r="G234" i="1"/>
  <c r="G235" i="1"/>
  <c r="G236" i="1"/>
  <c r="G237" i="1"/>
  <c r="G238" i="1"/>
  <c r="G239" i="1"/>
  <c r="G240" i="1"/>
  <c r="G241" i="1"/>
  <c r="G242" i="1"/>
  <c r="G243" i="1"/>
  <c r="G244" i="1"/>
  <c r="G245" i="1"/>
  <c r="G246" i="1"/>
  <c r="G247" i="1"/>
  <c r="G248" i="1"/>
  <c r="G249" i="1"/>
  <c r="G250" i="1"/>
  <c r="G251" i="1"/>
  <c r="G252" i="1"/>
  <c r="G253" i="1"/>
  <c r="G254" i="1"/>
  <c r="G255" i="1"/>
  <c r="G256" i="1"/>
  <c r="G257" i="1"/>
  <c r="G258" i="1"/>
  <c r="G259" i="1"/>
  <c r="G260" i="1"/>
  <c r="G261" i="1"/>
  <c r="G262" i="1"/>
  <c r="F4" i="1"/>
  <c r="F5" i="1"/>
  <c r="F6" i="1"/>
  <c r="F7" i="1"/>
  <c r="F8" i="1"/>
  <c r="F9" i="1"/>
  <c r="F10" i="1"/>
  <c r="F11" i="1"/>
  <c r="F12" i="1"/>
  <c r="F13"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F202" i="1"/>
  <c r="F203" i="1"/>
  <c r="F204" i="1"/>
  <c r="F205" i="1"/>
  <c r="F206" i="1"/>
  <c r="F207" i="1"/>
  <c r="F208" i="1"/>
  <c r="F209" i="1"/>
  <c r="F210" i="1"/>
  <c r="F211" i="1"/>
  <c r="F212" i="1"/>
  <c r="F213" i="1"/>
  <c r="F214" i="1"/>
  <c r="F215" i="1"/>
  <c r="F216" i="1"/>
  <c r="F217" i="1"/>
  <c r="F218" i="1"/>
  <c r="F219" i="1"/>
  <c r="F220" i="1"/>
  <c r="F221" i="1"/>
  <c r="F222" i="1"/>
  <c r="F225" i="1"/>
  <c r="F226" i="1"/>
  <c r="F227" i="1"/>
  <c r="F228" i="1"/>
  <c r="F229"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255" i="1"/>
  <c r="F256" i="1"/>
  <c r="F257" i="1"/>
  <c r="F258" i="1"/>
  <c r="F259" i="1"/>
  <c r="F260" i="1"/>
  <c r="F261" i="1"/>
  <c r="F262" i="1"/>
  <c r="F3" i="1"/>
  <c r="F2" i="1"/>
  <c r="G3" i="1"/>
  <c r="G2" i="1"/>
  <c r="I195" i="1"/>
  <c r="I196" i="1"/>
  <c r="I197" i="1"/>
  <c r="I198" i="1"/>
  <c r="H195" i="1"/>
  <c r="H196" i="1"/>
  <c r="H197" i="1"/>
  <c r="H198" i="1"/>
  <c r="D195" i="1"/>
  <c r="D196" i="1"/>
  <c r="D197" i="1"/>
  <c r="D198" i="1"/>
  <c r="H194" i="1"/>
  <c r="H36" i="1"/>
  <c r="I36" i="1"/>
  <c r="V36" i="1"/>
  <c r="Z36" i="1"/>
  <c r="AB36" i="1" s="1"/>
  <c r="D201" i="1"/>
  <c r="D221" i="1"/>
  <c r="M20" i="10"/>
  <c r="L20" i="10"/>
  <c r="K20" i="10"/>
  <c r="J20" i="10"/>
  <c r="I20" i="10"/>
  <c r="H20" i="10"/>
  <c r="G20" i="10"/>
  <c r="F20" i="10"/>
  <c r="E20" i="10"/>
  <c r="D20" i="10"/>
  <c r="C20" i="10"/>
  <c r="B20" i="10"/>
  <c r="N12" i="10"/>
  <c r="N13" i="10"/>
  <c r="N14" i="10"/>
  <c r="N15" i="10"/>
  <c r="N16" i="10"/>
  <c r="N28" i="10"/>
  <c r="N29" i="10"/>
  <c r="N30" i="10"/>
  <c r="N22" i="10"/>
  <c r="N23" i="10"/>
  <c r="N24" i="10"/>
  <c r="N25" i="10"/>
  <c r="N26" i="10"/>
  <c r="N27" i="10"/>
  <c r="N31" i="10"/>
  <c r="N21" i="10"/>
  <c r="N6" i="10"/>
  <c r="N7" i="10"/>
  <c r="N8" i="10"/>
  <c r="N9" i="10"/>
  <c r="N10" i="10"/>
  <c r="N11" i="10"/>
  <c r="J3" i="11"/>
  <c r="H262" i="1" l="1"/>
  <c r="I254" i="1"/>
  <c r="I255" i="1"/>
  <c r="I256" i="1"/>
  <c r="I257" i="1"/>
  <c r="I258" i="1"/>
  <c r="I262" i="1"/>
  <c r="H254" i="1"/>
  <c r="H255" i="1"/>
  <c r="H256" i="1"/>
  <c r="H257" i="1"/>
  <c r="H258" i="1"/>
  <c r="D262" i="1"/>
  <c r="D254" i="1"/>
  <c r="D255" i="1"/>
  <c r="D256" i="1"/>
  <c r="D257" i="1"/>
  <c r="D258" i="1"/>
  <c r="I3" i="1"/>
  <c r="I4" i="1"/>
  <c r="I5" i="1"/>
  <c r="I6" i="1"/>
  <c r="I7" i="1"/>
  <c r="I8" i="1"/>
  <c r="I9" i="1"/>
  <c r="I10" i="1"/>
  <c r="I11" i="1"/>
  <c r="I12" i="1"/>
  <c r="I13" i="1"/>
  <c r="I15" i="1"/>
  <c r="I16" i="1"/>
  <c r="I18" i="1"/>
  <c r="I19" i="1"/>
  <c r="I20" i="1"/>
  <c r="I21" i="1"/>
  <c r="I22" i="1"/>
  <c r="I23" i="1"/>
  <c r="I24" i="1"/>
  <c r="I25" i="1"/>
  <c r="I26" i="1"/>
  <c r="I27" i="1"/>
  <c r="I28" i="1"/>
  <c r="I29" i="1"/>
  <c r="I30" i="1"/>
  <c r="I31" i="1"/>
  <c r="I32" i="1"/>
  <c r="I33" i="1"/>
  <c r="I34" i="1"/>
  <c r="I35" i="1"/>
  <c r="I37" i="1"/>
  <c r="I38" i="1"/>
  <c r="I39" i="1"/>
  <c r="I40" i="1"/>
  <c r="I42" i="1"/>
  <c r="I43" i="1"/>
  <c r="I44" i="1"/>
  <c r="I45" i="1"/>
  <c r="I46" i="1"/>
  <c r="I47" i="1"/>
  <c r="I48" i="1"/>
  <c r="I49" i="1"/>
  <c r="I50" i="1"/>
  <c r="I51" i="1"/>
  <c r="I52" i="1"/>
  <c r="I53" i="1"/>
  <c r="I54" i="1"/>
  <c r="I55" i="1"/>
  <c r="I58" i="1"/>
  <c r="I59" i="1"/>
  <c r="I60" i="1"/>
  <c r="I61" i="1"/>
  <c r="I62" i="1"/>
  <c r="I63" i="1"/>
  <c r="I64" i="1"/>
  <c r="I65" i="1"/>
  <c r="I66" i="1"/>
  <c r="I67" i="1"/>
  <c r="I68" i="1"/>
  <c r="I69" i="1"/>
  <c r="I70" i="1"/>
  <c r="I71" i="1"/>
  <c r="I72" i="1"/>
  <c r="I74" i="1"/>
  <c r="I75" i="1"/>
  <c r="I76" i="1"/>
  <c r="I77" i="1"/>
  <c r="I78" i="1"/>
  <c r="I79" i="1"/>
  <c r="I80" i="1"/>
  <c r="I81" i="1"/>
  <c r="I82" i="1"/>
  <c r="I84" i="1"/>
  <c r="I85" i="1"/>
  <c r="I86" i="1"/>
  <c r="I88" i="1"/>
  <c r="I89" i="1"/>
  <c r="I90" i="1"/>
  <c r="I91" i="1"/>
  <c r="I92" i="1"/>
  <c r="I93" i="1"/>
  <c r="I94" i="1"/>
  <c r="I95" i="1"/>
  <c r="I96" i="1"/>
  <c r="I97" i="1"/>
  <c r="I98" i="1"/>
  <c r="I99" i="1"/>
  <c r="I103" i="1"/>
  <c r="I104" i="1"/>
  <c r="I105" i="1"/>
  <c r="I106" i="1"/>
  <c r="I107" i="1"/>
  <c r="I108" i="1"/>
  <c r="I109" i="1"/>
  <c r="I110" i="1"/>
  <c r="I111" i="1"/>
  <c r="I112" i="1"/>
  <c r="I113" i="1"/>
  <c r="I114" i="1"/>
  <c r="I115" i="1"/>
  <c r="I116" i="1"/>
  <c r="I117" i="1"/>
  <c r="I118"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2" i="1"/>
  <c r="I163" i="1"/>
  <c r="I164" i="1"/>
  <c r="I165" i="1"/>
  <c r="I170" i="1"/>
  <c r="I171" i="1"/>
  <c r="I172" i="1"/>
  <c r="I173" i="1"/>
  <c r="I174" i="1"/>
  <c r="I175" i="1"/>
  <c r="I176" i="1"/>
  <c r="I177" i="1"/>
  <c r="I178" i="1"/>
  <c r="I179" i="1"/>
  <c r="I180" i="1"/>
  <c r="I181" i="1"/>
  <c r="I182" i="1"/>
  <c r="I184" i="1"/>
  <c r="I185" i="1"/>
  <c r="I186" i="1"/>
  <c r="I187" i="1"/>
  <c r="I188" i="1"/>
  <c r="I189" i="1"/>
  <c r="I190" i="1"/>
  <c r="I191" i="1"/>
  <c r="I192" i="1"/>
  <c r="I193" i="1"/>
  <c r="I194" i="1"/>
  <c r="I199" i="1"/>
  <c r="I201" i="1"/>
  <c r="I202" i="1"/>
  <c r="I203" i="1"/>
  <c r="I205" i="1"/>
  <c r="I206" i="1"/>
  <c r="I207" i="1"/>
  <c r="I208" i="1"/>
  <c r="I209" i="1"/>
  <c r="I210" i="1"/>
  <c r="I212" i="1"/>
  <c r="I213" i="1"/>
  <c r="I214" i="1"/>
  <c r="I216" i="1"/>
  <c r="I217" i="1"/>
  <c r="I219" i="1"/>
  <c r="I220" i="1"/>
  <c r="I221" i="1"/>
  <c r="I225" i="1"/>
  <c r="I226" i="1"/>
  <c r="I227" i="1"/>
  <c r="I228" i="1"/>
  <c r="I229" i="1"/>
  <c r="I230" i="1"/>
  <c r="I231" i="1"/>
  <c r="I232" i="1"/>
  <c r="I234" i="1"/>
  <c r="I235" i="1"/>
  <c r="I236" i="1"/>
  <c r="I237" i="1"/>
  <c r="I238" i="1"/>
  <c r="I239" i="1"/>
  <c r="I240" i="1"/>
  <c r="I241" i="1"/>
  <c r="I242" i="1"/>
  <c r="I243" i="1"/>
  <c r="I244" i="1"/>
  <c r="I245" i="1"/>
  <c r="I246" i="1"/>
  <c r="I247" i="1"/>
  <c r="I248" i="1"/>
  <c r="I249" i="1"/>
  <c r="I250" i="1"/>
  <c r="I251" i="1"/>
  <c r="I252" i="1"/>
  <c r="I253" i="1"/>
  <c r="I2" i="1"/>
  <c r="H3" i="1"/>
  <c r="H4" i="1"/>
  <c r="H5" i="1"/>
  <c r="H6" i="1"/>
  <c r="H7" i="1"/>
  <c r="H8" i="1"/>
  <c r="H9" i="1"/>
  <c r="H10" i="1"/>
  <c r="H11" i="1"/>
  <c r="H12" i="1"/>
  <c r="H13" i="1"/>
  <c r="H15" i="1"/>
  <c r="H16" i="1"/>
  <c r="H18" i="1"/>
  <c r="H19" i="1"/>
  <c r="H20" i="1"/>
  <c r="H21" i="1"/>
  <c r="H22" i="1"/>
  <c r="H23" i="1"/>
  <c r="H24" i="1"/>
  <c r="H25" i="1"/>
  <c r="H26" i="1"/>
  <c r="H27" i="1"/>
  <c r="H28" i="1"/>
  <c r="H29" i="1"/>
  <c r="H30" i="1"/>
  <c r="H31" i="1"/>
  <c r="H32" i="1"/>
  <c r="H33" i="1"/>
  <c r="H34" i="1"/>
  <c r="H35" i="1"/>
  <c r="H37" i="1"/>
  <c r="H38" i="1"/>
  <c r="H39" i="1"/>
  <c r="H40" i="1"/>
  <c r="H42" i="1"/>
  <c r="H43" i="1"/>
  <c r="H44" i="1"/>
  <c r="H45" i="1"/>
  <c r="H46" i="1"/>
  <c r="H47" i="1"/>
  <c r="H48" i="1"/>
  <c r="H49" i="1"/>
  <c r="H50" i="1"/>
  <c r="H51" i="1"/>
  <c r="H52" i="1"/>
  <c r="H53" i="1"/>
  <c r="H54" i="1"/>
  <c r="H55" i="1"/>
  <c r="H58" i="1"/>
  <c r="H59" i="1"/>
  <c r="H60" i="1"/>
  <c r="H61" i="1"/>
  <c r="H62" i="1"/>
  <c r="H63" i="1"/>
  <c r="H64" i="1"/>
  <c r="H65" i="1"/>
  <c r="H66" i="1"/>
  <c r="H67" i="1"/>
  <c r="H68" i="1"/>
  <c r="H69" i="1"/>
  <c r="H70" i="1"/>
  <c r="H71" i="1"/>
  <c r="H72" i="1"/>
  <c r="H74" i="1"/>
  <c r="H75" i="1"/>
  <c r="H76" i="1"/>
  <c r="H77" i="1"/>
  <c r="H78" i="1"/>
  <c r="H79" i="1"/>
  <c r="H80" i="1"/>
  <c r="H81" i="1"/>
  <c r="H82" i="1"/>
  <c r="H84" i="1"/>
  <c r="H85" i="1"/>
  <c r="H86" i="1"/>
  <c r="H88" i="1"/>
  <c r="H89" i="1"/>
  <c r="H90" i="1"/>
  <c r="H91" i="1"/>
  <c r="H92" i="1"/>
  <c r="H93" i="1"/>
  <c r="H94" i="1"/>
  <c r="H95" i="1"/>
  <c r="H96" i="1"/>
  <c r="H97" i="1"/>
  <c r="H98" i="1"/>
  <c r="H99" i="1"/>
  <c r="H103" i="1"/>
  <c r="H104" i="1"/>
  <c r="H105" i="1"/>
  <c r="H106" i="1"/>
  <c r="H107" i="1"/>
  <c r="H108" i="1"/>
  <c r="H109" i="1"/>
  <c r="H110" i="1"/>
  <c r="H111" i="1"/>
  <c r="H112" i="1"/>
  <c r="H113" i="1"/>
  <c r="H114" i="1"/>
  <c r="H115" i="1"/>
  <c r="H116" i="1"/>
  <c r="H117" i="1"/>
  <c r="H118"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2" i="1"/>
  <c r="H163" i="1"/>
  <c r="H164" i="1"/>
  <c r="H165" i="1"/>
  <c r="H170" i="1"/>
  <c r="H171" i="1"/>
  <c r="H172" i="1"/>
  <c r="H173" i="1"/>
  <c r="H174" i="1"/>
  <c r="H175" i="1"/>
  <c r="H176" i="1"/>
  <c r="H177" i="1"/>
  <c r="H178" i="1"/>
  <c r="H179" i="1"/>
  <c r="H180" i="1"/>
  <c r="H181" i="1"/>
  <c r="H182" i="1"/>
  <c r="H184" i="1"/>
  <c r="H185" i="1"/>
  <c r="H186" i="1"/>
  <c r="H187" i="1"/>
  <c r="H188" i="1"/>
  <c r="H189" i="1"/>
  <c r="H190" i="1"/>
  <c r="H191" i="1"/>
  <c r="H192" i="1"/>
  <c r="H193" i="1"/>
  <c r="H199" i="1"/>
  <c r="H201" i="1"/>
  <c r="H202" i="1"/>
  <c r="H203" i="1"/>
  <c r="H205" i="1"/>
  <c r="H206" i="1"/>
  <c r="H207" i="1"/>
  <c r="H208" i="1"/>
  <c r="H209" i="1"/>
  <c r="H210" i="1"/>
  <c r="H212" i="1"/>
  <c r="H213" i="1"/>
  <c r="H214" i="1"/>
  <c r="H216" i="1"/>
  <c r="H217" i="1"/>
  <c r="H219" i="1"/>
  <c r="H220" i="1"/>
  <c r="H221" i="1"/>
  <c r="H225" i="1"/>
  <c r="H226" i="1"/>
  <c r="H227" i="1"/>
  <c r="H228" i="1"/>
  <c r="H229" i="1"/>
  <c r="H230" i="1"/>
  <c r="H231" i="1"/>
  <c r="H232" i="1"/>
  <c r="H234" i="1"/>
  <c r="H235" i="1"/>
  <c r="H236" i="1"/>
  <c r="H237" i="1"/>
  <c r="H238" i="1"/>
  <c r="H239" i="1"/>
  <c r="H240" i="1"/>
  <c r="H241" i="1"/>
  <c r="H242" i="1"/>
  <c r="H243" i="1"/>
  <c r="H244" i="1"/>
  <c r="H245" i="1"/>
  <c r="H246" i="1"/>
  <c r="H247" i="1"/>
  <c r="H248" i="1"/>
  <c r="H249" i="1"/>
  <c r="H250" i="1"/>
  <c r="H251" i="1"/>
  <c r="H252" i="1"/>
  <c r="H253" i="1"/>
  <c r="H2" i="1"/>
  <c r="D112" i="1"/>
  <c r="D113" i="1"/>
  <c r="D114" i="1"/>
  <c r="D115" i="1"/>
  <c r="D116" i="1"/>
  <c r="D117" i="1"/>
  <c r="D118"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2" i="1"/>
  <c r="D163" i="1"/>
  <c r="D164" i="1"/>
  <c r="D165" i="1"/>
  <c r="D170" i="1"/>
  <c r="D171" i="1"/>
  <c r="D172" i="1"/>
  <c r="D173" i="1"/>
  <c r="D174" i="1"/>
  <c r="D175" i="1"/>
  <c r="D176" i="1"/>
  <c r="D177" i="1"/>
  <c r="D178" i="1"/>
  <c r="D179" i="1"/>
  <c r="D180" i="1"/>
  <c r="D181" i="1"/>
  <c r="D182" i="1"/>
  <c r="D184" i="1"/>
  <c r="D185" i="1"/>
  <c r="D186" i="1"/>
  <c r="D187" i="1"/>
  <c r="D188" i="1"/>
  <c r="D189" i="1"/>
  <c r="D190" i="1"/>
  <c r="D191" i="1"/>
  <c r="D192" i="1"/>
  <c r="D193" i="1"/>
  <c r="D194" i="1"/>
  <c r="D199" i="1"/>
  <c r="D202" i="1"/>
  <c r="D203" i="1"/>
  <c r="D205" i="1"/>
  <c r="D206" i="1"/>
  <c r="D207" i="1"/>
  <c r="D208" i="1"/>
  <c r="D209" i="1"/>
  <c r="D210" i="1"/>
  <c r="D212" i="1"/>
  <c r="D213" i="1"/>
  <c r="D214" i="1"/>
  <c r="D216" i="1"/>
  <c r="D217" i="1"/>
  <c r="D219" i="1"/>
  <c r="D220" i="1"/>
  <c r="D225" i="1"/>
  <c r="D226" i="1"/>
  <c r="D227" i="1"/>
  <c r="D228" i="1"/>
  <c r="D229" i="1"/>
  <c r="D230" i="1"/>
  <c r="D231" i="1"/>
  <c r="D232" i="1"/>
  <c r="D234" i="1"/>
  <c r="D235" i="1"/>
  <c r="D236" i="1"/>
  <c r="D237" i="1"/>
  <c r="D238" i="1"/>
  <c r="D239" i="1"/>
  <c r="D240" i="1"/>
  <c r="D241" i="1"/>
  <c r="D242" i="1"/>
  <c r="D243" i="1"/>
  <c r="D244" i="1"/>
  <c r="D245" i="1"/>
  <c r="D246" i="1"/>
  <c r="D247" i="1"/>
  <c r="D248" i="1"/>
  <c r="D249" i="1"/>
  <c r="D250" i="1"/>
  <c r="D251" i="1"/>
  <c r="D252" i="1"/>
  <c r="D253" i="1"/>
  <c r="D110" i="1"/>
  <c r="D111" i="1"/>
  <c r="D109" i="1"/>
  <c r="D104" i="1"/>
  <c r="D105" i="1"/>
  <c r="D106" i="1"/>
  <c r="D107" i="1"/>
  <c r="D108" i="1"/>
  <c r="D103" i="1"/>
  <c r="D99" i="1"/>
  <c r="D98" i="1"/>
  <c r="D89" i="1"/>
  <c r="D90" i="1"/>
  <c r="D91" i="1"/>
  <c r="D92" i="1"/>
  <c r="D93" i="1"/>
  <c r="D94" i="1"/>
  <c r="D95" i="1"/>
  <c r="D96" i="1"/>
  <c r="D97" i="1"/>
  <c r="D88" i="1"/>
  <c r="D86" i="1"/>
  <c r="D85" i="1"/>
  <c r="D84" i="1"/>
  <c r="D82" i="1"/>
  <c r="D81" i="1"/>
  <c r="D79" i="1"/>
  <c r="D80" i="1"/>
  <c r="D77" i="1"/>
  <c r="D78" i="1"/>
  <c r="D75" i="1"/>
  <c r="D76" i="1"/>
  <c r="D74" i="1"/>
  <c r="D72" i="1"/>
  <c r="D71" i="1"/>
  <c r="D66" i="1"/>
  <c r="D67" i="1"/>
  <c r="D68" i="1"/>
  <c r="D69" i="1"/>
  <c r="D70" i="1"/>
  <c r="D62" i="1"/>
  <c r="D63" i="1"/>
  <c r="D64" i="1"/>
  <c r="D65" i="1"/>
  <c r="D59" i="1"/>
  <c r="D60" i="1"/>
  <c r="D61" i="1"/>
  <c r="D58" i="1"/>
  <c r="D55" i="1"/>
  <c r="D53" i="1"/>
  <c r="D44" i="1"/>
  <c r="D54" i="1"/>
  <c r="D45" i="1"/>
  <c r="D46" i="1"/>
  <c r="D47" i="1"/>
  <c r="D48" i="1"/>
  <c r="D49" i="1"/>
  <c r="D50" i="1"/>
  <c r="D51" i="1"/>
  <c r="D52" i="1"/>
  <c r="D41" i="1"/>
  <c r="D42" i="1"/>
  <c r="D43" i="1"/>
  <c r="D39" i="1"/>
  <c r="D40" i="1"/>
  <c r="D35" i="1"/>
  <c r="D36" i="1"/>
  <c r="D37" i="1"/>
  <c r="D38" i="1"/>
  <c r="D30" i="1"/>
  <c r="D31" i="1"/>
  <c r="D32" i="1"/>
  <c r="D33" i="1"/>
  <c r="D34" i="1"/>
  <c r="D28" i="1"/>
  <c r="D29" i="1"/>
  <c r="D24" i="1"/>
  <c r="D25" i="1"/>
  <c r="D26" i="1"/>
  <c r="D27" i="1"/>
  <c r="D20" i="1"/>
  <c r="D21" i="1"/>
  <c r="D22" i="1"/>
  <c r="D23" i="1"/>
  <c r="D19" i="1"/>
  <c r="D18" i="1"/>
  <c r="D15" i="1"/>
  <c r="D16" i="1"/>
  <c r="D13" i="1"/>
  <c r="D12" i="1"/>
  <c r="D10" i="1"/>
  <c r="D11" i="1"/>
  <c r="D3" i="1"/>
  <c r="D4" i="1"/>
  <c r="D5" i="1"/>
  <c r="D6" i="1"/>
  <c r="D7" i="1"/>
  <c r="D8" i="1"/>
  <c r="D9" i="1"/>
  <c r="D2" i="1"/>
  <c r="AB253" i="1" l="1"/>
  <c r="X252" i="1"/>
  <c r="V252" i="1"/>
  <c r="W251" i="1"/>
  <c r="Z251" i="1" s="1"/>
  <c r="AB251" i="1" s="1"/>
  <c r="X250" i="1"/>
  <c r="W250" i="1"/>
  <c r="V250" i="1"/>
  <c r="V249" i="1"/>
  <c r="Z249" i="1" s="1"/>
  <c r="AB249" i="1" s="1"/>
  <c r="AB248" i="1"/>
  <c r="AB247" i="1"/>
  <c r="Z246" i="1"/>
  <c r="AB246" i="1" s="1"/>
  <c r="Y246" i="1"/>
  <c r="Z245" i="1"/>
  <c r="AB245" i="1" s="1"/>
  <c r="Z244" i="1"/>
  <c r="AB244" i="1" s="1"/>
  <c r="Z243" i="1"/>
  <c r="AB243" i="1" s="1"/>
  <c r="AB241" i="1"/>
  <c r="Z240" i="1"/>
  <c r="AB240" i="1" s="1"/>
  <c r="V240" i="1"/>
  <c r="Z239" i="1"/>
  <c r="AB239" i="1" s="1"/>
  <c r="V239" i="1"/>
  <c r="Z238" i="1"/>
  <c r="AB238" i="1" s="1"/>
  <c r="Z237" i="1"/>
  <c r="AB237" i="1" s="1"/>
  <c r="V237" i="1"/>
  <c r="Z236" i="1"/>
  <c r="AB236" i="1" s="1"/>
  <c r="W235" i="1"/>
  <c r="Z235" i="1" s="1"/>
  <c r="AB235" i="1" s="1"/>
  <c r="AB234" i="1"/>
  <c r="Z233" i="1"/>
  <c r="AB233" i="1" s="1"/>
  <c r="Z232" i="1"/>
  <c r="AB232" i="1" s="1"/>
  <c r="Z231" i="1"/>
  <c r="AB231" i="1" s="1"/>
  <c r="Z230" i="1"/>
  <c r="AB230" i="1" s="1"/>
  <c r="V230" i="1"/>
  <c r="Z229" i="1"/>
  <c r="AB229" i="1" s="1"/>
  <c r="X229" i="1"/>
  <c r="Z228" i="1"/>
  <c r="AB228" i="1" s="1"/>
  <c r="V228" i="1"/>
  <c r="Z227" i="1"/>
  <c r="AB227" i="1" s="1"/>
  <c r="Z226" i="1"/>
  <c r="AB226" i="1" s="1"/>
  <c r="Z225" i="1"/>
  <c r="AB225" i="1" s="1"/>
  <c r="AB221" i="1"/>
  <c r="Z220" i="1"/>
  <c r="AB220" i="1" s="1"/>
  <c r="Z219" i="1"/>
  <c r="AB219" i="1" s="1"/>
  <c r="V219" i="1"/>
  <c r="Z218" i="1"/>
  <c r="Z217" i="1"/>
  <c r="AA216" i="1"/>
  <c r="Z216" i="1"/>
  <c r="AB214" i="1"/>
  <c r="Z213" i="1"/>
  <c r="AB213" i="1" s="1"/>
  <c r="Z212" i="1"/>
  <c r="AB212" i="1" s="1"/>
  <c r="Z211" i="1"/>
  <c r="Z210" i="1"/>
  <c r="Z209" i="1"/>
  <c r="AB209" i="1" s="1"/>
  <c r="Z208" i="1"/>
  <c r="AB208" i="1" s="1"/>
  <c r="Z207" i="1"/>
  <c r="AB207" i="1" s="1"/>
  <c r="Z206" i="1"/>
  <c r="AB206" i="1" s="1"/>
  <c r="Z205" i="1"/>
  <c r="AB205" i="1" s="1"/>
  <c r="Z204" i="1"/>
  <c r="W204" i="1"/>
  <c r="Z203" i="1"/>
  <c r="W203" i="1"/>
  <c r="V203" i="1"/>
  <c r="Z202" i="1"/>
  <c r="AB202" i="1" s="1"/>
  <c r="R202" i="1"/>
  <c r="AB201" i="1"/>
  <c r="Z200" i="1"/>
  <c r="V200" i="1"/>
  <c r="Z199" i="1"/>
  <c r="V199" i="1"/>
  <c r="Z198" i="1"/>
  <c r="Z197" i="1"/>
  <c r="Z196" i="1"/>
  <c r="Z195" i="1"/>
  <c r="Z193" i="1"/>
  <c r="AB193" i="1" s="1"/>
  <c r="Z192" i="1"/>
  <c r="AB192" i="1" s="1"/>
  <c r="Z191" i="1"/>
  <c r="AB191" i="1" s="1"/>
  <c r="Z190" i="1"/>
  <c r="AB190" i="1" s="1"/>
  <c r="Z189" i="1"/>
  <c r="AB189" i="1" s="1"/>
  <c r="AB188" i="1"/>
  <c r="Z187" i="1"/>
  <c r="AB187" i="1" s="1"/>
  <c r="Z186" i="1"/>
  <c r="AB186" i="1" s="1"/>
  <c r="Z185" i="1"/>
  <c r="AB185" i="1" s="1"/>
  <c r="AB184" i="1"/>
  <c r="Z183" i="1"/>
  <c r="Z182" i="1"/>
  <c r="Z181" i="1"/>
  <c r="AB181" i="1" s="1"/>
  <c r="Z180" i="1"/>
  <c r="AB180" i="1" s="1"/>
  <c r="Z179" i="1"/>
  <c r="AB179" i="1" s="1"/>
  <c r="W179" i="1"/>
  <c r="V179" i="1"/>
  <c r="Z178" i="1"/>
  <c r="AB178" i="1" s="1"/>
  <c r="V178" i="1"/>
  <c r="Z177" i="1"/>
  <c r="AB177" i="1" s="1"/>
  <c r="W177" i="1"/>
  <c r="V177" i="1"/>
  <c r="Z176" i="1"/>
  <c r="AB176" i="1" s="1"/>
  <c r="Z175" i="1"/>
  <c r="AB175" i="1" s="1"/>
  <c r="Z174" i="1"/>
  <c r="AB174" i="1" s="1"/>
  <c r="V174" i="1"/>
  <c r="Z173" i="1"/>
  <c r="AB173" i="1" s="1"/>
  <c r="Z172" i="1"/>
  <c r="AB172" i="1" s="1"/>
  <c r="Z171" i="1"/>
  <c r="AB171" i="1" s="1"/>
  <c r="V171" i="1"/>
  <c r="Z170" i="1"/>
  <c r="AB170" i="1" s="1"/>
  <c r="AB165" i="1"/>
  <c r="Z164" i="1"/>
  <c r="AB164" i="1" s="1"/>
  <c r="W164" i="1"/>
  <c r="Z163" i="1"/>
  <c r="AB163" i="1" s="1"/>
  <c r="Z162" i="1"/>
  <c r="AB162" i="1" s="1"/>
  <c r="Z160" i="1"/>
  <c r="AB160" i="1" s="1"/>
  <c r="Z159" i="1"/>
  <c r="AB159" i="1" s="1"/>
  <c r="V159" i="1"/>
  <c r="Z158" i="1"/>
  <c r="AB158" i="1" s="1"/>
  <c r="W158" i="1"/>
  <c r="Z157" i="1"/>
  <c r="AB157" i="1" s="1"/>
  <c r="V157" i="1"/>
  <c r="Z156" i="1"/>
  <c r="AB156" i="1" s="1"/>
  <c r="Z155" i="1"/>
  <c r="AB155" i="1" s="1"/>
  <c r="Z154" i="1"/>
  <c r="AB154" i="1" s="1"/>
  <c r="W154" i="1"/>
  <c r="Z153" i="1"/>
  <c r="AB153" i="1" s="1"/>
  <c r="W153" i="1"/>
  <c r="Z152" i="1"/>
  <c r="AB152" i="1" s="1"/>
  <c r="Z151" i="1"/>
  <c r="AB151" i="1" s="1"/>
  <c r="V151" i="1"/>
  <c r="Z150" i="1"/>
  <c r="AB150" i="1" s="1"/>
  <c r="Z149" i="1"/>
  <c r="AB149" i="1" s="1"/>
  <c r="Z148" i="1"/>
  <c r="AB148" i="1" s="1"/>
  <c r="Z147" i="1"/>
  <c r="AB147" i="1" s="1"/>
  <c r="Z146" i="1"/>
  <c r="AB146" i="1" s="1"/>
  <c r="Z145" i="1"/>
  <c r="AB145" i="1" s="1"/>
  <c r="Z144" i="1"/>
  <c r="AB144" i="1" s="1"/>
  <c r="Z143" i="1"/>
  <c r="AB143" i="1" s="1"/>
  <c r="Z142" i="1"/>
  <c r="AB142" i="1" s="1"/>
  <c r="Z141" i="1"/>
  <c r="AB141" i="1" s="1"/>
  <c r="Z140" i="1"/>
  <c r="AB140" i="1" s="1"/>
  <c r="AA139" i="1"/>
  <c r="Z139" i="1"/>
  <c r="V139" i="1"/>
  <c r="Z138" i="1"/>
  <c r="AB138" i="1" s="1"/>
  <c r="W138" i="1"/>
  <c r="Z137" i="1"/>
  <c r="AB137" i="1" s="1"/>
  <c r="Z136" i="1"/>
  <c r="AB136" i="1" s="1"/>
  <c r="Z135" i="1"/>
  <c r="AB135" i="1" s="1"/>
  <c r="Z134" i="1"/>
  <c r="AB134" i="1" s="1"/>
  <c r="V134" i="1"/>
  <c r="Z133" i="1"/>
  <c r="AB133" i="1" s="1"/>
  <c r="Z132" i="1"/>
  <c r="AB132" i="1" s="1"/>
  <c r="Z131" i="1"/>
  <c r="AB131" i="1" s="1"/>
  <c r="W131" i="1"/>
  <c r="Z130" i="1"/>
  <c r="AB130" i="1" s="1"/>
  <c r="Z129" i="1"/>
  <c r="AB129" i="1" s="1"/>
  <c r="Z128" i="1"/>
  <c r="AB128" i="1" s="1"/>
  <c r="Z127" i="1"/>
  <c r="AB127" i="1" s="1"/>
  <c r="W127" i="1"/>
  <c r="AA126" i="1"/>
  <c r="Z126" i="1"/>
  <c r="Z125" i="1"/>
  <c r="AB125" i="1" s="1"/>
  <c r="Z124" i="1"/>
  <c r="AB124" i="1" s="1"/>
  <c r="Z123" i="1"/>
  <c r="AB123" i="1" s="1"/>
  <c r="Z122" i="1"/>
  <c r="AB122" i="1" s="1"/>
  <c r="V122" i="1"/>
  <c r="Z121" i="1"/>
  <c r="AB121" i="1" s="1"/>
  <c r="Z120" i="1"/>
  <c r="AB120" i="1" s="1"/>
  <c r="Z119" i="1"/>
  <c r="Z118" i="1"/>
  <c r="V118" i="1"/>
  <c r="Z117" i="1"/>
  <c r="AB117" i="1" s="1"/>
  <c r="AH116" i="1"/>
  <c r="Z116" i="1"/>
  <c r="AB116" i="1" s="1"/>
  <c r="W116" i="1"/>
  <c r="V116" i="1"/>
  <c r="AA115" i="1"/>
  <c r="Z115" i="1"/>
  <c r="AA114" i="1"/>
  <c r="Z114" i="1"/>
  <c r="Z113" i="1"/>
  <c r="AB113" i="1" s="1"/>
  <c r="Z112" i="1"/>
  <c r="AB112" i="1" s="1"/>
  <c r="Z111" i="1"/>
  <c r="AB111" i="1" s="1"/>
  <c r="Z110" i="1"/>
  <c r="AB110" i="1" s="1"/>
  <c r="Z109" i="1"/>
  <c r="AB109" i="1" s="1"/>
  <c r="AB108" i="1"/>
  <c r="AA107" i="1"/>
  <c r="Z107" i="1"/>
  <c r="AA106" i="1"/>
  <c r="Z106" i="1"/>
  <c r="Z105" i="1"/>
  <c r="AB105" i="1" s="1"/>
  <c r="Z104" i="1"/>
  <c r="AB104" i="1" s="1"/>
  <c r="Z103" i="1"/>
  <c r="AB103" i="1" s="1"/>
  <c r="W103" i="1"/>
  <c r="V103" i="1"/>
  <c r="Z102" i="1"/>
  <c r="V102" i="1"/>
  <c r="Z101" i="1"/>
  <c r="V101" i="1"/>
  <c r="Z100" i="1"/>
  <c r="V100" i="1"/>
  <c r="Z99" i="1"/>
  <c r="V99" i="1"/>
  <c r="Z98" i="1"/>
  <c r="AB98" i="1" s="1"/>
  <c r="Z97" i="1"/>
  <c r="AB97" i="1" s="1"/>
  <c r="Z96" i="1"/>
  <c r="AB96" i="1" s="1"/>
  <c r="Z95" i="1"/>
  <c r="AB95" i="1" s="1"/>
  <c r="Z94" i="1"/>
  <c r="AB94" i="1" s="1"/>
  <c r="Z93" i="1"/>
  <c r="AB93" i="1" s="1"/>
  <c r="Z92" i="1"/>
  <c r="AB92" i="1" s="1"/>
  <c r="AA91" i="1"/>
  <c r="Z91" i="1"/>
  <c r="Z90" i="1"/>
  <c r="AB90" i="1" s="1"/>
  <c r="Z89" i="1"/>
  <c r="AB89" i="1" s="1"/>
  <c r="Z88" i="1"/>
  <c r="AB88" i="1" s="1"/>
  <c r="Z87" i="1"/>
  <c r="Z86" i="1"/>
  <c r="Z85" i="1"/>
  <c r="AB85" i="1" s="1"/>
  <c r="Z84" i="1"/>
  <c r="AB84" i="1" s="1"/>
  <c r="Z83" i="1"/>
  <c r="Z82" i="1"/>
  <c r="Z81" i="1"/>
  <c r="AB81" i="1" s="1"/>
  <c r="Z80" i="1"/>
  <c r="AB80" i="1" s="1"/>
  <c r="Z79" i="1"/>
  <c r="AB79" i="1" s="1"/>
  <c r="Z78" i="1"/>
  <c r="AB78" i="1" s="1"/>
  <c r="V78" i="1"/>
  <c r="AB77" i="1"/>
  <c r="AB76" i="1"/>
  <c r="Z75" i="1"/>
  <c r="AB75" i="1" s="1"/>
  <c r="AB74" i="1"/>
  <c r="Z73" i="1"/>
  <c r="V73" i="1"/>
  <c r="Z72" i="1"/>
  <c r="X72" i="1"/>
  <c r="V72" i="1"/>
  <c r="Z71" i="1"/>
  <c r="AB71" i="1" s="1"/>
  <c r="Z70" i="1"/>
  <c r="AB70" i="1" s="1"/>
  <c r="V70" i="1"/>
  <c r="Z69" i="1"/>
  <c r="AB69" i="1" s="1"/>
  <c r="V69" i="1"/>
  <c r="AB68" i="1"/>
  <c r="Z67" i="1"/>
  <c r="AB67" i="1" s="1"/>
  <c r="Z66" i="1"/>
  <c r="AB66" i="1" s="1"/>
  <c r="Z65" i="1"/>
  <c r="AB65" i="1" s="1"/>
  <c r="AA64" i="1"/>
  <c r="Z63" i="1"/>
  <c r="AB63" i="1" s="1"/>
  <c r="Z62" i="1"/>
  <c r="AB62" i="1" s="1"/>
  <c r="W62" i="1"/>
  <c r="V62" i="1"/>
  <c r="Z61" i="1"/>
  <c r="AB61" i="1" s="1"/>
  <c r="Z60" i="1"/>
  <c r="AB60" i="1" s="1"/>
  <c r="Z59" i="1"/>
  <c r="AB59" i="1" s="1"/>
  <c r="Z58" i="1"/>
  <c r="AB58" i="1" s="1"/>
  <c r="Z57" i="1"/>
  <c r="V57" i="1"/>
  <c r="Z56" i="1"/>
  <c r="V56" i="1"/>
  <c r="V55" i="1"/>
  <c r="Z55" i="1" s="1"/>
  <c r="Z54" i="1"/>
  <c r="AB54" i="1" s="1"/>
  <c r="Z53" i="1"/>
  <c r="AB53" i="1" s="1"/>
  <c r="Z52" i="1"/>
  <c r="AB52" i="1" s="1"/>
  <c r="Z51" i="1"/>
  <c r="AB51" i="1" s="1"/>
  <c r="Z50" i="1"/>
  <c r="AB50" i="1" s="1"/>
  <c r="Z49" i="1"/>
  <c r="AB49" i="1" s="1"/>
  <c r="Z48" i="1"/>
  <c r="AB48" i="1" s="1"/>
  <c r="Z47" i="1"/>
  <c r="AB47" i="1" s="1"/>
  <c r="Z46" i="1"/>
  <c r="AB46" i="1" s="1"/>
  <c r="V46" i="1"/>
  <c r="Z45" i="1"/>
  <c r="AB45" i="1" s="1"/>
  <c r="V45" i="1"/>
  <c r="Z44" i="1"/>
  <c r="AB44" i="1" s="1"/>
  <c r="V44" i="1"/>
  <c r="AB43" i="1"/>
  <c r="Z42" i="1"/>
  <c r="AB42" i="1" s="1"/>
  <c r="AB40" i="1"/>
  <c r="Z39" i="1"/>
  <c r="AB39" i="1" s="1"/>
  <c r="Z38" i="1"/>
  <c r="AB38" i="1" s="1"/>
  <c r="X38" i="1"/>
  <c r="Z37" i="1"/>
  <c r="AB37" i="1" s="1"/>
  <c r="Z35" i="1"/>
  <c r="AB35" i="1" s="1"/>
  <c r="V35" i="1"/>
  <c r="Z34" i="1"/>
  <c r="AB34" i="1" s="1"/>
  <c r="Z33" i="1"/>
  <c r="AB33" i="1" s="1"/>
  <c r="Z32" i="1"/>
  <c r="AB32" i="1" s="1"/>
  <c r="Z31" i="1"/>
  <c r="AB31" i="1" s="1"/>
  <c r="V31" i="1"/>
  <c r="AB30" i="1"/>
  <c r="Z29" i="1"/>
  <c r="AB29" i="1" s="1"/>
  <c r="Z28" i="1"/>
  <c r="AB28" i="1" s="1"/>
  <c r="Z27" i="1"/>
  <c r="AB27" i="1" s="1"/>
  <c r="Z26" i="1"/>
  <c r="AB26" i="1" s="1"/>
  <c r="Z25" i="1"/>
  <c r="AB25" i="1" s="1"/>
  <c r="AB24" i="1"/>
  <c r="Z23" i="1"/>
  <c r="AB23" i="1" s="1"/>
  <c r="X23" i="1"/>
  <c r="Z22" i="1"/>
  <c r="AB22" i="1" s="1"/>
  <c r="Z21" i="1"/>
  <c r="AB21" i="1" s="1"/>
  <c r="Z20" i="1"/>
  <c r="AB20" i="1" s="1"/>
  <c r="Z19" i="1"/>
  <c r="AB19" i="1" s="1"/>
  <c r="V19" i="1"/>
  <c r="Z18" i="1"/>
  <c r="AB18" i="1" s="1"/>
  <c r="Z16" i="1"/>
  <c r="AB16" i="1" s="1"/>
  <c r="V16" i="1"/>
  <c r="Z15" i="1"/>
  <c r="AB15" i="1" s="1"/>
  <c r="Z13" i="1"/>
  <c r="AB13" i="1" s="1"/>
  <c r="Z12" i="1"/>
  <c r="AB12" i="1" s="1"/>
  <c r="Z11" i="1"/>
  <c r="AB11" i="1" s="1"/>
  <c r="Z10" i="1"/>
  <c r="AB10" i="1" s="1"/>
  <c r="Z9" i="1"/>
  <c r="AB9" i="1" s="1"/>
  <c r="Z8" i="1"/>
  <c r="AB8" i="1" s="1"/>
  <c r="Z7" i="1"/>
  <c r="AB7" i="1" s="1"/>
  <c r="Z6" i="1"/>
  <c r="AB6" i="1" s="1"/>
  <c r="Z5" i="1"/>
  <c r="AB5" i="1" s="1"/>
  <c r="Z4" i="1"/>
  <c r="AB4" i="1" s="1"/>
  <c r="Z3" i="1"/>
  <c r="AB3" i="1" s="1"/>
  <c r="Z2" i="1"/>
  <c r="AB2" i="1" s="1"/>
  <c r="B60" i="4"/>
  <c r="B61" i="4" s="1"/>
  <c r="E132" i="5"/>
  <c r="E131" i="5"/>
  <c r="E130" i="5"/>
  <c r="E129" i="5"/>
  <c r="E128" i="5"/>
  <c r="E127" i="5"/>
  <c r="E126" i="5"/>
  <c r="E125" i="5"/>
  <c r="E124" i="5"/>
  <c r="E123" i="5"/>
  <c r="E122" i="5"/>
  <c r="E121" i="5"/>
  <c r="E120" i="5"/>
  <c r="E119" i="5"/>
  <c r="E118" i="5"/>
  <c r="E117" i="5"/>
  <c r="E116" i="5"/>
  <c r="E115" i="5"/>
  <c r="E114" i="5"/>
  <c r="E113" i="5"/>
  <c r="E112" i="5"/>
  <c r="E111" i="5"/>
  <c r="E110" i="5"/>
  <c r="E109" i="5"/>
  <c r="E108" i="5"/>
  <c r="E107" i="5"/>
  <c r="E106" i="5"/>
  <c r="E105" i="5"/>
  <c r="E104" i="5"/>
  <c r="E103" i="5"/>
  <c r="E102" i="5"/>
  <c r="E101" i="5"/>
  <c r="E100" i="5"/>
  <c r="E99" i="5"/>
  <c r="E98" i="5"/>
  <c r="E97" i="5"/>
  <c r="E96" i="5"/>
  <c r="E95" i="5"/>
  <c r="E94" i="5"/>
  <c r="E93" i="5"/>
  <c r="E92" i="5"/>
  <c r="E91" i="5"/>
  <c r="E90" i="5"/>
  <c r="E89" i="5"/>
  <c r="E88" i="5"/>
  <c r="E87" i="5"/>
  <c r="E86" i="5"/>
  <c r="E85" i="5"/>
  <c r="E84" i="5"/>
  <c r="E83" i="5"/>
  <c r="E82" i="5"/>
  <c r="E81" i="5"/>
  <c r="E80" i="5"/>
  <c r="E79" i="5"/>
  <c r="E78" i="5"/>
  <c r="E77" i="5"/>
  <c r="E76" i="5"/>
  <c r="E75" i="5"/>
  <c r="E74" i="5"/>
  <c r="E73" i="5"/>
  <c r="E72" i="5"/>
  <c r="E71" i="5"/>
  <c r="E70" i="5"/>
  <c r="E69" i="5"/>
  <c r="E68" i="5"/>
  <c r="E67" i="5"/>
  <c r="E66" i="5"/>
  <c r="E65" i="5"/>
  <c r="E64" i="5"/>
  <c r="E63" i="5"/>
  <c r="E62" i="5"/>
  <c r="E61" i="5"/>
  <c r="E60" i="5"/>
  <c r="E59" i="5"/>
  <c r="E58" i="5"/>
  <c r="E57" i="5"/>
  <c r="E56" i="5"/>
  <c r="E55" i="5"/>
  <c r="E54" i="5"/>
  <c r="E53" i="5"/>
  <c r="E52" i="5"/>
  <c r="E51" i="5"/>
  <c r="E50" i="5"/>
  <c r="E49" i="5"/>
  <c r="E48" i="5"/>
  <c r="E47" i="5"/>
  <c r="E46" i="5"/>
  <c r="E45" i="5"/>
  <c r="E44" i="5"/>
  <c r="E43" i="5"/>
  <c r="E42" i="5"/>
  <c r="E41" i="5"/>
  <c r="E40" i="5"/>
  <c r="E39" i="5"/>
  <c r="E38" i="5"/>
  <c r="E37" i="5"/>
  <c r="E36" i="5"/>
  <c r="E35" i="5"/>
  <c r="E34" i="5"/>
  <c r="E33" i="5"/>
  <c r="E32" i="5"/>
  <c r="E31" i="5"/>
  <c r="E30" i="5"/>
  <c r="E29" i="5"/>
  <c r="E28" i="5"/>
  <c r="E27" i="5"/>
  <c r="E26" i="5"/>
  <c r="E25" i="5"/>
  <c r="E24" i="5"/>
  <c r="E23" i="5"/>
  <c r="E22" i="5"/>
  <c r="E21" i="5"/>
  <c r="E20" i="5"/>
  <c r="E19" i="5"/>
  <c r="E18" i="5"/>
  <c r="E17" i="5"/>
  <c r="E16" i="5"/>
  <c r="E15" i="5"/>
  <c r="E14" i="5"/>
  <c r="E13" i="5"/>
  <c r="E12" i="5"/>
  <c r="E11" i="5"/>
  <c r="E10" i="5"/>
  <c r="E9" i="5"/>
  <c r="E8" i="5"/>
  <c r="E7" i="5"/>
  <c r="E6" i="5"/>
  <c r="E5" i="5"/>
  <c r="E4" i="5"/>
  <c r="E3" i="5"/>
  <c r="E2" i="5"/>
  <c r="Z252" i="1" l="1"/>
  <c r="AB252" i="1" s="1"/>
  <c r="AB55" i="1"/>
  <c r="AB217" i="1"/>
  <c r="AB114" i="1"/>
  <c r="AB106" i="1"/>
  <c r="AB139" i="1"/>
  <c r="AB210" i="1"/>
  <c r="AB86" i="1"/>
  <c r="AB199" i="1"/>
  <c r="AB182" i="1"/>
  <c r="AB91" i="1"/>
  <c r="Z250" i="1"/>
  <c r="AB250" i="1" s="1"/>
  <c r="AB72" i="1"/>
  <c r="AB216" i="1"/>
  <c r="AB115" i="1"/>
  <c r="AB203" i="1"/>
  <c r="AB99" i="1"/>
  <c r="AB82" i="1"/>
  <c r="AB194" i="1"/>
  <c r="AB107" i="1"/>
  <c r="AB126" i="1"/>
  <c r="AB64" i="1"/>
  <c r="AB118" i="1"/>
  <c r="B62" i="4"/>
  <c r="B63" i="4" s="1"/>
  <c r="B64" i="4" s="1"/>
  <c r="B65" i="4" s="1"/>
  <c r="B66" i="4" s="1"/>
  <c r="B67" i="4" s="1"/>
  <c r="B68" i="4" s="1"/>
  <c r="B69" i="4" s="1"/>
  <c r="B70" i="4" s="1"/>
  <c r="B71" i="4" s="1"/>
  <c r="B72" i="4" s="1"/>
  <c r="B73" i="4" s="1"/>
  <c r="B74" i="4" s="1"/>
  <c r="B75" i="4" s="1"/>
  <c r="B76" i="4" s="1"/>
  <c r="B77" i="4" s="1"/>
  <c r="B78" i="4" s="1"/>
  <c r="B79" i="4" s="1"/>
  <c r="B80" i="4" s="1"/>
  <c r="B81" i="4" s="1"/>
  <c r="B82" i="4" s="1"/>
  <c r="B83" i="4" s="1"/>
  <c r="B84" i="4" s="1"/>
  <c r="B85" i="4" s="1"/>
  <c r="B86" i="4" s="1"/>
  <c r="B87" i="4" s="1"/>
  <c r="B88" i="4" s="1"/>
  <c r="B89" i="4" s="1"/>
  <c r="D1" i="4" l="1"/>
  <c r="C32" i="10" l="1"/>
  <c r="D32" i="10"/>
  <c r="E32" i="10"/>
  <c r="F32" i="10"/>
  <c r="G32" i="10"/>
  <c r="H32" i="10"/>
  <c r="I32" i="10"/>
  <c r="J32" i="10"/>
  <c r="K32" i="10"/>
  <c r="L32" i="10"/>
  <c r="M32" i="10"/>
  <c r="B17" i="10"/>
  <c r="B32" i="10"/>
  <c r="N32" i="10" l="1"/>
  <c r="B5" i="10"/>
  <c r="C17" i="10"/>
  <c r="D17" i="10"/>
  <c r="E17" i="10"/>
  <c r="F17" i="10"/>
  <c r="G17" i="10"/>
  <c r="H17" i="10"/>
  <c r="I17" i="10"/>
  <c r="J17" i="10"/>
  <c r="K17" i="10"/>
  <c r="L17" i="10"/>
  <c r="M17" i="10"/>
  <c r="T5" i="10"/>
  <c r="M5" i="10"/>
  <c r="L5" i="10"/>
  <c r="K5" i="10"/>
  <c r="J5" i="10"/>
  <c r="I5" i="10"/>
  <c r="H5" i="10"/>
  <c r="G5" i="10"/>
  <c r="F5" i="10"/>
  <c r="E5" i="10"/>
  <c r="D5" i="10"/>
  <c r="C5" i="10"/>
  <c r="O28" i="10" l="1"/>
  <c r="O30" i="10"/>
  <c r="O31" i="10"/>
  <c r="O29" i="10"/>
  <c r="N17" i="10"/>
  <c r="O6" i="10" l="1"/>
  <c r="O12" i="10"/>
  <c r="O13" i="10"/>
  <c r="O14" i="10"/>
  <c r="O15" i="10"/>
  <c r="O16" i="10"/>
  <c r="O10" i="10"/>
  <c r="O9" i="10"/>
  <c r="O7" i="10"/>
  <c r="O11" i="10"/>
  <c r="O8" i="10"/>
  <c r="O21" i="10"/>
  <c r="O26" i="10"/>
  <c r="O27" i="10"/>
  <c r="O25" i="10"/>
  <c r="O22" i="10"/>
  <c r="O24" i="10"/>
  <c r="O23" i="10"/>
  <c r="O32" i="10" l="1"/>
  <c r="O17" i="10"/>
  <c r="N9" i="9" l="1"/>
  <c r="N10" i="9"/>
  <c r="N11" i="9"/>
  <c r="N12" i="9"/>
  <c r="N13" i="9"/>
  <c r="N14" i="9"/>
  <c r="N15" i="9"/>
  <c r="N16" i="9"/>
  <c r="N17" i="9"/>
  <c r="N18" i="9"/>
  <c r="N19" i="9"/>
  <c r="N20" i="9"/>
  <c r="N21" i="9"/>
  <c r="N22" i="9"/>
  <c r="N23" i="9"/>
  <c r="N24" i="9"/>
  <c r="N25" i="9"/>
  <c r="N27" i="9"/>
  <c r="N28" i="9"/>
  <c r="N29" i="9"/>
  <c r="N30" i="9"/>
  <c r="N7" i="9"/>
  <c r="N76" i="9" l="1"/>
  <c r="N75" i="9"/>
  <c r="N74" i="9"/>
  <c r="N73" i="9"/>
  <c r="N72" i="9"/>
  <c r="N71" i="9"/>
  <c r="N61" i="9"/>
  <c r="N60" i="9"/>
  <c r="N59" i="9"/>
  <c r="N58" i="9"/>
  <c r="N57" i="9"/>
  <c r="N56" i="9"/>
  <c r="N55" i="9"/>
  <c r="N54" i="9"/>
  <c r="N53" i="9"/>
  <c r="N52" i="9"/>
  <c r="N51" i="9"/>
  <c r="N50" i="9"/>
  <c r="N49" i="9"/>
  <c r="N48" i="9"/>
  <c r="N47" i="9"/>
  <c r="N45" i="9"/>
  <c r="M44" i="9"/>
  <c r="L44" i="9"/>
  <c r="K44" i="9"/>
  <c r="J44" i="9"/>
  <c r="I44" i="9"/>
  <c r="H44" i="9"/>
  <c r="G44" i="9"/>
  <c r="F44" i="9"/>
  <c r="E44" i="9"/>
  <c r="D44" i="9"/>
  <c r="C44" i="9"/>
  <c r="B44" i="9"/>
  <c r="M6" i="9"/>
  <c r="L6" i="9"/>
  <c r="K6" i="9"/>
  <c r="J6" i="9"/>
  <c r="I6" i="9"/>
  <c r="H6" i="9"/>
  <c r="G6" i="9"/>
  <c r="F6" i="9"/>
  <c r="E6" i="9"/>
  <c r="D6" i="9"/>
  <c r="C6" i="9"/>
  <c r="B6" i="9"/>
  <c r="Q5" i="9"/>
  <c r="K3" i="8"/>
  <c r="N10" i="6"/>
  <c r="N9" i="6"/>
  <c r="N8" i="6"/>
  <c r="N7" i="6"/>
  <c r="N6" i="6"/>
  <c r="B44" i="6" s="1"/>
  <c r="Q3" i="6"/>
  <c r="M5" i="6"/>
  <c r="L5" i="6"/>
  <c r="K5" i="6"/>
  <c r="J5" i="6"/>
  <c r="I5" i="6"/>
  <c r="H5" i="6"/>
  <c r="G5" i="6"/>
  <c r="F5" i="6"/>
  <c r="E5" i="6"/>
  <c r="D5" i="6"/>
  <c r="C5" i="6"/>
  <c r="B5" i="6"/>
  <c r="C27" i="13" l="1"/>
  <c r="C28" i="13" s="1"/>
  <c r="C29" i="13" s="1"/>
  <c r="C30" i="13" s="1"/>
  <c r="C31" i="13" s="1"/>
  <c r="C32" i="13" s="1"/>
  <c r="C33" i="13" s="1"/>
  <c r="C34" i="13" s="1"/>
  <c r="C35" i="13" s="1"/>
  <c r="C36" i="13" s="1"/>
  <c r="C37" i="13" s="1"/>
  <c r="C38" i="13" s="1"/>
  <c r="C39" i="13" s="1"/>
  <c r="C40" i="13" s="1"/>
  <c r="C23" i="13"/>
  <c r="C22" i="13" s="1"/>
  <c r="C21" i="13" s="1"/>
  <c r="C20" i="13" s="1"/>
  <c r="C19" i="13" s="1"/>
  <c r="C18" i="13" s="1"/>
  <c r="C17" i="13" s="1"/>
  <c r="C16" i="13" s="1"/>
  <c r="C15" i="13" s="1"/>
  <c r="C14" i="13" s="1"/>
  <c r="C13" i="13" s="1"/>
  <c r="N40" i="9" l="1"/>
  <c r="N78" i="9"/>
  <c r="N8" i="9" l="1"/>
  <c r="N41" i="9" s="1"/>
  <c r="N46" i="9" l="1"/>
  <c r="N79"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Andy Kim</author>
    <author>cpcc</author>
  </authors>
  <commentList>
    <comment ref="E1" authorId="0" shapeId="0" xr:uid="{FD1F7A85-24FE-43C0-8F07-757F72D12FE9}">
      <text>
        <r>
          <rPr>
            <b/>
            <sz val="9"/>
            <color indexed="81"/>
            <rFont val="Tahoma"/>
            <family val="2"/>
          </rPr>
          <t>Andy Kim:</t>
        </r>
        <r>
          <rPr>
            <sz val="9"/>
            <color indexed="81"/>
            <rFont val="Tahoma"/>
            <family val="2"/>
          </rPr>
          <t xml:space="preserve">
This is the column to be entered manually.
</t>
        </r>
      </text>
    </comment>
    <comment ref="G1" authorId="1" shapeId="0" xr:uid="{D15D01B3-6DD4-41D8-A504-E89E47F33DE3}">
      <text>
        <r>
          <rPr>
            <b/>
            <sz val="9"/>
            <color indexed="81"/>
            <rFont val="Tahoma"/>
            <family val="2"/>
          </rPr>
          <t>cpcc:</t>
        </r>
        <r>
          <rPr>
            <sz val="9"/>
            <color indexed="81"/>
            <rFont val="Tahoma"/>
            <family val="2"/>
          </rPr>
          <t xml:space="preserve">
make sure 1041-002 is changed to Outremont on Customers page on final draft</t>
        </r>
      </text>
    </comment>
    <comment ref="H1" authorId="1" shapeId="0" xr:uid="{AB0811D7-76ED-4D90-8302-7A08C802E0B5}">
      <text>
        <r>
          <rPr>
            <b/>
            <sz val="9"/>
            <color indexed="81"/>
            <rFont val="Tahoma"/>
            <family val="2"/>
          </rPr>
          <t>cpcc:</t>
        </r>
        <r>
          <rPr>
            <sz val="9"/>
            <color indexed="81"/>
            <rFont val="Tahoma"/>
            <family val="2"/>
          </rPr>
          <t xml:space="preserve">
need ti make changes to W-2140 on final draft</t>
        </r>
      </text>
    </comment>
    <comment ref="I1" authorId="1" shapeId="0" xr:uid="{BBA70B3F-0AAA-4EED-90D8-0971ABEB002D}">
      <text>
        <r>
          <rPr>
            <b/>
            <sz val="9"/>
            <color indexed="81"/>
            <rFont val="Tahoma"/>
            <family val="2"/>
          </rPr>
          <t>cpcc:</t>
        </r>
        <r>
          <rPr>
            <sz val="9"/>
            <color indexed="81"/>
            <rFont val="Tahoma"/>
            <family val="2"/>
          </rPr>
          <t xml:space="preserve">
need ti make changes to W-2140 on final draft</t>
        </r>
      </text>
    </comment>
    <comment ref="K1" authorId="1" shapeId="0" xr:uid="{409EC3BD-51FC-41A9-98FD-905BB458E6BF}">
      <text>
        <r>
          <rPr>
            <b/>
            <sz val="9"/>
            <color indexed="81"/>
            <rFont val="Tahoma"/>
            <family val="2"/>
          </rPr>
          <t>cpcc:</t>
        </r>
        <r>
          <rPr>
            <sz val="9"/>
            <color indexed="81"/>
            <rFont val="Tahoma"/>
            <family val="2"/>
          </rPr>
          <t xml:space="preserve">
make sure changes are made to final draft for W-2193 (part II)
</t>
        </r>
      </text>
    </comment>
    <comment ref="L1" authorId="1" shapeId="0" xr:uid="{7CD79E31-5E03-4C08-AD56-3691F352C3BD}">
      <text>
        <r>
          <rPr>
            <b/>
            <sz val="9"/>
            <color indexed="81"/>
            <rFont val="Tahoma"/>
            <family val="2"/>
          </rPr>
          <t>cpcc:</t>
        </r>
        <r>
          <rPr>
            <sz val="9"/>
            <color indexed="81"/>
            <rFont val="Tahoma"/>
            <family val="2"/>
          </rPr>
          <t xml:space="preserve">
make sure changes are made to final draft for W-2193 (part II)
</t>
        </r>
      </text>
    </comment>
    <comment ref="P1" authorId="1" shapeId="0" xr:uid="{D04F0404-931B-450D-A923-5DABECB75935}">
      <text>
        <r>
          <rPr>
            <b/>
            <sz val="9"/>
            <color indexed="81"/>
            <rFont val="Tahoma"/>
            <family val="2"/>
          </rPr>
          <t>cpcc:</t>
        </r>
        <r>
          <rPr>
            <sz val="9"/>
            <color indexed="81"/>
            <rFont val="Tahoma"/>
            <family val="2"/>
          </rPr>
          <t xml:space="preserve">
make sure changes are made to final draft for W-2203
</t>
        </r>
      </text>
    </comment>
    <comment ref="T1" authorId="1" shapeId="0" xr:uid="{8F134142-04F4-480B-B4DC-E1290118F3E9}">
      <text>
        <r>
          <rPr>
            <b/>
            <sz val="9"/>
            <color indexed="81"/>
            <rFont val="Tahoma"/>
            <family val="2"/>
          </rPr>
          <t>cpcc:</t>
        </r>
        <r>
          <rPr>
            <sz val="9"/>
            <color indexed="81"/>
            <rFont val="Tahoma"/>
            <family val="2"/>
          </rPr>
          <t xml:space="preserve">
make sure changes are made to final draft for W-2193 (part II)
</t>
        </r>
      </text>
    </comment>
    <comment ref="Z1" authorId="1" shapeId="0" xr:uid="{2CCE5B14-A2DD-44D2-A1BB-CD05AF8F1520}">
      <text>
        <r>
          <rPr>
            <b/>
            <sz val="9"/>
            <color indexed="81"/>
            <rFont val="Tahoma"/>
            <family val="2"/>
          </rPr>
          <t>cpcc:</t>
        </r>
        <r>
          <rPr>
            <sz val="9"/>
            <color indexed="81"/>
            <rFont val="Tahoma"/>
            <family val="2"/>
          </rPr>
          <t xml:space="preserve">
will merged cells for w-2295 cause issues with reports.</t>
        </r>
      </text>
    </comment>
    <comment ref="AD1" authorId="1" shapeId="0" xr:uid="{41BEBD15-6934-46ED-BC31-DBEE38AFFC18}">
      <text>
        <r>
          <rPr>
            <b/>
            <sz val="9"/>
            <color indexed="81"/>
            <rFont val="Tahoma"/>
            <family val="2"/>
          </rPr>
          <t>cpcc:</t>
        </r>
        <r>
          <rPr>
            <sz val="9"/>
            <color indexed="81"/>
            <rFont val="Tahoma"/>
            <family val="2"/>
          </rPr>
          <t xml:space="preserve">
need to make changes to final draft for W-2173
</t>
        </r>
        <r>
          <rPr>
            <b/>
            <sz val="9"/>
            <color indexed="81"/>
            <rFont val="Tahoma"/>
            <family val="2"/>
          </rPr>
          <t>cpcc:</t>
        </r>
        <r>
          <rPr>
            <sz val="9"/>
            <color indexed="81"/>
            <rFont val="Tahoma"/>
            <family val="2"/>
          </rPr>
          <t xml:space="preserve">
and to W-2232
</t>
        </r>
      </text>
    </comment>
    <comment ref="AJ1" authorId="1" shapeId="0" xr:uid="{C4B8945A-A5BE-4A7C-9BCF-D6D9274A6DA8}">
      <text>
        <r>
          <rPr>
            <b/>
            <sz val="9"/>
            <color indexed="81"/>
            <rFont val="Tahoma"/>
            <family val="2"/>
          </rPr>
          <t>cpcc:</t>
        </r>
        <r>
          <rPr>
            <sz val="9"/>
            <color indexed="81"/>
            <rFont val="Tahoma"/>
            <family val="2"/>
          </rPr>
          <t xml:space="preserve">
make changes to final draft for W-2271
</t>
        </r>
      </text>
    </comment>
    <comment ref="AK1" authorId="1" shapeId="0" xr:uid="{CAF2FA84-A712-46FF-8EE5-21360D7DE658}">
      <text>
        <r>
          <rPr>
            <b/>
            <sz val="9"/>
            <color indexed="81"/>
            <rFont val="Tahoma"/>
            <family val="2"/>
          </rPr>
          <t>cpcc:</t>
        </r>
        <r>
          <rPr>
            <sz val="9"/>
            <color indexed="81"/>
            <rFont val="Tahoma"/>
            <family val="2"/>
          </rPr>
          <t xml:space="preserve">
make changes to final draft for W-2253
</t>
        </r>
        <r>
          <rPr>
            <b/>
            <sz val="9"/>
            <color indexed="81"/>
            <rFont val="Tahoma"/>
            <family val="2"/>
          </rPr>
          <t>cpcc:</t>
        </r>
        <r>
          <rPr>
            <sz val="9"/>
            <color indexed="81"/>
            <rFont val="Tahoma"/>
            <family val="2"/>
          </rPr>
          <t xml:space="preserve">
and to W-2271
</t>
        </r>
      </text>
    </comment>
    <comment ref="AL1" authorId="1" shapeId="0" xr:uid="{FB4DEE7D-9104-480B-ADE0-F26C32CCF0A4}">
      <text>
        <r>
          <rPr>
            <b/>
            <sz val="9"/>
            <color indexed="81"/>
            <rFont val="Tahoma"/>
            <family val="2"/>
          </rPr>
          <t>cpcc:</t>
        </r>
        <r>
          <rPr>
            <sz val="9"/>
            <color indexed="81"/>
            <rFont val="Tahoma"/>
            <family val="2"/>
          </rPr>
          <t xml:space="preserve">
make changes to final draft for W-2253
</t>
        </r>
      </text>
    </comment>
    <comment ref="I41" authorId="1" shapeId="0" xr:uid="{03905809-86AA-48AD-98D3-0D29DC3D22A3}">
      <text>
        <r>
          <rPr>
            <b/>
            <sz val="9"/>
            <color indexed="81"/>
            <rFont val="Tahoma"/>
            <family val="2"/>
          </rPr>
          <t>cpcc:</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Andy Kim</author>
  </authors>
  <commentList>
    <comment ref="E1" authorId="0" shapeId="0" xr:uid="{F1573DAD-0708-4A78-AB8F-E4580F3C83F3}">
      <text>
        <r>
          <rPr>
            <b/>
            <sz val="9"/>
            <color indexed="81"/>
            <rFont val="Tahoma"/>
            <family val="2"/>
          </rPr>
          <t>Andy Kim:</t>
        </r>
        <r>
          <rPr>
            <sz val="9"/>
            <color indexed="81"/>
            <rFont val="Tahoma"/>
            <family val="2"/>
          </rPr>
          <t xml:space="preserve">
This is the column to be entered manually.
</t>
        </r>
      </text>
    </comment>
    <comment ref="G1" authorId="0" shapeId="0" xr:uid="{3953BC9E-5060-46F8-8ADE-C920057B4151}">
      <text>
        <r>
          <rPr>
            <b/>
            <sz val="9"/>
            <color indexed="81"/>
            <rFont val="Tahoma"/>
            <family val="2"/>
          </rPr>
          <t>Andy Kim:</t>
        </r>
        <r>
          <rPr>
            <sz val="9"/>
            <color indexed="81"/>
            <rFont val="Tahoma"/>
            <family val="2"/>
          </rPr>
          <t xml:space="preserve">
Click &amp; Drag from Column D to F
+ Ctrl D
</t>
        </r>
      </text>
    </comment>
    <comment ref="I1" authorId="0" shapeId="0" xr:uid="{36688150-0CCD-4A2D-B62C-6D04B5EC649D}">
      <text>
        <r>
          <rPr>
            <b/>
            <sz val="9"/>
            <color indexed="81"/>
            <rFont val="Tahoma"/>
            <family val="2"/>
          </rPr>
          <t>Andy Kim:</t>
        </r>
        <r>
          <rPr>
            <sz val="9"/>
            <color indexed="81"/>
            <rFont val="Tahoma"/>
            <family val="2"/>
          </rPr>
          <t xml:space="preserve">
Re-order the columns to match the L/mL with assigned Strain/Media/Con
</t>
        </r>
      </text>
    </comment>
    <comment ref="M1" authorId="0" shapeId="0" xr:uid="{57DF2770-9198-4ED9-8F8B-A6EE3F77D620}">
      <text>
        <r>
          <rPr>
            <b/>
            <sz val="9"/>
            <color indexed="81"/>
            <rFont val="Tahoma"/>
            <family val="2"/>
          </rPr>
          <t>Andy Kim:</t>
        </r>
        <r>
          <rPr>
            <sz val="9"/>
            <color indexed="81"/>
            <rFont val="Tahoma"/>
            <family val="2"/>
          </rPr>
          <t xml:space="preserve">
Drop down list of media
</t>
        </r>
      </text>
    </comment>
    <comment ref="O1" authorId="0" shapeId="0" xr:uid="{B98196C8-7E16-41BA-A6BD-C095076601B7}">
      <text>
        <r>
          <rPr>
            <b/>
            <sz val="9"/>
            <color indexed="81"/>
            <rFont val="Tahoma"/>
            <family val="2"/>
          </rPr>
          <t>Andy Kim:</t>
        </r>
        <r>
          <rPr>
            <sz val="9"/>
            <color indexed="81"/>
            <rFont val="Tahoma"/>
            <family val="2"/>
          </rPr>
          <t xml:space="preserve">
Drop down of concentrate list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heather</author>
  </authors>
  <commentList>
    <comment ref="F3" authorId="0" shapeId="0" xr:uid="{BA48CDB8-CEAD-4FB7-A787-6A461B6E8A43}">
      <text>
        <r>
          <rPr>
            <b/>
            <sz val="9"/>
            <color indexed="81"/>
            <rFont val="Tahoma"/>
            <family val="2"/>
          </rPr>
          <t>heather:</t>
        </r>
        <r>
          <rPr>
            <sz val="9"/>
            <color indexed="81"/>
            <rFont val="Tahoma"/>
            <family val="2"/>
          </rPr>
          <t xml:space="preserve">
* CLIENT Affiliation: 
CA = Canadian Academic
CG = Canadian Government 
CC = Canadian Commercial
IA= International Academic 
IG = International Government
IC = International Commercial
</t>
        </r>
      </text>
    </comment>
  </commentList>
</comments>
</file>

<file path=xl/sharedStrings.xml><?xml version="1.0" encoding="utf-8"?>
<sst xmlns="http://schemas.openxmlformats.org/spreadsheetml/2006/main" count="12040" uniqueCount="4342">
  <si>
    <t>Date From</t>
  </si>
  <si>
    <t xml:space="preserve">Notes* </t>
  </si>
  <si>
    <t>Date To</t>
  </si>
  <si>
    <t>Date Accessioned</t>
  </si>
  <si>
    <t>Strain Name</t>
  </si>
  <si>
    <t>Tetradesmus obliquus (aka Scenedesmus obliquus)</t>
  </si>
  <si>
    <t>Tetradesmus obliquus (aka Scenedesmus acutus)</t>
  </si>
  <si>
    <t>Ecdysichlamys polymorpha (aka Oocystis polymorpha)</t>
  </si>
  <si>
    <t>Chlamydomonas reinhardtii</t>
  </si>
  <si>
    <t>Cladophora glomerata</t>
  </si>
  <si>
    <t>Selenastrum sp.</t>
  </si>
  <si>
    <t>Coelastrum</t>
  </si>
  <si>
    <t>Scenedesmus sp.</t>
  </si>
  <si>
    <t>Chlorella sp.</t>
  </si>
  <si>
    <t>Micro algae unid</t>
  </si>
  <si>
    <t>Chlamydomonas moewusii</t>
  </si>
  <si>
    <t>-</t>
  </si>
  <si>
    <t>Pedinomonas sp.</t>
  </si>
  <si>
    <t xml:space="preserve">Oocystis sp. </t>
  </si>
  <si>
    <t>Chlorella vulgaris (formerly Chlorella pyrenoidosa)</t>
  </si>
  <si>
    <t>Raphidocelis subcapitata (aka Pseudokirchneriella subcapitata; formerly Selenastrum capricornutum)</t>
  </si>
  <si>
    <t>Staurastrum ralfsii (aka Staurastrum orbiculare var. ralfsii)</t>
  </si>
  <si>
    <t>Nostoc punctiforme</t>
  </si>
  <si>
    <t>Unknown</t>
  </si>
  <si>
    <t>Tetradesmus dissociatus (aka Dactylococcus dissociatus)</t>
  </si>
  <si>
    <t>Attheya septentrionalis</t>
  </si>
  <si>
    <t>Nitzschia sp.</t>
  </si>
  <si>
    <t>"Prasinophyte"</t>
  </si>
  <si>
    <t>B.G</t>
  </si>
  <si>
    <t>Melosira moniliformis</t>
  </si>
  <si>
    <t>Navicula sp.</t>
  </si>
  <si>
    <t>Halamphora coffeiformis (formerly Amphora coffeaeformis)</t>
  </si>
  <si>
    <t>Diatoma vulgaris (formerly Diatoma vulgare)</t>
  </si>
  <si>
    <t>Diatoma elongatum</t>
  </si>
  <si>
    <t>Ankistrodesmus falcatus</t>
  </si>
  <si>
    <t>Anabaena flos-aquae</t>
  </si>
  <si>
    <t>Tabellaria flocculosa</t>
  </si>
  <si>
    <t>Trichormus variabilis (aka Anabaena variabilis; formerly Anabaena flos-aquae)</t>
  </si>
  <si>
    <t>Dolichospermum spiroides (aka Anabaena spiroides)</t>
  </si>
  <si>
    <t>unident, filamentous cyano</t>
  </si>
  <si>
    <t>Leptolyngbya tenerrima</t>
  </si>
  <si>
    <t>Cyanobacterium cedrorum (aka Synechococcus cedorum)</t>
  </si>
  <si>
    <t>Chlamydomonas sp.</t>
  </si>
  <si>
    <t>Chlorella emersonii</t>
  </si>
  <si>
    <t>Chlorella miniata</t>
  </si>
  <si>
    <t>Coelastrella vacuolata (aka Chlorella fusca var. vacuolata)</t>
  </si>
  <si>
    <t>Chloroidium saccharophilum (aka Chlorella saccharophila)</t>
  </si>
  <si>
    <t>Chlorella vulgaris [miyachi]</t>
  </si>
  <si>
    <t>Haematococcus lacustris (aka Haematococcus pluvialis)</t>
  </si>
  <si>
    <t>Euglena gracilis</t>
  </si>
  <si>
    <t>Synechococcus elongatus</t>
  </si>
  <si>
    <t>Geitlerinema sp (LPP)</t>
  </si>
  <si>
    <t>Romeria leopoliensis (aka Synechococcus leopoliensis)</t>
  </si>
  <si>
    <t>Trichormus variabilis (aka Anabaena variabilis)</t>
  </si>
  <si>
    <t>Nostoc sp.</t>
  </si>
  <si>
    <t>Chloromonas variabilis (aka Chlamydomonas variabilis)</t>
  </si>
  <si>
    <t>Chlorella vulgaris</t>
  </si>
  <si>
    <t>Monodopsis subterranea</t>
  </si>
  <si>
    <t>Chlamydomonas applanata</t>
  </si>
  <si>
    <t>Chlamydomonas pitschmannii (formerly C. acidophila)</t>
  </si>
  <si>
    <t>Chlamydomonas acidophila</t>
  </si>
  <si>
    <t>Microcystis aeruginosa</t>
  </si>
  <si>
    <t>Eremosphaera vinidis</t>
  </si>
  <si>
    <t>Staurastrum</t>
  </si>
  <si>
    <t>Micrasterias furcata (aka Micrasterias radiata)</t>
  </si>
  <si>
    <t>Euglena mutabilis</t>
  </si>
  <si>
    <t>Zygnema tunetanum (aka Zygogonium tunetanum)</t>
  </si>
  <si>
    <t>Chlorella sorokiniana (formerly Chlorella pyrenoidosa)</t>
  </si>
  <si>
    <t>Desmodesmus denticulatus (aka Scenedesmus denticulatus)</t>
  </si>
  <si>
    <t xml:space="preserve"> Tetradesmus obliquus (aka Scenedesmus obliquus)</t>
  </si>
  <si>
    <t>Scenedesmus quadricauda</t>
  </si>
  <si>
    <t>Nitzschia palea</t>
  </si>
  <si>
    <t>Phaeodactylum tricornutum</t>
  </si>
  <si>
    <t>Mougeotia sp.</t>
  </si>
  <si>
    <t>Spirogyra sp.</t>
  </si>
  <si>
    <t>Pseudococcomyxa simplex (aka Coccomyxa simplex)</t>
  </si>
  <si>
    <t>Stichococcus baccillaris</t>
  </si>
  <si>
    <t>Chlorococcum hypnosporum</t>
  </si>
  <si>
    <t>Carteria sp</t>
  </si>
  <si>
    <t>Mesotaenium kramstae (Mesotaenium kramstai)</t>
  </si>
  <si>
    <t>Microspora sp.</t>
  </si>
  <si>
    <t>Closterium cf. closterioides (Closterium sp.)</t>
  </si>
  <si>
    <t xml:space="preserve">Pandorina sp. </t>
  </si>
  <si>
    <t>Hydrodictyon reticulatum</t>
  </si>
  <si>
    <t>Gonium sp.</t>
  </si>
  <si>
    <t>Tetraselmis sp.</t>
  </si>
  <si>
    <t>Dunaliella salina</t>
  </si>
  <si>
    <t>Chlamydomonas reinhardtii (- strain)</t>
  </si>
  <si>
    <t>Chlamydomonas reinhardtii (+ strain)</t>
  </si>
  <si>
    <t>Chlamydomonas reinhardtii ( - strain)</t>
  </si>
  <si>
    <t>Parachlorella kessleri (aka Chlorella kesslerii (formerly Chlorella vulgaris))</t>
  </si>
  <si>
    <t>Stephanodiscus hantzschii</t>
  </si>
  <si>
    <t>Fragilaria crotonensis</t>
  </si>
  <si>
    <t>Watanabea reniformis (aka Chlorella saccharophila)</t>
  </si>
  <si>
    <t>Uroglena sp.</t>
  </si>
  <si>
    <t>Sphaerozosma</t>
  </si>
  <si>
    <t>Closterium sp.</t>
  </si>
  <si>
    <t>Coleochaete scutata</t>
  </si>
  <si>
    <t>Coleochaete nitellarum</t>
  </si>
  <si>
    <t>Dunaliella acidophila</t>
  </si>
  <si>
    <t>Monoraphidium convolutum (aka Ankistrodesmus convolutus)</t>
  </si>
  <si>
    <t>Lemna gibba</t>
  </si>
  <si>
    <t xml:space="preserve">Geilterinema sp </t>
  </si>
  <si>
    <t>Microcoleus acremannii</t>
  </si>
  <si>
    <t>Cryptomonas sp.</t>
  </si>
  <si>
    <t>Blue Green  (BG)</t>
  </si>
  <si>
    <t>Cryptomonas cf. curvata (aka Cryptomonas cf. rostratiformis and formerly C. erosa)</t>
  </si>
  <si>
    <t>Rhodomonas pusilla (aka Rhodomonas minuta)</t>
  </si>
  <si>
    <t>Staurastrum sp</t>
  </si>
  <si>
    <t>Staurodesmus sp. (aka Arthrodesmus sp.)</t>
  </si>
  <si>
    <t>Synechocystis sp.</t>
  </si>
  <si>
    <t>Tetradesmus obliquus [D. Jin] (aka Scenedesmus acutus)</t>
  </si>
  <si>
    <t>Eunotia sp.</t>
  </si>
  <si>
    <t>Staurastrum fucigerum</t>
  </si>
  <si>
    <t>Asterococcus superbus</t>
  </si>
  <si>
    <t>Porphyridium purpureum</t>
  </si>
  <si>
    <t xml:space="preserve">Euastrum bidentatum </t>
  </si>
  <si>
    <t>Gonium pectorale (w/fungi)</t>
  </si>
  <si>
    <t>Eudorina elegans</t>
  </si>
  <si>
    <t>Staurastrum subpygmaeum (formerly Staurastrum subpygmaceus)</t>
  </si>
  <si>
    <t>Urosolenia sp.</t>
  </si>
  <si>
    <t>Dinobryon sp.</t>
  </si>
  <si>
    <t>Arthronema gygaxiana</t>
  </si>
  <si>
    <t>Chlorella fusca var. fusca</t>
  </si>
  <si>
    <t>Aulacoseira granulata f. curvata (formerly Melosira granulata var. curvatula)</t>
  </si>
  <si>
    <t>Lemna trisulca</t>
  </si>
  <si>
    <t xml:space="preserve">Bangia atro-purpurea </t>
  </si>
  <si>
    <t>Diatoma sp.</t>
  </si>
  <si>
    <t>Filamentous green</t>
  </si>
  <si>
    <t>Dunaliella tertiolecta (also on plates)</t>
  </si>
  <si>
    <t>Synura uvella</t>
  </si>
  <si>
    <t>Leptolyngbya tenuis (aka Phormidium tenue)</t>
  </si>
  <si>
    <t>Anabaena sp.</t>
  </si>
  <si>
    <t>Merismopedia sp.</t>
  </si>
  <si>
    <t>Monactinus simplex (aka Pediastrum simplex)</t>
  </si>
  <si>
    <t>Cyclotella sp.</t>
  </si>
  <si>
    <t>Synechococcus sp.</t>
  </si>
  <si>
    <t>Anabaena sphaerica</t>
  </si>
  <si>
    <t>Geitlerinema sp. (Brazil)</t>
  </si>
  <si>
    <t>Mallomonas sp.</t>
  </si>
  <si>
    <r>
      <t xml:space="preserve">Synura petersenii </t>
    </r>
    <r>
      <rPr>
        <b/>
        <sz val="10"/>
        <color indexed="61"/>
        <rFont val="Arial"/>
        <family val="2"/>
      </rPr>
      <t>(on safe deposit)</t>
    </r>
  </si>
  <si>
    <r>
      <t xml:space="preserve">Dinobryon cylindricum </t>
    </r>
    <r>
      <rPr>
        <b/>
        <sz val="10"/>
        <color indexed="61"/>
        <rFont val="Arial"/>
        <family val="2"/>
      </rPr>
      <t>(on safe deposit)</t>
    </r>
  </si>
  <si>
    <t>Cryptomonas erosa</t>
  </si>
  <si>
    <t>Staurastrum manfeldtii (aka Staurastrum cf. sebaldi var. ornatum)</t>
  </si>
  <si>
    <r>
      <t xml:space="preserve">Peridinium willei </t>
    </r>
    <r>
      <rPr>
        <b/>
        <sz val="10"/>
        <color indexed="61"/>
        <rFont val="Arial"/>
        <family val="2"/>
      </rPr>
      <t>(on safe deposit)</t>
    </r>
  </si>
  <si>
    <t>Mallomonas papillosa</t>
  </si>
  <si>
    <t>unid green [Andrea Kirkwood])</t>
  </si>
  <si>
    <t>Dunaliella sp.</t>
  </si>
  <si>
    <t xml:space="preserve">Microcystis aeruginosa </t>
  </si>
  <si>
    <t>Microcystis flos-aquae</t>
  </si>
  <si>
    <t>Stenomitos tremulus (aka Pseudanabaena tremula; formerly Phormidium autumnale)</t>
  </si>
  <si>
    <t>Schizothrix calcicola</t>
  </si>
  <si>
    <t>Leptolyngbya angustata (formerly Phormidium tenue)</t>
  </si>
  <si>
    <t>Microcoleus antarcticus (formerly Phormidium subfuscum)</t>
  </si>
  <si>
    <t>Wilmottia murrayi (aka Microcoleus glaciei (formerly Phormidium murrayi))</t>
  </si>
  <si>
    <t>Laspinema lumbricale (aka Phormidium lumbricale; formerly Oscillatoria priestleyii)</t>
  </si>
  <si>
    <t>Boekelovia hooglandii</t>
  </si>
  <si>
    <t>Chaetoceros muelleri</t>
  </si>
  <si>
    <t>Dictyosphaerium</t>
  </si>
  <si>
    <t>Lemna minor</t>
  </si>
  <si>
    <r>
      <t xml:space="preserve">Uroglena americana </t>
    </r>
    <r>
      <rPr>
        <b/>
        <sz val="10"/>
        <color indexed="61"/>
        <rFont val="Arial"/>
        <family val="2"/>
      </rPr>
      <t>(on safe deposit)</t>
    </r>
  </si>
  <si>
    <t>Synura petersenii</t>
  </si>
  <si>
    <t>Mucidosphaerium pulchellum (aka Dictyosphaerium pulchellum)</t>
  </si>
  <si>
    <t>Phormidium [ESG]</t>
  </si>
  <si>
    <t>Ankistrodesmus sp.</t>
  </si>
  <si>
    <t>Lyngbya (Puerto Rico)</t>
  </si>
  <si>
    <t>Planktothrix rubescens (also at 10 C in a separate rack)</t>
  </si>
  <si>
    <t>Coccomyxa sp.</t>
  </si>
  <si>
    <t>Klebsormidium sp. (formerly Ulothrix sp.)</t>
  </si>
  <si>
    <t>Navicula sp. (formerly Navicula comta)</t>
  </si>
  <si>
    <t>Microthamnion sp.</t>
  </si>
  <si>
    <t>Chlorococcum? (red so might be Haematococcus)</t>
  </si>
  <si>
    <t>Unidentified microflagellate</t>
  </si>
  <si>
    <t>mixed (microflagellate and Chlorococcum? - reisolate)</t>
  </si>
  <si>
    <t>Microcystis sp.?</t>
  </si>
  <si>
    <t>Chlorella sp. [M. Twiss]</t>
  </si>
  <si>
    <t>Anabaenopsis sp.</t>
  </si>
  <si>
    <t>Microcystis sp.</t>
  </si>
  <si>
    <t>Lyngbya sp.</t>
  </si>
  <si>
    <t>Pediastrum sp.</t>
  </si>
  <si>
    <t>Chlamydomonas nivalis</t>
  </si>
  <si>
    <t>Anabaena sp</t>
  </si>
  <si>
    <t>Lyngbya sp</t>
  </si>
  <si>
    <t>Uronema acuminatum (formerly Ulothrix sp.)</t>
  </si>
  <si>
    <t>Desmococcus sp.</t>
  </si>
  <si>
    <t>Fistulifera pelliculosa (aka Navicula pelliculosa) (also on plates)</t>
  </si>
  <si>
    <t>Klebsormidium sp.</t>
  </si>
  <si>
    <t>Stichococcus sp.</t>
  </si>
  <si>
    <t>Stichococcus bacillaris</t>
  </si>
  <si>
    <t>Chlorella sp. (from Antarctica)</t>
  </si>
  <si>
    <t>Klebsormidium rivulare</t>
  </si>
  <si>
    <t>Stichococcus sp</t>
  </si>
  <si>
    <t>Klebsormidium subtile</t>
  </si>
  <si>
    <t>Kamptonema animale (aka Phormidium animale) (PP1)</t>
  </si>
  <si>
    <t>Microcoleus autumnalis (PP2) (was Phormidium autumnale)</t>
  </si>
  <si>
    <t>Phormidium rimosum (PP3)</t>
  </si>
  <si>
    <t>Phormidium rimosum (PP4)</t>
  </si>
  <si>
    <t>Phormidium deflexoides (PP5)</t>
  </si>
  <si>
    <t>Phormidium deflexoides (PP6)</t>
  </si>
  <si>
    <t>Anagnostidinema carotinosum (aka Geitlerinema carotinosum) (PP9)</t>
  </si>
  <si>
    <t>Anagnostidinema amphibium (PP14) (aka Geitlerinema amphibium)</t>
  </si>
  <si>
    <t>Lyngbya sp (PP15)</t>
  </si>
  <si>
    <t>Pseudanabaena sp. ( PP16)</t>
  </si>
  <si>
    <t>Tychonema bourrellyi ((PP17)</t>
  </si>
  <si>
    <t>Aphanocapsa conferta (PP18)</t>
  </si>
  <si>
    <t>Aphanocapsa rivularis (PP19)</t>
  </si>
  <si>
    <t>Aphanothece floccosa (PP20)</t>
  </si>
  <si>
    <t>Cyanosarcina sp. (PP21)</t>
  </si>
  <si>
    <t>Radaisia sp. (PP22)</t>
  </si>
  <si>
    <t>Coelastrum sp. [L. ON.] JA</t>
  </si>
  <si>
    <t>Coelastrum [A.A] L.ON.**</t>
  </si>
  <si>
    <t>Closteriopsis L.ON. [STN LV3]</t>
  </si>
  <si>
    <t>Kirchneriella sp. L.ON. STNLV-3</t>
  </si>
  <si>
    <t>unid green L.ON. STN 2V-3</t>
  </si>
  <si>
    <t>Tabellaria fenestrata</t>
  </si>
  <si>
    <t>Monoraphidium sp.</t>
  </si>
  <si>
    <t>Chrooccoccus sp.</t>
  </si>
  <si>
    <t>Chlorolobion braunii (aka Monoraphidium braunii)</t>
  </si>
  <si>
    <t>Monoraphidium contortum</t>
  </si>
  <si>
    <t>unicellular cyanobacteria</t>
  </si>
  <si>
    <t>Pseudanabaena sp.</t>
  </si>
  <si>
    <t>Cladophora (Oakville #2)</t>
  </si>
  <si>
    <t>Cladophora (Oakville #5)</t>
  </si>
  <si>
    <t>Cladophora (Cooksville #1)</t>
  </si>
  <si>
    <t xml:space="preserve">CD-1 Red </t>
  </si>
  <si>
    <t>Euglena mutabilis  Schmitz</t>
  </si>
  <si>
    <t>Synechococcus sp</t>
  </si>
  <si>
    <t>Entomoneis paludosa (aka Amphiprora paludosa)</t>
  </si>
  <si>
    <t>Synechococcus sp. (ARC-11)</t>
  </si>
  <si>
    <t xml:space="preserve">Scenedesmus quadricauda </t>
  </si>
  <si>
    <t xml:space="preserve">Selenastrum capricornutum </t>
  </si>
  <si>
    <t xml:space="preserve">Chlorolobion braunii (aka Ankistrodesmus braunii) </t>
  </si>
  <si>
    <t xml:space="preserve">Rhabdoderma lineare (aka Synechococcus linearis) </t>
  </si>
  <si>
    <t>Desmidium sp</t>
  </si>
  <si>
    <t>Pseudoanabaena sp</t>
  </si>
  <si>
    <t>Chaetophora sp</t>
  </si>
  <si>
    <t xml:space="preserve">Cosmarium sp. </t>
  </si>
  <si>
    <t xml:space="preserve">Dictyosphaerium sp. </t>
  </si>
  <si>
    <t>Leptolyngbya (Puerto Rico)</t>
  </si>
  <si>
    <t>Isochrysis galbana</t>
  </si>
  <si>
    <t>Asterionella formosa</t>
  </si>
  <si>
    <t>Spirulina sp. (clean version of 614)</t>
  </si>
  <si>
    <t>Leptolyngbya sp.</t>
  </si>
  <si>
    <t>Pseudanabaena rutilus-viridis</t>
  </si>
  <si>
    <t>Pseudanabaena cf. mucicola</t>
  </si>
  <si>
    <t>unidentified cryptomonad</t>
  </si>
  <si>
    <r>
      <t xml:space="preserve">Volvochrysis 2A </t>
    </r>
    <r>
      <rPr>
        <b/>
        <sz val="10"/>
        <color indexed="61"/>
        <rFont val="Arial"/>
        <family val="2"/>
      </rPr>
      <t>(on safe deposit)</t>
    </r>
  </si>
  <si>
    <t>Jaagichlorella luteoviridis (aka. Heterochlorella luteoviridis; aka. Chlorella luteoviridis)</t>
  </si>
  <si>
    <t>Chloroidium ellipsoideum (aka Chlorella ellipsoidea)</t>
  </si>
  <si>
    <t>Auxenochlorella protothecoides (aka Chlorella protothecoides)</t>
  </si>
  <si>
    <t>Peridinium willei</t>
  </si>
  <si>
    <t>Rhodomonas salina [CCCM 427]</t>
  </si>
  <si>
    <t>Rhodomonas salina [CCMP 1319]</t>
  </si>
  <si>
    <t>Botrycoccus braunii [CCAP 807/1]</t>
  </si>
  <si>
    <t>Dec 02/21</t>
  </si>
  <si>
    <t>Aphanizomenon flos-aquae [UQAM 1]</t>
  </si>
  <si>
    <t>Microcystis flos-aquae [UQAM 2]</t>
  </si>
  <si>
    <t>Microcystis wesenbergii [UQAM 3]</t>
  </si>
  <si>
    <t>Planktothrix agardhii [UQAM 5]</t>
  </si>
  <si>
    <t>Aphanocapsa planctonica [UQAM 6]</t>
  </si>
  <si>
    <t>Aphanocapsa holsatica [UQAM 8]</t>
  </si>
  <si>
    <t>Microcystis flos-aquae [UQAM 10]</t>
  </si>
  <si>
    <t>Microcystis aeruginosa [UQAM 13]</t>
  </si>
  <si>
    <t>Dolichospermum circinale (aka Anabaena circinalis) [UQAM 19]</t>
  </si>
  <si>
    <t>Microcystis flos-aquae [UQAM 20]</t>
  </si>
  <si>
    <t>Aphanothece bachmannii (aka Aphanothece clathrata var. brevis) [UQAM 21]</t>
  </si>
  <si>
    <t>Aphanizomenon flexuosum [UQAM 23]</t>
  </si>
  <si>
    <t>Aphanocapsa holsatica   [UQAM 25]</t>
  </si>
  <si>
    <t>Aphanocapsa holsatica [UQAM 50]</t>
  </si>
  <si>
    <t>Planktothrix rubescens [UQAM 5LV]</t>
  </si>
  <si>
    <t>Planktothrix rubescens [UQAM 19LV]</t>
  </si>
  <si>
    <t>Planktothrix rubescens [UQAM 28LV]</t>
  </si>
  <si>
    <t>Microcystis aeruginosa [UQAM 208C]</t>
  </si>
  <si>
    <t>Oscillatoria tenuis [UQAM 304B]</t>
  </si>
  <si>
    <t>Dolichospermum flos-aquae (aka Anabaena flos-aquae) [UQAM 6W]</t>
  </si>
  <si>
    <t>Aphanizomenon flos-aquae [UQAM 37W]</t>
  </si>
  <si>
    <t>Dec 13/21</t>
  </si>
  <si>
    <t>Chlorococcum amblystomatis (aka Oophila amblystomatis)</t>
  </si>
  <si>
    <t>Oophila sp. [LRL]</t>
  </si>
  <si>
    <t>Oophila sp. [CTOC 001]</t>
  </si>
  <si>
    <t>Feb 15/22</t>
  </si>
  <si>
    <t>Dolichospermum circinale [UQAM 11]</t>
  </si>
  <si>
    <t>Aphanizomenon flexuosum [UQAM 27]</t>
  </si>
  <si>
    <t>Dolichospermum crassum [UQAM 31]</t>
  </si>
  <si>
    <t>Pseudanabaena limnetica [UQAM 34]</t>
  </si>
  <si>
    <t>Aphanizomenon flos-aquae [UQAM 29W]</t>
  </si>
  <si>
    <t>Raphidiopsis raciborskii [CR-2010]</t>
  </si>
  <si>
    <t xml:space="preserve">Summary of Strains ordered </t>
  </si>
  <si>
    <t xml:space="preserve"># of strains never ordered = </t>
  </si>
  <si>
    <t># of strains ordered one to nine times =</t>
  </si>
  <si>
    <t># of strains ordered ten to 99 times =</t>
  </si>
  <si>
    <t># of strains ordered more than 100 times =</t>
  </si>
  <si>
    <t># of strains ordered more than 1000 times =</t>
  </si>
  <si>
    <t>Total =</t>
  </si>
  <si>
    <t>DATE OF  REQUEST</t>
  </si>
  <si>
    <t>Institution</t>
  </si>
  <si>
    <t>Country</t>
  </si>
  <si>
    <t>Affil.</t>
  </si>
  <si>
    <t># of cultures</t>
  </si>
  <si>
    <t>L of medium</t>
  </si>
  <si>
    <t>Cultures
and/or Medium
Prepared?</t>
  </si>
  <si>
    <t>Shipping
Order Number</t>
  </si>
  <si>
    <t>Unit 4 Customer #</t>
  </si>
  <si>
    <t>Invoiced</t>
  </si>
  <si>
    <t>yes</t>
  </si>
  <si>
    <t>Calgary</t>
  </si>
  <si>
    <t>no</t>
  </si>
  <si>
    <t>BBM</t>
  </si>
  <si>
    <t>n/a</t>
  </si>
  <si>
    <t>Edyta Pasiak</t>
  </si>
  <si>
    <t>Point Edward</t>
  </si>
  <si>
    <t>Medium</t>
  </si>
  <si>
    <t>Quebec</t>
  </si>
  <si>
    <t>Hamilton</t>
  </si>
  <si>
    <t>Wareham</t>
  </si>
  <si>
    <t>Concentrate</t>
  </si>
  <si>
    <t>Saskatoon</t>
  </si>
  <si>
    <t>Waterloo</t>
  </si>
  <si>
    <t>f/2 [ ]</t>
  </si>
  <si>
    <t>Easton</t>
  </si>
  <si>
    <t>37, 490</t>
  </si>
  <si>
    <t>Winnipeg</t>
  </si>
  <si>
    <t>Janetta Fraser</t>
  </si>
  <si>
    <t>BBM [ ]</t>
  </si>
  <si>
    <t>Jianguo (Jack) Hu</t>
  </si>
  <si>
    <t>Toronto</t>
  </si>
  <si>
    <t>Ottawa</t>
  </si>
  <si>
    <t>3N BBM [ ]</t>
  </si>
  <si>
    <t>Canada</t>
  </si>
  <si>
    <t>CG</t>
  </si>
  <si>
    <t>BG-11 [ ]</t>
  </si>
  <si>
    <t>St-Laurent</t>
  </si>
  <si>
    <t>CC</t>
  </si>
  <si>
    <t>Burlington</t>
  </si>
  <si>
    <t>442, 444,  448, 494, 700</t>
  </si>
  <si>
    <t>Catherine Davila</t>
  </si>
  <si>
    <t>CA</t>
  </si>
  <si>
    <t>37, 243</t>
  </si>
  <si>
    <t>37, 243 (liquid x45 mL)</t>
  </si>
  <si>
    <t>medium @ $50 x4</t>
  </si>
  <si>
    <t>Kingston</t>
  </si>
  <si>
    <t>USA</t>
  </si>
  <si>
    <t>IA</t>
  </si>
  <si>
    <t>Jillian Thompson-Anderson</t>
  </si>
  <si>
    <t>email invoice to Jillian Thompson-Anderson at: water.invoices@hamilton.ca</t>
  </si>
  <si>
    <t>Garson</t>
  </si>
  <si>
    <t>37, 266</t>
  </si>
  <si>
    <t>IC</t>
  </si>
  <si>
    <t>Jerome Silvestre</t>
  </si>
  <si>
    <t>Toulouse</t>
  </si>
  <si>
    <t>France</t>
  </si>
  <si>
    <t>Jon Stone</t>
  </si>
  <si>
    <t>f/2</t>
  </si>
  <si>
    <t>BG-11</t>
  </si>
  <si>
    <t>Christina Heise</t>
  </si>
  <si>
    <t>Edmonton</t>
  </si>
  <si>
    <t>Martina Rudy</t>
  </si>
  <si>
    <t>37, 490 (slant)</t>
  </si>
  <si>
    <t>Shawinigan</t>
  </si>
  <si>
    <t>uses a PO#
email invoice to Comptes Payables at: finances@cshawi.ca</t>
  </si>
  <si>
    <t>37 (liquid)</t>
  </si>
  <si>
    <t>Megan Bauer</t>
  </si>
  <si>
    <t>Moncton</t>
  </si>
  <si>
    <t>London</t>
  </si>
  <si>
    <t>Montreal</t>
  </si>
  <si>
    <t>Lac La Biche</t>
  </si>
  <si>
    <t>Sierra Klueppel</t>
  </si>
  <si>
    <t>Burnaby</t>
  </si>
  <si>
    <t>Guelph</t>
  </si>
  <si>
    <t>510 mL sterile BG-11 [ ] (500 mL [ ] + 10 mL Stock 7)</t>
  </si>
  <si>
    <t>delivered by HR</t>
  </si>
  <si>
    <t>Hoaglands</t>
  </si>
  <si>
    <t>3L EC Hoaglands medium</t>
  </si>
  <si>
    <t>medium @ $60 x3</t>
  </si>
  <si>
    <t>Hunt Valley</t>
  </si>
  <si>
    <t>Puslinch</t>
  </si>
  <si>
    <t>Lethbridge College</t>
  </si>
  <si>
    <t>Lethbridge</t>
  </si>
  <si>
    <t>some</t>
  </si>
  <si>
    <t>IG</t>
  </si>
  <si>
    <t>Finland</t>
  </si>
  <si>
    <t>WC</t>
  </si>
  <si>
    <t>BBM + org plates</t>
  </si>
  <si>
    <t xml:space="preserve"> Montreal</t>
  </si>
  <si>
    <t>UK</t>
  </si>
  <si>
    <t>cultures @ $260</t>
  </si>
  <si>
    <t>medium @ $65</t>
  </si>
  <si>
    <t>email invoice to Accounts Payable at: acctpay@wlu.ca</t>
  </si>
  <si>
    <t>CHU-10 [ ]</t>
  </si>
  <si>
    <t>Sabine Dodard</t>
  </si>
  <si>
    <t xml:space="preserve"> Windsor</t>
  </si>
  <si>
    <t>266 (liquid)</t>
  </si>
  <si>
    <t>Ryan Prosser</t>
  </si>
  <si>
    <t>CHU-10</t>
  </si>
  <si>
    <t>Virginie Berube</t>
  </si>
  <si>
    <t>email invoice to Accounts Payable at: payables@agatlabs.com</t>
  </si>
  <si>
    <t>email invoice to Comptes Payables at: comptesapayer@adm.inrs.ca</t>
  </si>
  <si>
    <t>Devin Hughes</t>
  </si>
  <si>
    <t>3N BBM</t>
  </si>
  <si>
    <t>124, 531</t>
  </si>
  <si>
    <t>124, 531 (liquid)</t>
  </si>
  <si>
    <t>MAM [ ]</t>
  </si>
  <si>
    <t>culture @ $150</t>
  </si>
  <si>
    <t>Karyne Plante</t>
  </si>
  <si>
    <t>Katherine Raes</t>
  </si>
  <si>
    <t>growth chamber rental</t>
  </si>
  <si>
    <t>?</t>
  </si>
  <si>
    <t>299, 300</t>
  </si>
  <si>
    <t>WC [ ]</t>
  </si>
  <si>
    <t>Brandon Jaunky</t>
  </si>
  <si>
    <t>email invoice to Brandon Jaunky at: Brandon.jaunky@gmail.com</t>
  </si>
  <si>
    <t>Michelle Tseng</t>
  </si>
  <si>
    <t>Kevin Wilkinson</t>
  </si>
  <si>
    <t>Jozef Nissimov</t>
  </si>
  <si>
    <t>Gabrielle Huppe</t>
  </si>
  <si>
    <t>37 (liquid - 2x15 mL)</t>
  </si>
  <si>
    <t xml:space="preserve"> CELL AG TECH</t>
  </si>
  <si>
    <t>culture @ $200</t>
  </si>
  <si>
    <t>Germany</t>
  </si>
  <si>
    <t>cultures @$290</t>
  </si>
  <si>
    <t>cultures @ $200 x2</t>
  </si>
  <si>
    <t>2-day workshop x 2 people</t>
  </si>
  <si>
    <t>4L EC Hoaglands w/o organics</t>
  </si>
  <si>
    <t>picked up by DAP</t>
  </si>
  <si>
    <t>Jenine McCutcheon</t>
  </si>
  <si>
    <t>25?</t>
  </si>
  <si>
    <t>Japan</t>
  </si>
  <si>
    <t>Dongling Zhao</t>
  </si>
  <si>
    <t>Hélène Loranger</t>
  </si>
  <si>
    <t>Houda Hanana</t>
  </si>
  <si>
    <t>FAX NUMBER</t>
  </si>
  <si>
    <t>INVOICING INFORMATION (if different from shipping information)</t>
  </si>
  <si>
    <t>Mississauga</t>
  </si>
  <si>
    <t>ON</t>
  </si>
  <si>
    <t>N/A</t>
  </si>
  <si>
    <t>Adam</t>
  </si>
  <si>
    <t>Trent University</t>
  </si>
  <si>
    <t>Trent U</t>
  </si>
  <si>
    <t>Peterborough</t>
  </si>
  <si>
    <t>Adam Wartman</t>
  </si>
  <si>
    <t>B-11 Nicholas Beaver Road</t>
  </si>
  <si>
    <t>N0B 2J0</t>
  </si>
  <si>
    <t>519-763-4412
Cell: 519-716-4019</t>
  </si>
  <si>
    <t>519-763-4419</t>
  </si>
  <si>
    <t>Western University</t>
  </si>
  <si>
    <t>1151 Richmond Street</t>
  </si>
  <si>
    <t>N6A 5B9</t>
  </si>
  <si>
    <t>PO invoice = email invoice to Accounts Payable at: apinvoice@uwo.ca
non-PO invoice = email invoice to apinvoice@uwo.ca but put Attn: Purchaser's name and email address</t>
  </si>
  <si>
    <t>University of Toronto Mississauga</t>
  </si>
  <si>
    <t>U of Toronto Mississauga</t>
  </si>
  <si>
    <t>L5L 1C6</t>
  </si>
  <si>
    <t>University of Guelph</t>
  </si>
  <si>
    <t>U of Guelph</t>
  </si>
  <si>
    <t>email invoice to Accounts Payable at: acctspay@uoguelph.ca and reference the purchaser, department, and PO #</t>
  </si>
  <si>
    <t>Quebec - Bioassay</t>
  </si>
  <si>
    <t>QC</t>
  </si>
  <si>
    <t>G1P 3S4</t>
  </si>
  <si>
    <r>
      <t xml:space="preserve">Attn: Accounts Payable, Bureau Veritas Canada (2019) Inc., 500 - 1919 Minnesota Court, Mississauga ON L5N 0C9; Email: AP.865.INV.SUBMIT@bureauveritas.com (For A/P inquiries, please email vendorspecialist@bureauveritas.com) 
</t>
    </r>
    <r>
      <rPr>
        <strike/>
        <sz val="10"/>
        <rFont val="Arial"/>
        <family val="2"/>
      </rPr>
      <t>Email: accounts.payable@bvlabs.com</t>
    </r>
  </si>
  <si>
    <t>NS</t>
  </si>
  <si>
    <t>Alex</t>
  </si>
  <si>
    <t>University of Waterloo</t>
  </si>
  <si>
    <t>UWaterloo</t>
  </si>
  <si>
    <t>200 University Ave W</t>
  </si>
  <si>
    <t>N2L 3G1</t>
  </si>
  <si>
    <t>NB</t>
  </si>
  <si>
    <t>EA Engineering, Science and Technology, Inc.</t>
  </si>
  <si>
    <t>231 Schilling Circle</t>
  </si>
  <si>
    <t>MD</t>
  </si>
  <si>
    <t>Attn: Accounts Payable or Michael Chanov, EA Engineering, Science, and Technology, Inc., PBC, 225 Schilling Circle, Suite 400, Hunt Valley, MD 21031; Tel: 410-584-7000; Fax: 410-584-1057; Email: midatlanticap@eaest.com</t>
  </si>
  <si>
    <t>use UW FedEx account + round up to nearest $5 increment
email invoice to Accounts Payable or Michael Chanov at: midatlanticap@eaest.com</t>
  </si>
  <si>
    <t>Amarjeet Bassi</t>
  </si>
  <si>
    <t>Amarjeet</t>
  </si>
  <si>
    <t>519-661-2111 x 88324</t>
  </si>
  <si>
    <t>abassi@uwo.ca</t>
  </si>
  <si>
    <t>Testmark Laboratories Ltd.</t>
  </si>
  <si>
    <t>Testmark Labs</t>
  </si>
  <si>
    <t>7 Margaret Street N</t>
  </si>
  <si>
    <t>P3L 1E1</t>
  </si>
  <si>
    <t xml:space="preserve">705-693-1121;
Toll-free: 1-888-282-0422 </t>
  </si>
  <si>
    <t>toxicology@testmark.ca</t>
  </si>
  <si>
    <t>Attn: Accounts Payable, Testmark Laboratories Ltd., 7 Margaret Street N, Garson, ON  P3L 1E1; Email: orders@testmark.ca  (used to be accounting@testmark.ca, then sierra.fiacconi@testmark.ca, now orders@testmark.ca)</t>
  </si>
  <si>
    <t>provide taxonomic certificates; uses a P.O. # some of the time
Note: they may pick up their samples at the Purolator office
email invoice to Accounts Payable at: orders@testmark.ca</t>
  </si>
  <si>
    <t>Lakehead University</t>
  </si>
  <si>
    <t>Lakehead U</t>
  </si>
  <si>
    <t>955 Oliver Road</t>
  </si>
  <si>
    <t>Thunder Bay</t>
  </si>
  <si>
    <t>P7B 5E1</t>
  </si>
  <si>
    <t>Lakehead University, Accounts Payable, UC0002, 955 Oliver Road, Thunder Bay ON  P7B 5E1; Email: acctspayable@lakeheadu.ca</t>
  </si>
  <si>
    <t>University of Toronto Scarborough</t>
  </si>
  <si>
    <t>U of Toronto Scarborough</t>
  </si>
  <si>
    <t>1265 Military Trail</t>
  </si>
  <si>
    <t>M1C 1A4</t>
  </si>
  <si>
    <t>University of Toronto - Scarborough, 1265 Military Trail, Toronto, ON  M1C 1A4; Email: chemstores@utsc.utoronto.ca
OR
University of Toronto at Scarborough - Dept of Physical &amp; Environmental Sciences, 1265 Military Trail, Toronto, ON  M1C 1A4; Email: accountspayable@utsc.utoronto.ca</t>
  </si>
  <si>
    <t>Use a PO and email invoices to Accounts Payable at: chemstores@utsc.utoronto.ca
OR
Use a PO and email invoices to Accounts Payable at: accountspayable@utsc.utoronto.ca</t>
  </si>
  <si>
    <r>
      <t xml:space="preserve">107313
</t>
    </r>
    <r>
      <rPr>
        <b/>
        <sz val="10"/>
        <rFont val="Arial"/>
        <family val="2"/>
      </rPr>
      <t>OR</t>
    </r>
    <r>
      <rPr>
        <sz val="10"/>
        <rFont val="Arial"/>
        <family val="2"/>
      </rPr>
      <t xml:space="preserve">
103833</t>
    </r>
  </si>
  <si>
    <t>AB</t>
  </si>
  <si>
    <t>Andre Simpson</t>
  </si>
  <si>
    <t>Andre</t>
  </si>
  <si>
    <t>416-287-7547</t>
  </si>
  <si>
    <t>andre.simpson@utoronto.ca</t>
  </si>
  <si>
    <r>
      <t xml:space="preserve">University of Toronto Scarborough, Department of Physical and Environmental Sciences, 1265 Military Trail, Toronto, ON  M1C 1A4; Email: accountspayable@utsc.utoronto.ca
</t>
    </r>
    <r>
      <rPr>
        <strike/>
        <sz val="10"/>
        <rFont val="Arial"/>
        <family val="2"/>
      </rPr>
      <t>Adriana Koufis (Room SW-645), University of Toronto Scarborough, Department of Physical and Environmental Sciences, 1265 Military Trail, Toronto, ON  M1C 1A4; Tel: 416-287-7199; Fax: 416-287-7204; Email: koufis@utsc.utoronto.ca (Contact in Sharepoint: Andre Simpson, Tel: 416-716-8018; Email: andre.simpson@utoronto.ca)</t>
    </r>
  </si>
  <si>
    <t>Use a PO and email invoices to Accounts Payable at: accountspayable@utsc.utoronto.ca</t>
  </si>
  <si>
    <t>University of British Columbia</t>
  </si>
  <si>
    <t>Vancouver</t>
  </si>
  <si>
    <t>BC</t>
  </si>
  <si>
    <t>V6T 1Z4</t>
  </si>
  <si>
    <t>Andreas Heyland</t>
  </si>
  <si>
    <t>Andreas</t>
  </si>
  <si>
    <t>N1G 2W1</t>
  </si>
  <si>
    <t>519-824-4120 x 56459</t>
  </si>
  <si>
    <t>aheyland@uoguelph.ca</t>
  </si>
  <si>
    <t>Accounts Payable, University of Guelph, 50 Stone Road E, Guelph ON N1G 2W1; Email: acctspay@uoguelph.ca (Purchasers: Susan Casey (susan@uoguelph.ca) or Jesse Allen (jallen16@uoguelph.ca); Department of Integrative Biology)</t>
  </si>
  <si>
    <t>Andrée-Anne Audet</t>
  </si>
  <si>
    <t>Andrée-Anne</t>
  </si>
  <si>
    <t>Cegep de Shawinigan</t>
  </si>
  <si>
    <t xml:space="preserve">Cegep de Shawinigan </t>
  </si>
  <si>
    <t>2263 Avenue du College</t>
  </si>
  <si>
    <t>porte 4</t>
  </si>
  <si>
    <t>G9N 7H4</t>
  </si>
  <si>
    <t>819-539-6401 x 2298</t>
  </si>
  <si>
    <t>aaaudet@cshawi.ca</t>
  </si>
  <si>
    <t>Cegep de Shawinigan, 2263 Avenue du College, Case postale 610, Shawinigan QC  G9N 6V8; Tel: 819-539-6401, Email: finances@cshawi.ca (Contact in Services financiers department: Carmen Ayotte, cayotte@cshawi.ca)</t>
  </si>
  <si>
    <t>Andrew</t>
  </si>
  <si>
    <t>McGill University</t>
  </si>
  <si>
    <t>McGill U</t>
  </si>
  <si>
    <t>H3A 1B1</t>
  </si>
  <si>
    <t>McGill University, Financial Services, c/o Accounts Payable, 3465 Durocher Street, Montreal, QC  H2X 0A8; Email: accountspayable@mcgill.ca</t>
  </si>
  <si>
    <t>Trent University, 1600 West Bank Dr, Peterborough, ON  K9J 0G2; Email: Accountspayable@trentu.ca</t>
  </si>
  <si>
    <t>may or may not use a PO
email invoice to Purchasing Services at: Accountspayable@trentu.ca (specify "Attn: Purchasing Services for Huy Dang" when they don't use a PO)</t>
  </si>
  <si>
    <t>519-746-0614</t>
  </si>
  <si>
    <t>internal debit memo</t>
  </si>
  <si>
    <t>2089 East Bank Drive</t>
  </si>
  <si>
    <t>K9L 1Z8</t>
  </si>
  <si>
    <t>519-763-4412</t>
  </si>
  <si>
    <t>490 rue de la Couronne</t>
  </si>
  <si>
    <t>G1K 9A9</t>
  </si>
  <si>
    <t>Huntsman Marine Science Centre</t>
  </si>
  <si>
    <t>Huntsman Marine Science Centre, 1 Lower Campus Road, St. Andrews, NB  E5B 2L7; Contact: Debbie Voutt (Intermediate Accountant), Tel: 506-529-1200 or 506-529-1232, Email: debbie.voutt@huntsmanmarine.ca</t>
  </si>
  <si>
    <t>867 Lakeshore Rd</t>
  </si>
  <si>
    <t>L7S 1A1</t>
  </si>
  <si>
    <t>604-420-8773</t>
  </si>
  <si>
    <t>604-357-1361</t>
  </si>
  <si>
    <t>Arthur</t>
  </si>
  <si>
    <t>Office: 905-336-4779
Cell: 905-220-3922</t>
  </si>
  <si>
    <t>arthur.zastepa@ec.gc.ca</t>
  </si>
  <si>
    <t>Smithers</t>
  </si>
  <si>
    <t>MA</t>
  </si>
  <si>
    <t>508-295-2550</t>
  </si>
  <si>
    <t>508-295-8107</t>
  </si>
  <si>
    <t>EMAIL INVOICE TO: whm-ap@smithers.com; Attn: Accounts Payable, Smithers, 790 Main St., Wareham MA 02571-1037, USA; Allison Hutsell; Tel: 508-295-2550, Fax: 508-295-8107, Email: ahutsell@smithers.com</t>
  </si>
  <si>
    <t>use UW FedEx account + round up to nearest $5 increment ($xx) OR ship collect using their FedEx account #1063-9444-0. Also note that they use an external broker (Compass Forwarding), so always cc John Scully Shipping/Receiving Agent (jscully@smithers.com) and their broker with the tracking # information and a scan of the Customs letter! 
They use a PO#. Email invoice to Accounts Payable at: whm-ap@smithers.com</t>
  </si>
  <si>
    <t>Asif</t>
  </si>
  <si>
    <t>418-658-5784
Cell: 514-347-5900
Toll-free: 877-462-9926</t>
  </si>
  <si>
    <t>418-658-6594</t>
  </si>
  <si>
    <t>asif.alli@bureauveritas.com</t>
  </si>
  <si>
    <t>Audrey</t>
  </si>
  <si>
    <t>Office: 514-398-4654
Lab: 514-398-6696</t>
  </si>
  <si>
    <t>Audrey.Moores@mcgill.ca</t>
  </si>
  <si>
    <t>Requires a PO#!
email invoice to Accounts Payable at: accountspayable@mcgill.ca</t>
  </si>
  <si>
    <t>Aurélie</t>
  </si>
  <si>
    <t>2690 avenue Dalton</t>
  </si>
  <si>
    <t>aurelie.lebel@bureauveritas.com</t>
  </si>
  <si>
    <t>Blue Lion Labs</t>
  </si>
  <si>
    <t>Blue Lion Labs, 160 Elgin Crescent, Waterloo, ON N2J 2S6; Tel: 519-993-7126; Email: info@bluelionlabs.com</t>
  </si>
  <si>
    <t>provided nonprofit pricing since still affiliated with Uwaterloo
email invoice to Katie Thomas at: info@bluelionlabs.com</t>
  </si>
  <si>
    <t>Kim's Lab: 519-888-4567 x 31084</t>
  </si>
  <si>
    <t>internal debit memo to Kim Cuddington</t>
  </si>
  <si>
    <t>ALS Winnipeg</t>
  </si>
  <si>
    <t>MB</t>
  </si>
  <si>
    <t>Portugal</t>
  </si>
  <si>
    <t>Benjamin</t>
  </si>
  <si>
    <t>University of Toronto</t>
  </si>
  <si>
    <t>U of Toronto</t>
  </si>
  <si>
    <t>University of Saskatchewan</t>
  </si>
  <si>
    <t>U of Saskatchewan</t>
  </si>
  <si>
    <t>SK</t>
  </si>
  <si>
    <t>McMaster University</t>
  </si>
  <si>
    <t>McMaster U</t>
  </si>
  <si>
    <t>ALS Environmental - Winnipeg</t>
  </si>
  <si>
    <t>Winnipeg lab = 204-255-9720</t>
  </si>
  <si>
    <t>Winnipeg = 204-255-9721</t>
  </si>
  <si>
    <t>Brandon</t>
  </si>
  <si>
    <t>Jaunky Residence</t>
  </si>
  <si>
    <t>9839 Rue Jeannette</t>
  </si>
  <si>
    <t>H8R 1S7</t>
  </si>
  <si>
    <t>438-879-8413</t>
  </si>
  <si>
    <t>Brandon.jaunky@gmail.com</t>
  </si>
  <si>
    <t>Brandon Jaunky, 9839 Rue Jeannette, Lasalle, Montreal, QC  H8R 1S7; Tel: 438-879-8413; Email: Brandon.jaunky@gmail.com</t>
  </si>
  <si>
    <t>704 Mara St.</t>
  </si>
  <si>
    <t>Suite 122</t>
  </si>
  <si>
    <t>N7V 1X4</t>
  </si>
  <si>
    <t>519-339-8787</t>
  </si>
  <si>
    <t>Caroline Leblanc-Houde</t>
  </si>
  <si>
    <t>Caroline</t>
  </si>
  <si>
    <t>Agat Laboratories</t>
  </si>
  <si>
    <t>LeBlanc-Houde@agatlabs.com</t>
  </si>
  <si>
    <r>
      <t>Accounts Payable, Agat Laboratories, 2905 - 12th Street NE, Calgary AB  T2E 7J2; Tel: 403-736-2000, Fax: 403-736-2001, Email: payables@agatlabs.com, Website: http://www.agatlabs.com/</t>
    </r>
    <r>
      <rPr>
        <b/>
        <strike/>
        <sz val="10"/>
        <rFont val="Arial"/>
        <family val="2"/>
      </rPr>
      <t/>
    </r>
  </si>
  <si>
    <t>Natural Resources Canada</t>
  </si>
  <si>
    <t>Catherine</t>
  </si>
  <si>
    <t>Cell: 639-994-0417</t>
  </si>
  <si>
    <t>University of Saskatchewan, ConnectionPoint, Arts Building, Rm 258, Saskatoon, SK  S7N 5A7; Email: connectionpoint@usask.ca</t>
  </si>
  <si>
    <t>NL</t>
  </si>
  <si>
    <t>Chelsea Blake</t>
  </si>
  <si>
    <t>Chelsea</t>
  </si>
  <si>
    <t>chelsea.blake@bureauveritas.com</t>
  </si>
  <si>
    <t>Chris</t>
  </si>
  <si>
    <t>Centre d'Expertise en Analyse Environnementale du Quebec (CEAEQ)</t>
  </si>
  <si>
    <t>Christina</t>
  </si>
  <si>
    <t>825-510-1301</t>
  </si>
  <si>
    <t>Environment and Climate Change Canada - Prairie and Northern Laboratory for Environmental Testing, 5320 - 122nd Street, Edmonton AB T6H 3S5; Attn: Christina Heise, Tel: 780-435-7389, Fax: 780-435-7268, Email: Christina.Heise@canada.ca (used to be Christina.Heise@EC.gc.ca)</t>
  </si>
  <si>
    <t>Portage College</t>
  </si>
  <si>
    <t>Attn: Accounts Payable, Portage College, 9531 - 94 Avenue, Box 417, Lac La Biche, AB  T0A 2C0; Email address: payables@portagecollege.ca</t>
  </si>
  <si>
    <t>Christophe</t>
  </si>
  <si>
    <t>438-822-1851</t>
  </si>
  <si>
    <t>Christophe.Langevin@inrs.ca</t>
  </si>
  <si>
    <t>University of Regina</t>
  </si>
  <si>
    <t>Claude Fortin</t>
  </si>
  <si>
    <t>Claude</t>
  </si>
  <si>
    <t>418-654-3770</t>
  </si>
  <si>
    <t>418-654-2600</t>
  </si>
  <si>
    <t>claude.fortin@ete.inrs.ca</t>
  </si>
  <si>
    <t>10823 27th Street SE</t>
  </si>
  <si>
    <t>T2Z 3V9</t>
  </si>
  <si>
    <t>403-253-7121</t>
  </si>
  <si>
    <t>403-252-9363</t>
  </si>
  <si>
    <r>
      <t xml:space="preserve">University of Saskatchewan, ConnectionPoint, Arts Building, Rm 258, Saskatoon, SK  S7N 5A7; Email: connectionpoint@usask.ca
</t>
    </r>
    <r>
      <rPr>
        <strike/>
        <sz val="10"/>
        <rFont val="Arial"/>
        <family val="2"/>
      </rPr>
      <t>Adriana Brown, University of Saskatchewan, 44 Campus Drive, Room 11, Saskatoon, Saskatchewan S7N 5B3; Tel: 306-966-7443, Email: adriana.brown@usask.ca (Contact in Sharepoint: Elise Bird; Tel: 306 966-8729, Email: jelisebird@gmail.com)</t>
    </r>
  </si>
  <si>
    <t>Switzerland</t>
  </si>
  <si>
    <t>416-978-2508</t>
  </si>
  <si>
    <t>Craig Buday</t>
  </si>
  <si>
    <t>Craig</t>
  </si>
  <si>
    <t>604-903-4438</t>
  </si>
  <si>
    <t>604-903-4445</t>
  </si>
  <si>
    <t>Environment and Climate Change Canada - Pacific Environmental Science Centre, 2645 Dollarton Hwy, North Vancouver, BC  V7H 1B1</t>
  </si>
  <si>
    <t>include taxonomic certificate
invoices are currently being mailed via Canada Post</t>
  </si>
  <si>
    <t>Dan</t>
  </si>
  <si>
    <t>Queen's University</t>
  </si>
  <si>
    <t>613-533-6141</t>
  </si>
  <si>
    <t>lefebvre@queensu.ca</t>
  </si>
  <si>
    <r>
      <t>Queen's University - Dept of Biology, 99 University Ave, Kingston, ON  K7L 3N6; Email: biology@queensu.ca</t>
    </r>
    <r>
      <rPr>
        <strike/>
        <sz val="10"/>
        <rFont val="Arial"/>
        <family val="2"/>
      </rPr>
      <t xml:space="preserve">
Daniel Lefebvre (Room 3621), Queen's University, Biology Department, 116 Barrie St., Kingston ON  K7L 3N6; Tel: 613-533-6141, Email: lefebvre@queensu.ca</t>
    </r>
  </si>
  <si>
    <t>Eurofins - EnvironeX</t>
  </si>
  <si>
    <t>418-977-1220
Toll free: 1-877-977-1220</t>
  </si>
  <si>
    <t>David</t>
  </si>
  <si>
    <t>David Depew</t>
  </si>
  <si>
    <t>905-336-4790</t>
  </si>
  <si>
    <t>905-336-4699</t>
  </si>
  <si>
    <t>David.Depew@canada.ca</t>
  </si>
  <si>
    <t>David Haight</t>
  </si>
  <si>
    <t>403-320-3202 x5594</t>
  </si>
  <si>
    <t>david.haight@lethbridgecollege.ca</t>
  </si>
  <si>
    <t>Lethbridge College, 3000 College Drive South, Lethbridge, AB  T1K 1L6; Email: Accountspayable@lethbridgecollege.ca</t>
  </si>
  <si>
    <t>email invoice to Accounts Payable at:  Accountspayable@lethbridgecollege.ca</t>
  </si>
  <si>
    <t>David Janz</t>
  </si>
  <si>
    <t>306-966-7434
Main Office: 306-966-7441</t>
  </si>
  <si>
    <t>david.janz@usask.ca</t>
  </si>
  <si>
    <r>
      <t xml:space="preserve">Harris Industrial Testing Service Ltd., 21 Old Cobequid Road, Waverley, NS, B2R 1P4; General invoicing email: office@harrisindustrial.ca; Attn: Janetta Fraser (Lab Manager and President), Tel: 902-861-2232, Email: janetta@harrisindustrial.ca
</t>
    </r>
    <r>
      <rPr>
        <strike/>
        <sz val="10"/>
        <rFont val="Arial"/>
        <family val="2"/>
      </rPr>
      <t>Attn: David Robinson (Office Manager), Tel: 902-448-0016, Email: david@harrisindustrial.ca; website: http://harrisindustrial.ca</t>
    </r>
    <r>
      <rPr>
        <sz val="10"/>
        <rFont val="Arial"/>
        <family val="2"/>
      </rPr>
      <t xml:space="preserve">
</t>
    </r>
    <r>
      <rPr>
        <strike/>
        <sz val="10"/>
        <rFont val="Arial"/>
        <family val="2"/>
      </rPr>
      <t>Carol Harris, Harris Industrial Testing Service Ltd., 1320 Ashdale Rd., Site 13 Box 8, RR 1, Mount Uniacke NS B0N 1Z0; Tel: 902-757-0232, Fax: 902-757-0973, Email: office@harrisindustrial.info; website: http://harrisindustrial.info/</t>
    </r>
  </si>
  <si>
    <t>Debora</t>
  </si>
  <si>
    <t>d4andradepereira@uwaterloo.ca</t>
  </si>
  <si>
    <t>Derek</t>
  </si>
  <si>
    <t>Wilfrid Laurier University</t>
  </si>
  <si>
    <t>Accounts Payable, Wilfrid Laurier University, 75 University Ave. W., Waterloo ON  N2L 3C5; Email: acctpay@wlu.ca</t>
  </si>
  <si>
    <t>Derek Kozakiewicz</t>
  </si>
  <si>
    <t>Ontario Ministry of the Environment, Conservation &amp; Parks</t>
  </si>
  <si>
    <t>Cell: 416-705-5649</t>
  </si>
  <si>
    <t>Derek.Kozakiewicz@ontario.ca</t>
  </si>
  <si>
    <t>Devin</t>
  </si>
  <si>
    <t>Concordia University of Edmonton</t>
  </si>
  <si>
    <t>780-479-9361</t>
  </si>
  <si>
    <t>780-474-1933</t>
  </si>
  <si>
    <t>devin.hughes@concordia.ab.ca</t>
  </si>
  <si>
    <t>Concordia University of Edmonton, 7128 Ada Blvd, Edmonton, AB T5B 4E4; Email: accountspayable@concordia.ab.ca</t>
  </si>
  <si>
    <t>email invoice to accountspayable@concordia.ab.ca with request to forward it to Devin Hughes (devin.hughes@concordia.ab.ca) for credit card payment 
invoices are currently being mailed via Canada Post to Attn: Accounts Payable (include contact name and PO#)</t>
  </si>
  <si>
    <t>Donald Lai</t>
  </si>
  <si>
    <t>Donald</t>
  </si>
  <si>
    <t>4606 Canada Way</t>
  </si>
  <si>
    <t>V5G 1K5</t>
  </si>
  <si>
    <t>604-734-7276 x 706-2240</t>
  </si>
  <si>
    <t>604-731-2386</t>
  </si>
  <si>
    <t>donald.lai@bureauveritas.com</t>
  </si>
  <si>
    <t>Dongling</t>
  </si>
  <si>
    <t>25 Harbord Street</t>
  </si>
  <si>
    <t>Ramsay Wright, RW136</t>
  </si>
  <si>
    <t>M5S 3G5</t>
  </si>
  <si>
    <t>dongling.zhao@utoronto.ca</t>
  </si>
  <si>
    <t>Edyta</t>
  </si>
  <si>
    <t>519-336-6965
Alternate Email:
dyniu@hotmail.com</t>
  </si>
  <si>
    <t>edyta@nautilusenvironmental.ca</t>
  </si>
  <si>
    <t>Kate</t>
  </si>
  <si>
    <t>Elyse</t>
  </si>
  <si>
    <t>Cell: 519-546-7569</t>
  </si>
  <si>
    <t>ejwbatista@uwaterloo.ca</t>
  </si>
  <si>
    <t>Emily</t>
  </si>
  <si>
    <t>Emmy</t>
  </si>
  <si>
    <t>815-262-4805</t>
  </si>
  <si>
    <t>Emily.Hallett@inrs.ca</t>
  </si>
  <si>
    <t>National Research Council of Canada, 1200 Montreal Road, M-50, Ottawa, ON  K1A 0R6</t>
  </si>
  <si>
    <t>Nova Scotia Community College - Ivany Campus</t>
  </si>
  <si>
    <t>invoices are currently being mailed via Canada Post to Attn: Brenda Veinot</t>
  </si>
  <si>
    <t>Francois</t>
  </si>
  <si>
    <t>Frank</t>
  </si>
  <si>
    <t>Frederic</t>
  </si>
  <si>
    <t>Gabrielle</t>
  </si>
  <si>
    <t>418-643-1301 x 243</t>
  </si>
  <si>
    <t>418-528-1091;
Alternate Email: dbm@environnement.gouv.qc.ca</t>
  </si>
  <si>
    <t>gabrielle.huppe@environnement.gouv.qc.ca</t>
  </si>
  <si>
    <t>Universite du Quebec a Rimouski</t>
  </si>
  <si>
    <t>Universite du Quebec a Rimouski - Campus de Rimouski, 300, allee des Ursulines, C.P. 3000, succ A, Rimouski, QC  G5L 3A1; Email: factures@uqar.ca; Tel: 418-723-1986 x 1486; Fax: 418-724-1655 (Attn: Services finanaces et approvionnements)</t>
  </si>
  <si>
    <t>email invoice to Comptes payables at: factures@uqar.ca</t>
  </si>
  <si>
    <t>University of Regina, Financial Services, 3737 Wascana Parkway, Regina, SK S4S 0A2; Email: accounts.payable@uregina.ca</t>
  </si>
  <si>
    <t>Graham Bell</t>
  </si>
  <si>
    <t>Graham</t>
  </si>
  <si>
    <t>514-398-6458</t>
  </si>
  <si>
    <t>514-398-5069</t>
  </si>
  <si>
    <t>graham.bell@mcgill.ca</t>
  </si>
  <si>
    <t>email invoice to Accounts Payable at: accountspayable@mcgill.ca but put "Attn: Graham Bell (Biology Dept)" in the Header; also put "Please forward invoice to Graham Bell (graham.bell@mcgill.ca) for credit card payment" in the Footer; reference McGill Fund # (may need to issue a Payment Request)</t>
  </si>
  <si>
    <t>Hassan Peerhossaini</t>
  </si>
  <si>
    <t>Hassan</t>
  </si>
  <si>
    <t>519-661-2111 x 80319</t>
  </si>
  <si>
    <t>hpeerhos@uwo.ca</t>
  </si>
  <si>
    <t>Poland</t>
  </si>
  <si>
    <t>Hélène</t>
  </si>
  <si>
    <t>418-528-1091</t>
  </si>
  <si>
    <t>dbm@environnement.gouv.qc.ca</t>
  </si>
  <si>
    <t>Huy Dang</t>
  </si>
  <si>
    <t>Huy</t>
  </si>
  <si>
    <t>705-748-1011 x 6364</t>
  </si>
  <si>
    <t>huydang@trentu.ca</t>
  </si>
  <si>
    <t>Ian</t>
  </si>
  <si>
    <t>James</t>
  </si>
  <si>
    <t>Jana</t>
  </si>
  <si>
    <t>Janetta</t>
  </si>
  <si>
    <t>21 Old Cobequid Road</t>
  </si>
  <si>
    <t>Waverley</t>
  </si>
  <si>
    <t>B2R 1P4</t>
  </si>
  <si>
    <t>902-861-2232</t>
  </si>
  <si>
    <t>janetta@harrisindustrial.ca</t>
  </si>
  <si>
    <r>
      <t xml:space="preserve">provide taxonomic certificates; ship via Purolator or UPS?
shipment cost $xx via Purolator according to Agile program…huge ouch!
email invoice to Janetta Fraser at: office@harrisindustrial.ca
</t>
    </r>
    <r>
      <rPr>
        <b/>
        <strike/>
        <sz val="10"/>
        <color indexed="10"/>
        <rFont val="Arial"/>
        <family val="2"/>
      </rPr>
      <t>email invoice to Janetta Fraser at: janetta@harrisindustrial.ca</t>
    </r>
    <r>
      <rPr>
        <b/>
        <sz val="10"/>
        <color indexed="10"/>
        <rFont val="Arial"/>
        <family val="2"/>
      </rPr>
      <t xml:space="preserve">
</t>
    </r>
    <r>
      <rPr>
        <b/>
        <strike/>
        <sz val="10"/>
        <color indexed="10"/>
        <rFont val="Arial"/>
        <family val="2"/>
      </rPr>
      <t>email invoice to David Robinson at: david@harrisindustrial.ca</t>
    </r>
  </si>
  <si>
    <t>Jason Deglint</t>
  </si>
  <si>
    <t>519-993-7126</t>
  </si>
  <si>
    <t>Jenine</t>
  </si>
  <si>
    <t>519-888-4567 x37512</t>
  </si>
  <si>
    <t>jenine.mccutcheon@uwaterloo.ca</t>
  </si>
  <si>
    <t>Jennifer</t>
  </si>
  <si>
    <t>Avalon Laboratories Inc.</t>
  </si>
  <si>
    <t>Avalon Laboratories Inc., 5 Sea Rose Avenue, St. John's, NL  A1A 0P6; Email: accountspayable@avalonlaboratories.ca</t>
  </si>
  <si>
    <t>Jeremy Byrnes</t>
  </si>
  <si>
    <t>Jeremy</t>
  </si>
  <si>
    <t>Jeremy.Byrnes@ALSGlobal.com</t>
  </si>
  <si>
    <t>Jerome</t>
  </si>
  <si>
    <t>Jerome Comte</t>
  </si>
  <si>
    <t>418-654-2591</t>
  </si>
  <si>
    <t>jerome.comte@inrs.ca</t>
  </si>
  <si>
    <t>ECOLAB - Campus UPS</t>
  </si>
  <si>
    <t>118 route de Narbonne</t>
  </si>
  <si>
    <t xml:space="preserve"> TOULOUSE CEDEX 9</t>
  </si>
  <si>
    <t>Bat 4 R1</t>
  </si>
  <si>
    <t>31062</t>
  </si>
  <si>
    <t>+ 33 5-34-32-39-39
cell: +33676428267</t>
  </si>
  <si>
    <t>+ 33 5-34-32-39-01
Former email address: jerome.silvestre@ensat.fr</t>
  </si>
  <si>
    <t>jerome.silvestre@toulouse-inp.fr</t>
  </si>
  <si>
    <r>
      <t xml:space="preserve">Unit 4 address:
</t>
    </r>
    <r>
      <rPr>
        <sz val="10"/>
        <rFont val="Arial"/>
        <family val="2"/>
      </rPr>
      <t>Centre national de la recherche scientifique - EcoLab, Universite Paul Sabatier, Batiment 4R1, 118 route de Narbonne, 31062 Toulouse CEDEX 9, France (Financial contact: Catherine Donati, Gestionnaire = Administrative Manager; Tel: 05-61-55-89-04; Email: catherine.donati@univ-tlse3.fr)</t>
    </r>
    <r>
      <rPr>
        <b/>
        <sz val="10"/>
        <rFont val="Arial"/>
        <family val="2"/>
      </rPr>
      <t xml:space="preserve">
</t>
    </r>
    <r>
      <rPr>
        <b/>
        <strike/>
        <sz val="10"/>
        <rFont val="Arial"/>
        <family val="2"/>
      </rPr>
      <t>when invoice goes to INPT Auzeville-Tolosane:</t>
    </r>
    <r>
      <rPr>
        <strike/>
        <sz val="10"/>
        <rFont val="Arial"/>
        <family val="2"/>
      </rPr>
      <t xml:space="preserve">
Chrystelle Radou, Institut National Polytechnique de Toulouse, EcoLab/Campus Ensat, Departement de Finance, Avenue de l’Agrobiopole, BP 32607, Auzeville-Tolosane, 31326 Castanet-Tolosan, France; Tel: + 33 5-62-19-39-74; Fax: + 33 5-62-19-39-01; Email: chrystelle.radou@ensat.fr; Website: http://www.ecolab.ups-tlse.fr/
</t>
    </r>
    <r>
      <rPr>
        <b/>
        <strike/>
        <sz val="10"/>
        <rFont val="Arial"/>
        <family val="2"/>
      </rPr>
      <t>when invoice goes to INPT Toulouse:</t>
    </r>
    <r>
      <rPr>
        <strike/>
        <sz val="10"/>
        <rFont val="Arial"/>
        <family val="2"/>
      </rPr>
      <t xml:space="preserve">
Chrystelle Radou, Institut National Polytechnique de Toulouse, Agence comptable - service facturier, 6 Allee Emilie Monso, BP 34038, 31029 Toulouse cedex 4, Toulouse, France 31029; Tel: + 33 5-34-32-39-74; Fax: + 33 5-34-32-39-71; Email: chrystelle.radou@ensat.fr
</t>
    </r>
    <r>
      <rPr>
        <b/>
        <strike/>
        <sz val="10"/>
        <rFont val="Arial"/>
        <family val="2"/>
      </rPr>
      <t>when invoice goes to CNRS Toulouse:</t>
    </r>
    <r>
      <rPr>
        <strike/>
        <sz val="10"/>
        <rFont val="Arial"/>
        <family val="2"/>
      </rPr>
      <t xml:space="preserve">
Catherine Donati, Le Centre national de la recherche scientifique (CNRS), Laboratoire ECOLAB - 1856, Université Paul Sabatier, 118 Route de Narbonne - Bat 4R1, 31062 Toulouse Cedex 9, Toulouse, France; Tel: 05-61-55-89-04; Email: catherine.donati@univ-tlse3.fr</t>
    </r>
  </si>
  <si>
    <r>
      <t xml:space="preserve">use UW FedEx account + round up to nearest $5 increment ($xx)
email invoice to Catherine Donati at: catherine.donati@univ-tlse3.fr
ensure the name "Florence Mouchet" is indicated on the invoice? double-check before issuing invoice!
if using a PO# (No. COM) then also reference the Code service Chorus Pro: UMR5245; SIRET: 18008901303720; NoTVAICC: FR40180089013
</t>
    </r>
    <r>
      <rPr>
        <b/>
        <strike/>
        <sz val="10"/>
        <color rgb="FFFF0000"/>
        <rFont val="Arial"/>
        <family val="2"/>
      </rPr>
      <t>invoices are currently being mailed via Canada Post to Attn: Comptes Payables for Jerome Silvestre</t>
    </r>
  </si>
  <si>
    <t>Jack</t>
  </si>
  <si>
    <t>Reception Suite 401</t>
  </si>
  <si>
    <t>647-668-4801
Cell: 647-668-4801</t>
  </si>
  <si>
    <t>jack.hu@utoronto.ca</t>
  </si>
  <si>
    <r>
      <rPr>
        <sz val="10"/>
        <rFont val="Arial"/>
        <family val="2"/>
      </rPr>
      <t xml:space="preserve">for EEB 268
</t>
    </r>
    <r>
      <rPr>
        <b/>
        <sz val="10"/>
        <color indexed="10"/>
        <rFont val="Arial"/>
        <family val="2"/>
      </rPr>
      <t>email invoice to Robbie Brar/Jianguo (Jack) Hu at: eeb.reception@utoronto.ca</t>
    </r>
  </si>
  <si>
    <t>Jillian</t>
  </si>
  <si>
    <t>City of Hamilton Environmental Lab</t>
  </si>
  <si>
    <t>905-546-2424 x 5884</t>
  </si>
  <si>
    <t>JJ.Anderson@hamilton.ca</t>
  </si>
  <si>
    <t>City of Hamilton Environmental Lab, 700 Woodward Avenue, Hamilton, ON  L8H 6P4; Tel: 905-546-2424; Email:  water.invoices@hamilton.ca</t>
  </si>
  <si>
    <t>Jon</t>
  </si>
  <si>
    <t>office: 905-525-9140 x26136
lab: 905-525-9140 x27676</t>
  </si>
  <si>
    <t>905-522-6066</t>
  </si>
  <si>
    <t>jstoner@mcmaster.ca</t>
  </si>
  <si>
    <t>Josh</t>
  </si>
  <si>
    <t>410-822-8600</t>
  </si>
  <si>
    <t>Jozef</t>
  </si>
  <si>
    <t>jnissimov@uwaterloo.ca</t>
  </si>
  <si>
    <t>Karsten Liber</t>
  </si>
  <si>
    <t>Karsten</t>
  </si>
  <si>
    <t>306-966-7444</t>
  </si>
  <si>
    <t>karsten.liber@usask.ca</t>
  </si>
  <si>
    <t>Karyne</t>
  </si>
  <si>
    <t>4495 boulevard Wilfrid-Hamel</t>
  </si>
  <si>
    <t>G1P 2J7</t>
  </si>
  <si>
    <t>karyneplante@et.eurofinsca.com</t>
  </si>
  <si>
    <r>
      <t xml:space="preserve">Attn: Accounts Payable, Eurofins Environment Testing Canada Inc., 1120 Finch Ave W, Suite 200, North York ON  M3J 3H7; Email: APCanada@eurofins.com
</t>
    </r>
    <r>
      <rPr>
        <strike/>
        <sz val="10"/>
        <rFont val="Arial"/>
        <family val="2"/>
      </rPr>
      <t>Attn: Accounts Payable, Eurofins Environment Testing Canada Inc., 1111 Flint Road, Unit 36, North York ON  M3J 3C7</t>
    </r>
  </si>
  <si>
    <t>790 Main St.</t>
  </si>
  <si>
    <t>02571-1037</t>
  </si>
  <si>
    <t>ksoftcheck@smithers.com</t>
  </si>
  <si>
    <t>Katherine</t>
  </si>
  <si>
    <t>44 Campus Drive</t>
  </si>
  <si>
    <t>Alternate email:
kar425@mail.usask.ca</t>
  </si>
  <si>
    <t>katherine.raes@usask.ca</t>
  </si>
  <si>
    <r>
      <t xml:space="preserve">University of Saskatchewan, ConnectionPoint, Arts Building, Rm 258, Saskatoon, SK  S7N 5A7; Email: connectionpoint@usask.ca
</t>
    </r>
    <r>
      <rPr>
        <strike/>
        <sz val="10"/>
        <rFont val="Arial"/>
        <family val="2"/>
      </rPr>
      <t>Katherine Raes, University of Saskatchewan, 44 Campus Drive, Room 11, Saskatoon, Saskatchewan S7N 5B3; Tel: 306-966-8729, Email: kar425@mail.usask.ca (Contact in Sharepoint: Elise Bird; Tel: 306 966-8729, Email: jelisebird@gmail.com)</t>
    </r>
  </si>
  <si>
    <t>Kathleen</t>
  </si>
  <si>
    <t>Cell: 519-766-7341</t>
  </si>
  <si>
    <t>knolan@uoguelph.ca</t>
  </si>
  <si>
    <t>Katie</t>
  </si>
  <si>
    <t>160 Elgin Crescent</t>
  </si>
  <si>
    <t>N2J 2S6</t>
  </si>
  <si>
    <t>katie@bluelionlabs.com</t>
  </si>
  <si>
    <t>Katrina</t>
  </si>
  <si>
    <r>
      <t>When paying by credit card:</t>
    </r>
    <r>
      <rPr>
        <sz val="10"/>
        <rFont val="Arial"/>
        <family val="2"/>
      </rPr>
      <t xml:space="preserve">
National Research Council of Canada - Montreal Royalmount, 6100 Avenue Royalmount, Montreal, QC  H4P 2R2
</t>
    </r>
    <r>
      <rPr>
        <b/>
        <sz val="10"/>
        <rFont val="Arial"/>
        <family val="2"/>
      </rPr>
      <t>When using a PO:</t>
    </r>
    <r>
      <rPr>
        <sz val="10"/>
        <rFont val="Arial"/>
        <family val="2"/>
      </rPr>
      <t xml:space="preserve">
National Research Council of Canada, 1200 Montreal Road, M-50, Ottawa, ON  K1A 0R6; Email: nrc.invoice-facture.cnrc@nrc-cnrc.gc.ca</t>
    </r>
  </si>
  <si>
    <t>invoices are currently being mailed via Canada Post to the Royalmount office (Customer ID 107425) for credit card payment
Alternatively, if using a PO, then most invoices go directly to the main Ottawa AP office (Customer ID 103482) with Attn: Accounts Payable/Comptes Payables at: nrc.invoice-facture.cnrc@nrc-cnrc.gc.ca</t>
  </si>
  <si>
    <t>107425
or
103482</t>
  </si>
  <si>
    <t>Kevin</t>
  </si>
  <si>
    <t>514-343-6741</t>
  </si>
  <si>
    <t>kj.wilkinson@umontreal.ca</t>
  </si>
  <si>
    <t>Kim Cuddington</t>
  </si>
  <si>
    <t>Kim</t>
  </si>
  <si>
    <t>200 University Ave. W</t>
  </si>
  <si>
    <t>Office: 519-888-4567 x 32468
Lab: 519-888-4567 x 31084</t>
  </si>
  <si>
    <t>418-654-3766
Cell: 418-240-0175</t>
  </si>
  <si>
    <t>Kirsten</t>
  </si>
  <si>
    <t>519-888-4567 x 32224</t>
  </si>
  <si>
    <t>kmmuller@uwaterloo.ca</t>
  </si>
  <si>
    <t>Brock University</t>
  </si>
  <si>
    <t>Brock University, Attn:  Accounts Payable, 1812 Sir Isaac Brock Way, St. Catharines, ON  L2S 3A1; Email: brockap@brocku.ca</t>
  </si>
  <si>
    <t>email invoice to Accounts Payable at: brockap@brocku.ca (accepts non-PO invoices)
may need to note: Workday Name, Hierarchy, Fund, Cost Centre</t>
  </si>
  <si>
    <r>
      <t xml:space="preserve">Environment and Climate Change Canada - Aquatic Contaminants Research Division, 867 Lakeshore Rd., Burlington, ON L7S 1A1; Email: drcafagroupe-acrdfagroup@ec.gc.ca
</t>
    </r>
    <r>
      <rPr>
        <strike/>
        <sz val="10"/>
        <rFont val="Arial"/>
        <family val="2"/>
      </rPr>
      <t>Email: ec.drcafagroup-acrdfagroup@canada.ca</t>
    </r>
  </si>
  <si>
    <t>Leanne Dumontier</t>
  </si>
  <si>
    <t>Leanne</t>
  </si>
  <si>
    <t>leanne.dumontier@lethbridgecollege.ca</t>
  </si>
  <si>
    <t>Leila</t>
  </si>
  <si>
    <t>Lison</t>
  </si>
  <si>
    <t>Netherlands</t>
  </si>
  <si>
    <t>Mali</t>
  </si>
  <si>
    <t>mmehdiz@uwo.ca</t>
  </si>
  <si>
    <t>Manon</t>
  </si>
  <si>
    <t>Manon.Sarrazin@cnrc-nrc.gc.ca</t>
  </si>
  <si>
    <r>
      <rPr>
        <b/>
        <sz val="10"/>
        <rFont val="Arial"/>
        <family val="2"/>
      </rPr>
      <t>When paying by credit card:</t>
    </r>
    <r>
      <rPr>
        <sz val="10"/>
        <rFont val="Arial"/>
        <family val="2"/>
      </rPr>
      <t xml:space="preserve">
National Research Council of Canada - Montreal Royalmount, 6100 Avenue Royalmount, Montreal, QC  H4P 2R2
</t>
    </r>
    <r>
      <rPr>
        <b/>
        <sz val="10"/>
        <rFont val="Arial"/>
        <family val="2"/>
      </rPr>
      <t>When using a PO:</t>
    </r>
    <r>
      <rPr>
        <sz val="10"/>
        <rFont val="Arial"/>
        <family val="2"/>
      </rPr>
      <t xml:space="preserve">
National Research Council of Canada, 1200 Montreal Road, M-50, Ottawa, ON  K1A 0R6; Email: nrc.invoice-facture.cnrc@nrc-cnrc.gc.ca</t>
    </r>
  </si>
  <si>
    <t>Marc</t>
  </si>
  <si>
    <t>Marianne</t>
  </si>
  <si>
    <t>418-656-2131 x 404471</t>
  </si>
  <si>
    <t>Marianne.Potvin@qo.ulaval.ca</t>
  </si>
  <si>
    <t>Universite Laval, Service des Finances, 2345 allee des Bibliotheques, Quebec, QC  G1V 0A6; Email: BC_payable@sf.ulaval.ca</t>
  </si>
  <si>
    <t>Martin</t>
  </si>
  <si>
    <t>Martina Rendas</t>
  </si>
  <si>
    <t>Martina</t>
  </si>
  <si>
    <t>519-763-4412 x 324</t>
  </si>
  <si>
    <t>mrendas@aquatox.ca</t>
  </si>
  <si>
    <t>905-336-4880</t>
  </si>
  <si>
    <t>Maude</t>
  </si>
  <si>
    <t>Megan</t>
  </si>
  <si>
    <t>443 Universite Ave.</t>
  </si>
  <si>
    <t>E1A 3E9</t>
  </si>
  <si>
    <t>506-851-4396</t>
  </si>
  <si>
    <t>old email address:
megan.mcpherson@canada.ca</t>
  </si>
  <si>
    <t>Michael</t>
  </si>
  <si>
    <t>Mike</t>
  </si>
  <si>
    <t>21031</t>
  </si>
  <si>
    <t>410-584-7000 x 5120
or 410-329-5120</t>
  </si>
  <si>
    <t>mchanov@eaest.com</t>
  </si>
  <si>
    <t>9531 - 94 Avenue</t>
  </si>
  <si>
    <t>Natural Resources Dept</t>
  </si>
  <si>
    <t>T0A 2C0</t>
  </si>
  <si>
    <t>780-623-4934
Cell: 780-520-5292
Campus Tel: 1-866-623-5551</t>
  </si>
  <si>
    <t>Michael.Schulz@portagecollege.ca</t>
  </si>
  <si>
    <t>ship via UPS or Purolator (Purolator might be both quicker and cheaper as per 2020)
shipment cost $27.13 via Purolator (2 days) according to Agile (so charged $30) in 2018
shipment cost $48.75 via UPS (2 days) according to Agile (so charged $50) in 2019
shipment cost $29.75 via Purolator (1 day!) according to Agile (so charged $30) in 2020
email invoice to Accounts Payable at: payables@portagecollege.ca (put Michael Schulz's name; could also put "Purchased by xxxx")</t>
  </si>
  <si>
    <t>Michelle</t>
  </si>
  <si>
    <r>
      <t xml:space="preserve">778-232-7404
</t>
    </r>
    <r>
      <rPr>
        <strike/>
        <sz val="10"/>
        <rFont val="Arial"/>
        <family val="2"/>
      </rPr>
      <t>604-822-5040</t>
    </r>
  </si>
  <si>
    <t>tsengm@mail.ubc.ca</t>
  </si>
  <si>
    <t>University of British Columbia - Department of Botany, 3156-6270 University Blvd, Vancouver, BC  V6T 1Z4, Email:  
finance.botany@ubc.ca (Contact: Sara Feizi (Finance Clerk), Tel: 604-827-0067 or 604-822-8524, Email: sara.feizi@botany.ubc.ca)</t>
  </si>
  <si>
    <t>Monica Emelko</t>
  </si>
  <si>
    <t>Monica</t>
  </si>
  <si>
    <t>519-888-4349?</t>
  </si>
  <si>
    <t>mbemelko@uwaterloo.ca</t>
  </si>
  <si>
    <t>CEAEQ</t>
  </si>
  <si>
    <t>2700 rue Einstein</t>
  </si>
  <si>
    <t>G1P 3W8</t>
  </si>
  <si>
    <t>CNRC</t>
  </si>
  <si>
    <t>6100 Avenue Royalmount</t>
  </si>
  <si>
    <t>H4P 2R2</t>
  </si>
  <si>
    <t>Nicole</t>
  </si>
  <si>
    <t>Pam Howes</t>
  </si>
  <si>
    <t>Pam</t>
  </si>
  <si>
    <t>office = 604-639-8424
cell = 604-761-7021</t>
  </si>
  <si>
    <t>Pam.HOWES@bvlabs.com</t>
  </si>
  <si>
    <t>uses a PO #
use UW FedEx account + round up to nearest $5 increment ($xx)
email invoice to Thomas Gamblin at: t.gamblin@agrochemex.com</t>
  </si>
  <si>
    <t>Saskatchewan Research Council (SRC)</t>
  </si>
  <si>
    <t>Patrick</t>
  </si>
  <si>
    <t>Paul</t>
  </si>
  <si>
    <t>Paul Frost</t>
  </si>
  <si>
    <t>705-748-1011 x 7903</t>
  </si>
  <si>
    <t>paulfrost@trentu.ca</t>
  </si>
  <si>
    <t>Accounts Payable, University of Guelph, 50 Stone Road E, Guelph ON N1G 2W1; Email: acctspay@uoguelph.ca (Purchaser: Izabella Onik; Tel: 519-824-4120 x52712; Email: sesclerk@uoguelph.ca; School of Environmental Sciences)</t>
  </si>
  <si>
    <t>506-851-6608</t>
  </si>
  <si>
    <t>York University</t>
  </si>
  <si>
    <t>York University - Department of Biology, 4700 Keele Street, North York, ON  M3J 1P3; Email: vendorinvoices@yorku.ca</t>
  </si>
  <si>
    <t>may or may not use a PO; specify full name, department, and York email address of purchaser: "Non-PO invoice for Raymond Kwong; Biology; Email: rwmkwong@yorku.ca"
email invoice to Accounts Payable at: vendorinvoices@yorku.ca</t>
  </si>
  <si>
    <t>Raymond Kwong</t>
  </si>
  <si>
    <t>Raymond</t>
  </si>
  <si>
    <t>416-736-2100 x 33718</t>
  </si>
  <si>
    <t>rwmkwong@yorku.ca</t>
  </si>
  <si>
    <t>Reza</t>
  </si>
  <si>
    <t>Cell: 226-559-2474</t>
  </si>
  <si>
    <t>rsaifi@uwo.ca</t>
  </si>
  <si>
    <t>Roger C. Levesque</t>
  </si>
  <si>
    <t>Roger</t>
  </si>
  <si>
    <t>Universite Laval - Institut de biologie integrative et des systemes (IBIS)</t>
  </si>
  <si>
    <t>rclevesq@ibis.ulaval.ca</t>
  </si>
  <si>
    <t>Rowan</t>
  </si>
  <si>
    <t>Ruby</t>
  </si>
  <si>
    <t>514-663-0867</t>
  </si>
  <si>
    <t>ziruo.liu@mail.mcgill.ca</t>
  </si>
  <si>
    <t>Ryan</t>
  </si>
  <si>
    <t>519-824-4120 x52190</t>
  </si>
  <si>
    <t>prosserr@uoguelph.ca</t>
  </si>
  <si>
    <t>Sabine</t>
  </si>
  <si>
    <t>514-496-2663</t>
  </si>
  <si>
    <t>sabine.dodard@cnrc-nrc.gc.ca</t>
  </si>
  <si>
    <t>Saji George</t>
  </si>
  <si>
    <t>Saji</t>
  </si>
  <si>
    <t>514-398-7920</t>
  </si>
  <si>
    <t>saji.george@mcgill.ca</t>
  </si>
  <si>
    <t>Sandra Araujo</t>
  </si>
  <si>
    <t>Sandra</t>
  </si>
  <si>
    <t>saraujo@smithers.com</t>
  </si>
  <si>
    <t>514-723-0858 x 280</t>
  </si>
  <si>
    <r>
      <t xml:space="preserve">Caroline Araguas, Cambridge Isotope Laboratories Canada, 331 Rue Deslauriers, St-Laurent, QC  H4N 1W2; Tel: 514-723-0858 x225, Fax: 514-723-2275, Email: caroline.a@isotopecanada.com
</t>
    </r>
    <r>
      <rPr>
        <strike/>
        <sz val="10"/>
        <rFont val="Arial"/>
        <family val="2"/>
      </rPr>
      <t>Caroline Araguas, FESKO Consultants, 331 Rue Deslauriers, St-Laurent, QC  H4N 1W2; Tel: 514-723-0858 x225, Fax: 514-723-2275, Email: caroline@fesko.qc.ca</t>
    </r>
  </si>
  <si>
    <t>ship cryovials collect via FedEx First Overnight (FedEx account #179186187); charge a $5 Handling fee for collect shipment
email invoice to Caroline Araguas at: caroline.a@isotopecanada.com</t>
  </si>
  <si>
    <t>514-723-0858 x222
Cell: 514-229-7702</t>
  </si>
  <si>
    <t>sandra.t@isotopecanada.com</t>
  </si>
  <si>
    <t>Severine Le Faucheur</t>
  </si>
  <si>
    <t>Severine</t>
  </si>
  <si>
    <t>Université de Pau et des Pays de l’Adour (UPPA)</t>
  </si>
  <si>
    <t>severine.le-faucheur@univ-pau.fr</t>
  </si>
  <si>
    <t>Shabana</t>
  </si>
  <si>
    <t>Shawna Kirkpatrick</t>
  </si>
  <si>
    <t>Shawna</t>
  </si>
  <si>
    <t>519-763-4412 x 304</t>
  </si>
  <si>
    <t>skirkpatrick@aquatox.ca</t>
  </si>
  <si>
    <t>Sheila Macfie</t>
  </si>
  <si>
    <t>Sheila</t>
  </si>
  <si>
    <t>519-661-2111 x 86487</t>
  </si>
  <si>
    <t>smacfie@uwo.ca</t>
  </si>
  <si>
    <t>Sierra</t>
  </si>
  <si>
    <t>sierra@nautilusenvironmental.ca</t>
  </si>
  <si>
    <t>Simon</t>
  </si>
  <si>
    <t>Taylor</t>
  </si>
  <si>
    <t>tlvirgin@uwaterloo.ca</t>
  </si>
  <si>
    <t>Tim</t>
  </si>
  <si>
    <t>306-230-6757</t>
  </si>
  <si>
    <t>Timothy.Tse@src.sk.ca</t>
  </si>
  <si>
    <t>418-654-3761</t>
  </si>
  <si>
    <t>Virginie</t>
  </si>
  <si>
    <t>S7N 3R2</t>
  </si>
  <si>
    <t>R2J 3T4</t>
  </si>
  <si>
    <t>331 Rue Deslauriers</t>
  </si>
  <si>
    <t>H4N 1W2</t>
  </si>
  <si>
    <t>S7N 5B3</t>
  </si>
  <si>
    <t>K7L 3N6</t>
  </si>
  <si>
    <t>L8H 6P4</t>
  </si>
  <si>
    <t>L8S 4K1</t>
  </si>
  <si>
    <t>T6H 3S5</t>
  </si>
  <si>
    <t>8664 Commerce Court</t>
  </si>
  <si>
    <t>V5A 4N7</t>
  </si>
  <si>
    <t>3000 College Drive South</t>
  </si>
  <si>
    <t>T1K 1L6</t>
  </si>
  <si>
    <t>Amanda</t>
  </si>
  <si>
    <t>403-544-5218</t>
  </si>
  <si>
    <t>403-544-4821</t>
  </si>
  <si>
    <t>Universite de Montreal</t>
  </si>
  <si>
    <t>Ellen</t>
  </si>
  <si>
    <t>University of Calgary</t>
  </si>
  <si>
    <t>Sabrina</t>
  </si>
  <si>
    <t>Trinity</t>
  </si>
  <si>
    <t>SUM</t>
  </si>
  <si>
    <t>Percent</t>
  </si>
  <si>
    <t>Rounded</t>
  </si>
  <si>
    <t>Canadian Academic</t>
  </si>
  <si>
    <t>International Academic</t>
  </si>
  <si>
    <t>Canadian Government</t>
  </si>
  <si>
    <t>International Government</t>
  </si>
  <si>
    <t>Canadian Commercial</t>
  </si>
  <si>
    <t>International Commercial</t>
  </si>
  <si>
    <t>Breakdown by Sector</t>
  </si>
  <si>
    <t>Academic</t>
  </si>
  <si>
    <t>Government</t>
  </si>
  <si>
    <t>Commercial</t>
  </si>
  <si>
    <t>Names of Countries &amp; # of Requests for Services</t>
  </si>
  <si>
    <t>Argentina</t>
  </si>
  <si>
    <t>Brazil</t>
  </si>
  <si>
    <t>Columbia</t>
  </si>
  <si>
    <t>Costa Rica</t>
  </si>
  <si>
    <t>Czech Rep</t>
  </si>
  <si>
    <t>Denmark</t>
  </si>
  <si>
    <t>India</t>
  </si>
  <si>
    <t>Iran</t>
  </si>
  <si>
    <t>Italy</t>
  </si>
  <si>
    <t>Lithuania</t>
  </si>
  <si>
    <t>South Korea</t>
  </si>
  <si>
    <t>Sweden</t>
  </si>
  <si>
    <t>Taiwan</t>
  </si>
  <si>
    <t>Turkey</t>
  </si>
  <si>
    <t>Source of Requests CPCC</t>
  </si>
  <si>
    <t>Ordered</t>
  </si>
  <si>
    <t>Cultures</t>
  </si>
  <si>
    <t>Total</t>
  </si>
  <si>
    <t>INSTITUTION</t>
  </si>
  <si>
    <t>END-USER</t>
  </si>
  <si>
    <t>Region</t>
  </si>
  <si>
    <t>* Affiliation</t>
  </si>
  <si>
    <t>Affiliation</t>
  </si>
  <si>
    <t>Number of requests</t>
  </si>
  <si>
    <t>List Of Users</t>
  </si>
  <si>
    <t>List of Institution</t>
  </si>
  <si>
    <t>CA = Canadian Academic</t>
  </si>
  <si>
    <t>CC = Canadian Commerical</t>
  </si>
  <si>
    <t>CG = Canadian Government</t>
  </si>
  <si>
    <t>IC = International Commerical</t>
  </si>
  <si>
    <t>Affilitation</t>
  </si>
  <si>
    <t>Strains Ordered</t>
  </si>
  <si>
    <t>ACC #</t>
  </si>
  <si>
    <t>Service Breakdown</t>
  </si>
  <si>
    <t>Customer ID</t>
  </si>
  <si>
    <t>1001-001</t>
  </si>
  <si>
    <t>1002-001</t>
  </si>
  <si>
    <t>1003-001</t>
  </si>
  <si>
    <t>1004-001</t>
  </si>
  <si>
    <t>1004-002</t>
  </si>
  <si>
    <t>1005-001</t>
  </si>
  <si>
    <t>1006-001</t>
  </si>
  <si>
    <t>1006-002</t>
  </si>
  <si>
    <t>1007-001</t>
  </si>
  <si>
    <t>1008-001</t>
  </si>
  <si>
    <t>1009-001</t>
  </si>
  <si>
    <t>1010-001</t>
  </si>
  <si>
    <t>1011-001</t>
  </si>
  <si>
    <t>1012-001</t>
  </si>
  <si>
    <t>1013-001</t>
  </si>
  <si>
    <t>1015-001</t>
  </si>
  <si>
    <t>1016-001</t>
  </si>
  <si>
    <t>1017-001</t>
  </si>
  <si>
    <t>1018-001</t>
  </si>
  <si>
    <t>1019-001</t>
  </si>
  <si>
    <t>1020-001</t>
  </si>
  <si>
    <t>1021-001</t>
  </si>
  <si>
    <t>1031-001</t>
  </si>
  <si>
    <t>1022-001</t>
  </si>
  <si>
    <t>1023-001</t>
  </si>
  <si>
    <t>1024-001</t>
  </si>
  <si>
    <t>1025-001</t>
  </si>
  <si>
    <t>1026-001</t>
  </si>
  <si>
    <t>1027-001</t>
  </si>
  <si>
    <t>1028-001</t>
  </si>
  <si>
    <t>1029-001</t>
  </si>
  <si>
    <t>1030-001</t>
  </si>
  <si>
    <t>1032-001</t>
  </si>
  <si>
    <t>1033-001</t>
  </si>
  <si>
    <t>1034-001</t>
  </si>
  <si>
    <t>1034-002</t>
  </si>
  <si>
    <t>1035-001</t>
  </si>
  <si>
    <t>1036-001</t>
  </si>
  <si>
    <t>1037-001</t>
  </si>
  <si>
    <t>5 Sea Rose Avenue</t>
  </si>
  <si>
    <t>9770 Route Transcanadienne</t>
  </si>
  <si>
    <t>700 Woodward Ave</t>
  </si>
  <si>
    <t>5320 - 122nd Street</t>
  </si>
  <si>
    <t>1280 Main St. W</t>
  </si>
  <si>
    <t>143-111 Research Drive</t>
  </si>
  <si>
    <t>1015-6270 University Blvd</t>
  </si>
  <si>
    <t>St. John's</t>
  </si>
  <si>
    <t>Ecotoxicology Laboratory</t>
  </si>
  <si>
    <t>H4S 1V9</t>
  </si>
  <si>
    <t>A1A 0P6</t>
  </si>
  <si>
    <t>T5B 4E4</t>
  </si>
  <si>
    <t>USAGE OF THE CPCC (UTCC) COLLECTION 1998-2023</t>
  </si>
  <si>
    <t>Number of:</t>
  </si>
  <si>
    <t>Requests</t>
  </si>
  <si>
    <t>New Users</t>
  </si>
  <si>
    <t>Medium (L)</t>
  </si>
  <si>
    <t>Number of Requests</t>
  </si>
  <si>
    <t>Number of Cultures</t>
  </si>
  <si>
    <t>Number of Users</t>
  </si>
  <si>
    <t>Number of New Users</t>
  </si>
  <si>
    <t>1998-1999</t>
  </si>
  <si>
    <t>1999-2000</t>
  </si>
  <si>
    <t>2000-2001</t>
  </si>
  <si>
    <t>2001-2002</t>
  </si>
  <si>
    <t>2002-2003</t>
  </si>
  <si>
    <t>2003-2004</t>
  </si>
  <si>
    <t>2004-2005</t>
  </si>
  <si>
    <t>2005-2006</t>
  </si>
  <si>
    <t>2006-2007</t>
  </si>
  <si>
    <t>2007-2008</t>
  </si>
  <si>
    <t>2008-2009</t>
  </si>
  <si>
    <t>2009-2010</t>
  </si>
  <si>
    <t>2010-2011</t>
  </si>
  <si>
    <t>2011-2012</t>
  </si>
  <si>
    <t>2012-2013</t>
  </si>
  <si>
    <t>2013-2014</t>
  </si>
  <si>
    <t>2014-2015</t>
  </si>
  <si>
    <t>2015-2016</t>
  </si>
  <si>
    <t>2016-2017</t>
  </si>
  <si>
    <t>2017-2018</t>
  </si>
  <si>
    <t>2018-2019</t>
  </si>
  <si>
    <t>2019-2020</t>
  </si>
  <si>
    <t>2020-2021</t>
  </si>
  <si>
    <t>Type and # of Request for Media</t>
  </si>
  <si>
    <t>Type of Media (# of L)</t>
  </si>
  <si>
    <t>Litres of:</t>
  </si>
  <si>
    <t>Albertano [ ]</t>
  </si>
  <si>
    <t>BBM plates</t>
  </si>
  <si>
    <t>BG-11 plates</t>
  </si>
  <si>
    <t>f/2 + org plates</t>
  </si>
  <si>
    <t>HSM</t>
  </si>
  <si>
    <t># of Requests for Media</t>
  </si>
  <si>
    <t>21111 Lakeshore Road</t>
  </si>
  <si>
    <t>Sainte-Anne-de-Bellevue</t>
  </si>
  <si>
    <t>H9X 3V9</t>
  </si>
  <si>
    <t>H3A 0B8</t>
  </si>
  <si>
    <t xml:space="preserve">      ex.   Date From: 2019-03-1   &amp;  Date To:  2020-04-30</t>
  </si>
  <si>
    <t>Latest Order Date</t>
  </si>
  <si>
    <t>Shipping Handling  $CAD</t>
  </si>
  <si>
    <t>TOTAL COST
$CAD</t>
  </si>
  <si>
    <t>Shipping Cost Estimates (2Ship)</t>
  </si>
  <si>
    <t>Shipping Cost Actuals (Unit4)</t>
  </si>
  <si>
    <t>W-2237</t>
  </si>
  <si>
    <t>P.O. #: 40000075</t>
  </si>
  <si>
    <t>25373349 / Purolator Express 10:30AM #334498118846</t>
  </si>
  <si>
    <t>W-2238</t>
  </si>
  <si>
    <t>715 (liquid: 1x15mL); 500 mL sterile f/2 [ ]</t>
  </si>
  <si>
    <t>culture @ $135 (extra 17 mL of 715 at no extra charge); sterile f/2 [ ] @ $180 (enough to prepare 50L of f/2)</t>
  </si>
  <si>
    <t>25373749 / Purolator Express #334498122376</t>
  </si>
  <si>
    <t>provide taxonomic certificates
email invoice to Megan Bauer at: megan.bauer@ec.gc.ca</t>
  </si>
  <si>
    <t>W-2239</t>
  </si>
  <si>
    <t>P.O. #: 2324-120PG</t>
  </si>
  <si>
    <t>25373614 / Purolator Express #334498116444</t>
  </si>
  <si>
    <t>W-2240</t>
  </si>
  <si>
    <t>90 (liquid); 220 mL sterile BBM [ ] w vit (200 mL [ ] + 20 mL Stock 5)</t>
  </si>
  <si>
    <t>culture @ $135; sterile [ ] @ $125 (enough to prepare 20L of BBM medium)</t>
  </si>
  <si>
    <t>picked up by JH &amp; RDL</t>
  </si>
  <si>
    <t>pick up or ship via FedEx!
reference Carlos Cruz and EEB240 on invoice
email invoice to Robbie Brar/Carlos Cruz at: eeb.reception@utoronto.ca</t>
  </si>
  <si>
    <t>W-2241</t>
  </si>
  <si>
    <t>299, 300 (liquid)</t>
  </si>
  <si>
    <t>cultures @ $135 x2</t>
  </si>
  <si>
    <t>25566682 / Purolator Express #334532154815</t>
  </si>
  <si>
    <t>ship via Purolator Express
non-PO invoice
email invoice to Accounts Payable at: accounts.payable@uregina.ca with Attn: Andrew Cameron (andrew.cameron@uregina.ca) - Biology</t>
  </si>
  <si>
    <t>W-2242</t>
  </si>
  <si>
    <t>P.O. #: CA0153367513
(ECYX-05)</t>
  </si>
  <si>
    <t>25505518 / Purolator Express 12PM #334520818330</t>
  </si>
  <si>
    <t>W-2243</t>
  </si>
  <si>
    <t>492 (liquid x2); 2L EC Hoagland's medium</t>
  </si>
  <si>
    <t>cultures @ $175; medium @ $65 x2</t>
  </si>
  <si>
    <t>P.O. #: P0067355</t>
  </si>
  <si>
    <t>25565567 / Purolator Express #334532157933</t>
  </si>
  <si>
    <t>shipment via Purolator Express (put $100 on quote this time in case shipping FedEx; looks like $60 should be enough if shipping Purolator)
email invoice to Accounts Payable at: Accountspayable@lethbridgecollege.ca</t>
  </si>
  <si>
    <t>W-2244</t>
  </si>
  <si>
    <t>medium @ $80 x2</t>
  </si>
  <si>
    <t>P.O. #: 3303</t>
  </si>
  <si>
    <t>25564184 / Purolator Express #334532162248</t>
  </si>
  <si>
    <t>$400/day x 1st person + $200/day x 2nd person (split 50:50 between Kirsten Muller &amp; Monica Emelko)</t>
  </si>
  <si>
    <t>Jan 24/23 &amp; Jan 25/23</t>
  </si>
  <si>
    <t>W-2246</t>
  </si>
  <si>
    <t>714 &amp; 715  (liquid x30 mL); 500 mL sterile f/2 [ ]</t>
  </si>
  <si>
    <t>P.O. #: 22125</t>
  </si>
  <si>
    <t>25641066 / Purolator Express #334543498169</t>
  </si>
  <si>
    <t>W-2247</t>
  </si>
  <si>
    <t>492 (liquid x3); 3L EC Hoaglands medium</t>
  </si>
  <si>
    <t>cultures @ $195; medium @ $60 x3</t>
  </si>
  <si>
    <t>LVPO#: SES83-2024RP</t>
  </si>
  <si>
    <t>delivery by HR</t>
  </si>
  <si>
    <t>email invoice to Accounts Payable at: acctspay@uoguelph.ca and reference the purchaser (Izabella Onik), department (SES), and PO # (SES83-2024RP)</t>
  </si>
  <si>
    <t>W-2248</t>
  </si>
  <si>
    <t>90 &amp; 715 (liquid: 2x15mL)</t>
  </si>
  <si>
    <t>cultures @ $175 x2 (extra 29 mL of 715 at no extra charge)</t>
  </si>
  <si>
    <t>25640831 / Purolator Express #334543493681</t>
  </si>
  <si>
    <t>provide taxonomic certificates
email invoice to Megan Bauer at: megan.bauer@canada.ca</t>
  </si>
  <si>
    <t>W-2249</t>
  </si>
  <si>
    <t>490 (liquid); 1L EC Hoagland's medium</t>
  </si>
  <si>
    <t>culture @ $135; medium @ $65</t>
  </si>
  <si>
    <t>P.O. #: 7544-23-251</t>
  </si>
  <si>
    <t>25710056 / Purolator Express 12PM #334554821648</t>
  </si>
  <si>
    <r>
      <t xml:space="preserve">shipped via Purolator Express 12PM and it arrived next day…try regular Express next time (note: tried regular Purolator Express for W-2265 &amp; it arrived next day)
provide taxonomic certificate
send invoice to Comptes Payables at: ceaeq.admin@environnement.gouv.qc.ca
</t>
    </r>
    <r>
      <rPr>
        <b/>
        <strike/>
        <sz val="10"/>
        <color rgb="FFFF0000"/>
        <rFont val="Arial"/>
        <family val="2"/>
      </rPr>
      <t>send invoice to Comptes Payables at: Facturation.CEAEQ@environnement.gouv.qc.ca</t>
    </r>
  </si>
  <si>
    <t>W-2250</t>
  </si>
  <si>
    <t>internal debit memo given to Kim Cuddington on Apr 02/24; returned on Apr 02/24; given to Lucy Satora on Apr 12/24; credited to our account on Apr 16/24</t>
  </si>
  <si>
    <t>W-2251</t>
  </si>
  <si>
    <t>90 (liquid x 45 mL)</t>
  </si>
  <si>
    <t>culture @ $255 (mid-way external pricing)</t>
  </si>
  <si>
    <t>25710247 / Purolator Express #334554824915</t>
  </si>
  <si>
    <t>residential address but does not require NSR designation
small start-up company so offer mid-way external pricing
email invoice to Stan Pankratz at: stan.pankratz@rainforestalgae.ca</t>
  </si>
  <si>
    <t>W-2252</t>
  </si>
  <si>
    <t>culture @ $230; medium @ $65 x2</t>
  </si>
  <si>
    <t>LVPO#: SES86-2024RP</t>
  </si>
  <si>
    <t>email invoice to Accounts Payable at: acctspay@uoguelph.ca and reference the purchaser (Izabella Onik), department (SES), and PO # (SES86-2024RP)</t>
  </si>
  <si>
    <t>552 (x1L)</t>
  </si>
  <si>
    <t>cultures @ $675 (= $135/L as per LVPO)</t>
  </si>
  <si>
    <t>LVPO#: SES87-2024RP</t>
  </si>
  <si>
    <t>W-2254</t>
  </si>
  <si>
    <t>2000 mL sterile f/2 [ ]</t>
  </si>
  <si>
    <t>sterile f/2 [ ] @ $520 (enough to prepare 200L of f/2); $25 for extra containers (split [ ] into 8 x 250 mL volumes)</t>
  </si>
  <si>
    <t>25788504 / Purolator Express #334567076768</t>
  </si>
  <si>
    <t>ship via Purolator Express
email invoice to Accounts Payable at: abaccounts@nautilusenvironmental.ca
Put note in footer "Non-PO invoice: please forward to Adam Wartman (awartman@aquatox.ca)"</t>
  </si>
  <si>
    <t>W-2255</t>
  </si>
  <si>
    <t>635, 638 (liquid x2)</t>
  </si>
  <si>
    <t>cultures @ $175 x2</t>
  </si>
  <si>
    <t>26481237 / Purolator Express #334675076239</t>
  </si>
  <si>
    <t>W-2256</t>
  </si>
  <si>
    <t>11 (liquid)</t>
  </si>
  <si>
    <t>culture @ $135</t>
  </si>
  <si>
    <t>25916421 / Purolator Express #334588850464</t>
  </si>
  <si>
    <t>ship via Purolator Express
email invoice to Kevin Wilkinson (kj.wilkinson@umontreal.ca) at: finances@chimie.umontreal.ca</t>
  </si>
  <si>
    <t>W-2257</t>
  </si>
  <si>
    <t>cultures @ $220 x2</t>
  </si>
  <si>
    <t>25788257 / Purolator Express #334567074144</t>
  </si>
  <si>
    <t>ship via Purolator Express
email invoice to Attn: Karsten Liber (Toxicology Centre) at: connectionpoint@usask.ca with External reference: Karsten Liber (karsten.liber@usask.ca)</t>
  </si>
  <si>
    <t>W-2258</t>
  </si>
  <si>
    <t>64, 102, 124 (liquid x30 mL); 510 mL non-sterile BG-11 [ ] (500 mL [ ] + 10 mL Stock 7)</t>
  </si>
  <si>
    <t>cultures @ $195 x3; non-sterile BG-11 [ ] @ $75 (enough to prepare 10L of BG-11 medium)</t>
  </si>
  <si>
    <t>P.O. #: 0001077799</t>
  </si>
  <si>
    <t>26014462 / Purolator Express #334603424535</t>
  </si>
  <si>
    <t>ship via Purolator Express
email invoice to Accounts Payable at: invoices@ucalgary.ca</t>
  </si>
  <si>
    <t>W-2259</t>
  </si>
  <si>
    <t>124 (liquid x100 mL)</t>
  </si>
  <si>
    <t>culture @ $255</t>
  </si>
  <si>
    <t>P.O. #: B23 6590</t>
  </si>
  <si>
    <t>25950374 / Purolator Express #334593715413</t>
  </si>
  <si>
    <t>shipped via Purolator Express with W-2264, so split cost of shipping ($15 for W-2259 &amp; $10 for W-2264)
email invoice to Comptes Payables at: cap@cmontmorency.qc.ca</t>
  </si>
  <si>
    <t>W-2260</t>
  </si>
  <si>
    <t>1L f/2 medium</t>
  </si>
  <si>
    <t>Requisition #: AM350</t>
  </si>
  <si>
    <t>25931730 / Purolator Express #334591345312</t>
  </si>
  <si>
    <t>ship via Purolator Express…delivered next day!
email invoice to Derek Burton (engrpurchasing@mun.ca) at: accountspayable@mun.ca</t>
  </si>
  <si>
    <t>W-2261</t>
  </si>
  <si>
    <t>37, 266 (liquid x30 mL); 2L EC Hoaglands medium</t>
  </si>
  <si>
    <t>cultures @ $260 x2; medium @ $85 x2</t>
  </si>
  <si>
    <t>P.O. #: 3445</t>
  </si>
  <si>
    <t>26013702 / Purolator Express #334603421663</t>
  </si>
  <si>
    <t>W-2262</t>
  </si>
  <si>
    <t>336, 432, 573 (liquid x30mL)</t>
  </si>
  <si>
    <t>cultures @ $195 x3</t>
  </si>
  <si>
    <t>26075208 / Purolator Express #334613461527</t>
  </si>
  <si>
    <t>ship via Purolator Express (takes 2 days to arrive…there isn't any next day delivery, therefore, not worth paying for earlier service to this location!)
email invoice to AP at: DFO.invoicing-facturation.MPO@canada.ca (Attn: AP Coder Kathy Verreault (Kathy.Verreault@dfo-mpo.gc.ca))</t>
  </si>
  <si>
    <t>W-2263</t>
  </si>
  <si>
    <t>95, 424, 552, 683, 721, 744 (liquid); 1L CHU-10 medium; 1L MAM medium</t>
  </si>
  <si>
    <t>cultures @ $150 x6; medium @ $65 x2</t>
  </si>
  <si>
    <t>P.O. #: UBR124604cbs221</t>
  </si>
  <si>
    <t>26314737 / Purolator Express #334650127320</t>
  </si>
  <si>
    <t>W-2264</t>
  </si>
  <si>
    <t>2550 mL non-sterile BG-11 [ ] (2500 mL [ ] + 50 mL Stock 7)</t>
  </si>
  <si>
    <t>non-sterile BG-11 [ ] @ $165 (enough to prepare 50L of BG-11 medium)</t>
  </si>
  <si>
    <t>P.O. #: B23-6656</t>
  </si>
  <si>
    <t>shipped via Purolator Express with W-2259, so split cost of shipping ($15 for W-2259 &amp; $10 for W-2264)
email invoice to Comptes Payables at: cap@cmontmorency.qc.ca</t>
  </si>
  <si>
    <t>W-2265</t>
  </si>
  <si>
    <t>1L EC Hoagland's medium</t>
  </si>
  <si>
    <t>P.O. #: 7544-23-285</t>
  </si>
  <si>
    <t>25998008 / Purolator Express #334601057907</t>
  </si>
  <si>
    <r>
      <t xml:space="preserve">ship via Purolator Express (arrived next day!)
provide taxonomic certificate
send invoice to Comptes Payables at: ceaeq.admin@environnement.gouv.qc.ca
</t>
    </r>
    <r>
      <rPr>
        <b/>
        <strike/>
        <sz val="10"/>
        <color rgb="FFFF0000"/>
        <rFont val="Arial"/>
        <family val="2"/>
      </rPr>
      <t>send invoice to Comptes Payables at: Facturation.CEAEQ@environnement.gouv.qc.ca</t>
    </r>
  </si>
  <si>
    <t>LVPO#:
SES100-2024RP</t>
  </si>
  <si>
    <t>delivered in 2 parts since unable to prepare 5L of medium at once (ran into issues with Stock C); only billed for one delivery since our fault
email invoice to Accounts Payable at: acctspay@uoguelph.ca and reference the purchaser (Izabella Onik), department (SES), and PO # (SES100-2024RP)</t>
  </si>
  <si>
    <t>2L EC Hoaglands medium</t>
  </si>
  <si>
    <t>medium @ $60 x2</t>
  </si>
  <si>
    <t>W-2267</t>
  </si>
  <si>
    <t>37 (liquid - 3x15mL)</t>
  </si>
  <si>
    <t>P.O. #: 221366</t>
  </si>
  <si>
    <t>26087654 / Purolator Express #334615518324</t>
  </si>
  <si>
    <t>provide taxonomic certificates
ship via Purolator Express
email invoice to Accounts Payable at: payables@agatlabs.com</t>
  </si>
  <si>
    <t>W-2268</t>
  </si>
  <si>
    <t>26087272 / Purolator Express #334615271643</t>
  </si>
  <si>
    <t>provide taxonomic certificates; ship via Purolator Express
email invoice to Janetta Fraser at: office@harrisindustrial.ca</t>
  </si>
  <si>
    <t>W-2269</t>
  </si>
  <si>
    <t>714 (liquid: 1x15mL); 500 mL sterile f/2 [ ]</t>
  </si>
  <si>
    <t>culture @ $150 (extra 14 mL of 714 at no extra charge); sterile f/2 [ ] @ $210 (enough to prepare 50L of f/2)</t>
  </si>
  <si>
    <t>26073349 / Purolator Express #334613459109</t>
  </si>
  <si>
    <t>provide taxonomic certificates
email invoice to Megan Bauer at: megan.bauer@canada.ca
Note: needed to invoice by Mar 31/24 but didn't have actual cost of shipping so used estimate (actual would have been $35 instead of $40)</t>
  </si>
  <si>
    <t>W-2270</t>
  </si>
  <si>
    <t>safe-deposit @ $150 x5 for April 1, 2024 - March 31, 2025; reduced transfer frequency</t>
  </si>
  <si>
    <t>EC Contract No: 3000751421 &amp; Client Reference No: PR 5000069059</t>
  </si>
  <si>
    <t>Invoice for Year 2 of 3
(This payment will be good until Mar 31, 2025! Year 1 of 3: invoice due Sep 29/23; Year 2 of 3: invoice due Mar 31/24; Year 3 of 3: invoice due Mar 31/25)
email invoice to Accounts Payable at: servicesfadrhebh-wherdfaservices@ec.gc.ca</t>
  </si>
  <si>
    <t>W-2271</t>
  </si>
  <si>
    <t>299 (liquid x45mL); 1L BG-11 medium</t>
  </si>
  <si>
    <t>culture @ $145; medium @ $55</t>
  </si>
  <si>
    <t>picked up by TS</t>
  </si>
  <si>
    <t>W-2272</t>
  </si>
  <si>
    <t>3L CHU-10 medium</t>
  </si>
  <si>
    <t>delivered at same time as W-2253 Part I, so didn't charge an additional $5 delivery fee!
email invoice to Accounts Payable at: acctspay@uoguelph.ca and reference the purchaser (Izabella Onik or Jean), department (SES), and PO # (SES107-2024MI)</t>
  </si>
  <si>
    <t>W-2273</t>
  </si>
  <si>
    <t>P.O. #: 7544-24-010</t>
  </si>
  <si>
    <t>26383225 / Purolator Express #334660003180</t>
  </si>
  <si>
    <t>W-2274</t>
  </si>
  <si>
    <t>chamber rental @ $30/month from May 1/23 to Apr 30/24</t>
  </si>
  <si>
    <t>internal debit memo given to Monica Emelko on Apr 11/24; returned on Apr 11/24; given to Lucy Satora on Apr 12/24; credited to our account on Apr 16/24</t>
  </si>
  <si>
    <t>W-2275</t>
  </si>
  <si>
    <t>non-sterile BG-11 [ ] @ $75 (enough to prepare 10L of BG-11 medium)</t>
  </si>
  <si>
    <t>P.O. #: 208653</t>
  </si>
  <si>
    <t>26413877 / Purolator Express #334664988386</t>
  </si>
  <si>
    <t>ship via Purolator Express
may or may not use a PO# (Note: he used the same PO# for 2023/2024 orders!)
email invoice to Stephanie Melo at: stephanie.melo@utoronto.ca</t>
  </si>
  <si>
    <t>W-2276</t>
  </si>
  <si>
    <t>4L f/2 medium</t>
  </si>
  <si>
    <t>medium @ $60 x4</t>
  </si>
  <si>
    <t>30?</t>
  </si>
  <si>
    <t>Requisition #: JS058</t>
  </si>
  <si>
    <t>5 mL non-sterile BG-11 Stock 8 (trace metals)</t>
  </si>
  <si>
    <t>non-sterile stock sol'n @ $1/mL x 5mL</t>
  </si>
  <si>
    <t>picked up by CK</t>
  </si>
  <si>
    <t>300 (liquid x45mL); 1L BG-11 medium</t>
  </si>
  <si>
    <t>pending</t>
  </si>
  <si>
    <t>Use a Biology PO and email invoices to Accounts Payable at: chemstores@utsc.utoronto.ca
(if no PO, request forwarding to purchaser for credit card payment)</t>
  </si>
  <si>
    <t>W-2279</t>
  </si>
  <si>
    <t>26543375 / Purolator Express #334684979365</t>
  </si>
  <si>
    <t>W-2280</t>
  </si>
  <si>
    <t>12750 mL non-sterile BG-11 [ ] (12500 mL [ ] + 250 mL Stock 7)</t>
  </si>
  <si>
    <t>P.O. #: UW1048798</t>
  </si>
  <si>
    <t>26480505 / Purolator Express #334675062627 &amp; 334675062635</t>
  </si>
  <si>
    <t>uses a PO #
email invoice to Accounts Payable at: apinvoices@uwindsor.ca</t>
  </si>
  <si>
    <t>W-2282</t>
  </si>
  <si>
    <t>cultures @ $150 x2</t>
  </si>
  <si>
    <t>W-2283</t>
  </si>
  <si>
    <t>715 (liquid: 1x15mL)</t>
  </si>
  <si>
    <t>26545711 / Purolator Express #334684976189</t>
  </si>
  <si>
    <t>W-2284</t>
  </si>
  <si>
    <t>P.O. #: 48706644</t>
  </si>
  <si>
    <t>26545259 / Purolator Express #334684981528</t>
  </si>
  <si>
    <t>W-2285</t>
  </si>
  <si>
    <t>P.O. #: 7544-24-036</t>
  </si>
  <si>
    <t>Ship via Purolator Express (arrived next day!)
Provide taxonomic certificate
Send invoice to Comptes Payables at: ceaeq.admin@environnement.gouv.qc.ca</t>
  </si>
  <si>
    <t>W-2286</t>
  </si>
  <si>
    <t>180 mL sterile BG-11 stock solutions 1-9 (100 mL of BG-11 Stock 1 + 10 mL each of BG-11 Stocks 2 - 9)</t>
  </si>
  <si>
    <t>11 (liquid x30mL - split into 2x15 mL)</t>
  </si>
  <si>
    <t>culture @ $195</t>
  </si>
  <si>
    <t>W-2288</t>
  </si>
  <si>
    <t>95 (liquid)</t>
  </si>
  <si>
    <t>Ship via Purolator Express
Email invoice to Shane MacLeod (macleodg@hrce.ca) at: dhs@hrce.ca</t>
  </si>
  <si>
    <r>
      <t xml:space="preserve">CONTACT NAME (END-USER)
</t>
    </r>
    <r>
      <rPr>
        <sz val="10"/>
        <rFont val="Arial"/>
        <family val="2"/>
      </rPr>
      <t>(max 30 characters - 2Ship)</t>
    </r>
  </si>
  <si>
    <t>PREFERRED
FIRST NAME</t>
  </si>
  <si>
    <t>Position/Relationships/Name Changes</t>
  </si>
  <si>
    <r>
      <t xml:space="preserve">CUSTOMER (SHORT NAME)
</t>
    </r>
    <r>
      <rPr>
        <sz val="10"/>
        <rFont val="Arial"/>
        <family val="2"/>
      </rPr>
      <t>(max 30 characters - 2Ship)</t>
    </r>
  </si>
  <si>
    <r>
      <t xml:space="preserve">SHIPPING ADDRESS 1
</t>
    </r>
    <r>
      <rPr>
        <sz val="10"/>
        <rFont val="Arial"/>
        <family val="2"/>
      </rPr>
      <t>(Max 35 characters - 2Ship)</t>
    </r>
  </si>
  <si>
    <r>
      <t xml:space="preserve">SHIPPING ADDRESS 2
</t>
    </r>
    <r>
      <rPr>
        <sz val="10"/>
        <rFont val="Arial"/>
        <family val="2"/>
      </rPr>
      <t>(max 25 characters - 2Ship)</t>
    </r>
  </si>
  <si>
    <r>
      <t xml:space="preserve">SHIPPING ADDRESS 3
</t>
    </r>
    <r>
      <rPr>
        <sz val="10"/>
        <rFont val="Arial"/>
        <family val="2"/>
      </rPr>
      <t>(max 25 characters - 2Ship)</t>
    </r>
  </si>
  <si>
    <r>
      <t xml:space="preserve">CITY
</t>
    </r>
    <r>
      <rPr>
        <sz val="10"/>
        <rFont val="Arial"/>
        <family val="2"/>
      </rPr>
      <t>(no limit characters - 2Ship)</t>
    </r>
  </si>
  <si>
    <r>
      <t xml:space="preserve">PROVINCE/STATE/REGION
</t>
    </r>
    <r>
      <rPr>
        <sz val="10"/>
        <rFont val="Arial"/>
        <family val="2"/>
      </rPr>
      <t>(max 2 characters - 2Ship)</t>
    </r>
  </si>
  <si>
    <r>
      <t xml:space="preserve">POSTAL/ZIP CODE
</t>
    </r>
    <r>
      <rPr>
        <sz val="10"/>
        <rFont val="Arial"/>
        <family val="2"/>
      </rPr>
      <t>(max 10 characters - 2Ship)</t>
    </r>
  </si>
  <si>
    <r>
      <t xml:space="preserve">COUNTRY
</t>
    </r>
    <r>
      <rPr>
        <sz val="10"/>
        <rFont val="Arial"/>
        <family val="2"/>
      </rPr>
      <t>(dropdown - 2Ship)</t>
    </r>
  </si>
  <si>
    <r>
      <t xml:space="preserve">TELEPHONE NUMBER
</t>
    </r>
    <r>
      <rPr>
        <sz val="10"/>
        <rFont val="Arial"/>
        <family val="2"/>
      </rPr>
      <t>(max 15 characters - 2Ship)</t>
    </r>
  </si>
  <si>
    <r>
      <t xml:space="preserve">E-MAIL ADDRESS
</t>
    </r>
    <r>
      <rPr>
        <sz val="10"/>
        <rFont val="Arial"/>
        <family val="2"/>
      </rPr>
      <t>(no limit characters - 2Ship)</t>
    </r>
  </si>
  <si>
    <t>FULL ADDRESS/COMMENTS</t>
  </si>
  <si>
    <t>UNIT 4 Invoicing Instructions PLUS Shipping Instructions/Comments</t>
  </si>
  <si>
    <t>UNIT4
customer #</t>
  </si>
  <si>
    <t>Agat Labs</t>
  </si>
  <si>
    <t>MTL-9770</t>
  </si>
  <si>
    <t>Ecotoxicologie</t>
  </si>
  <si>
    <t>Saint-Laurent</t>
  </si>
  <si>
    <t>514-337-1000</t>
  </si>
  <si>
    <t>Unit 12 - 1329 Niakwa Rd E.</t>
  </si>
  <si>
    <t>c/o Winnipeg Receiving</t>
  </si>
  <si>
    <t>1009-002</t>
  </si>
  <si>
    <t>Jennifer Doyle</t>
  </si>
  <si>
    <t>Avalon Labs</t>
  </si>
  <si>
    <t>709-726-9345 x209</t>
  </si>
  <si>
    <t>jdoyle@avalonlaboratories.ca</t>
  </si>
  <si>
    <t>provide taxonomic certificates
shipment cost $xx via Purolator or FedEx; charged accordingly
email invoice to Accounts Payable at: accountspayable@avalonlaboratories.ca</t>
  </si>
  <si>
    <t>Home Address - Azimian Residence</t>
  </si>
  <si>
    <t>Azimian Residence</t>
  </si>
  <si>
    <t>204-9901 Keele St</t>
  </si>
  <si>
    <t>Maple</t>
  </si>
  <si>
    <t>L6A 0A1</t>
  </si>
  <si>
    <t>Cell: 647-763-7351</t>
  </si>
  <si>
    <t>Leilaazimian1@gmail.com</t>
  </si>
  <si>
    <t>Aliyan Boodhwani</t>
  </si>
  <si>
    <t>Aliyan</t>
  </si>
  <si>
    <t>Home Address - Boodhwani Residence (attends Colonel By Secondary School)</t>
  </si>
  <si>
    <t>Boodhwani Residence</t>
  </si>
  <si>
    <t>552 Courtenay Avenue</t>
  </si>
  <si>
    <t>K2A 3B3</t>
  </si>
  <si>
    <t>613-581-8327</t>
  </si>
  <si>
    <t>aliyanboodhwani@gmail.com</t>
  </si>
  <si>
    <t>Munir Boodhwani, 552 Courtenay Avenue, Ottawa, ON  K2A 3B3; Tel: 613-252-5238; Email: mboodhwani@gmail.com</t>
  </si>
  <si>
    <t>email invoice to Munir Boodhwani at: mboodhwani@gmail.com</t>
  </si>
  <si>
    <t>Munir</t>
  </si>
  <si>
    <t>Home Address - Boodhwani Residence (affiliated with Colonel By Secondary School)</t>
  </si>
  <si>
    <t>613-252-5238</t>
  </si>
  <si>
    <t>mboodhwani@gmail.com</t>
  </si>
  <si>
    <t>1014-001</t>
  </si>
  <si>
    <t>Biological Sciences</t>
  </si>
  <si>
    <t>Brock U</t>
  </si>
  <si>
    <t>1812 Sir Isaac Brock Way</t>
  </si>
  <si>
    <t>St. Catharines</t>
  </si>
  <si>
    <t>L2S 3A1</t>
  </si>
  <si>
    <t>Vaughn Mangal</t>
  </si>
  <si>
    <t>Vaughn</t>
  </si>
  <si>
    <t>Chemistry</t>
  </si>
  <si>
    <t>905-688-5550 x6136
Cell: 705-977-5444</t>
  </si>
  <si>
    <t>vmangal@brocku.ca</t>
  </si>
  <si>
    <t>BV Labs - Burnaby</t>
  </si>
  <si>
    <t>Ecotoxicology Dept</t>
  </si>
  <si>
    <t>BV Labs - Montreal</t>
  </si>
  <si>
    <t>889 Montee de Liesse</t>
  </si>
  <si>
    <t>Ecotox</t>
  </si>
  <si>
    <t>H4T 1P5</t>
  </si>
  <si>
    <t>Office: 514-448-9001 x7066227
Cell: 418-928-2463</t>
  </si>
  <si>
    <t>514-448-9199</t>
  </si>
  <si>
    <r>
      <t xml:space="preserve">takes 2 days to arrive…there isn't any next day delivery even by paying for Purolator Express 10:30AM
email invoice to Accounts Payable at: AP.865.INV.SUBMIT@bureauveritas.com
</t>
    </r>
    <r>
      <rPr>
        <b/>
        <strike/>
        <sz val="10"/>
        <color indexed="10"/>
        <rFont val="Arial"/>
        <family val="2"/>
      </rPr>
      <t>email invoice to Accounts Payable at: accounts.payable@bvlabs.com</t>
    </r>
  </si>
  <si>
    <t>Beria</t>
  </si>
  <si>
    <t>514-448-9001</t>
  </si>
  <si>
    <t>beria.limaderodriguez@bureauveritas.com</t>
  </si>
  <si>
    <t>Attn: Accounts Payable, Bureau Veritas Canada (2019) Inc., 500 - 1919 Minnesota Court, Mississauga ON L5N 0C9; Email: AP.865.INV.SUBMIT@bureauveritas.com (For A/P inquiries, please email vendorspecialist@bureauveritas.com)</t>
  </si>
  <si>
    <t>BV Labs - Quebec</t>
  </si>
  <si>
    <t>418-658-5784 x7066428
Cell: 418-572-8438
Toll-free: 877-462-9926</t>
  </si>
  <si>
    <t>1022-002</t>
  </si>
  <si>
    <t>Complexe sci (bur B2.320)</t>
  </si>
  <si>
    <t>Biologie et microbiologie</t>
  </si>
  <si>
    <t>Complexe sci (B2.320)</t>
  </si>
  <si>
    <t>418-643-1301 x 243 (or 358?)</t>
  </si>
  <si>
    <t>Caroline Dauphin</t>
  </si>
  <si>
    <t>819-539-6401 (ext # unknown)</t>
  </si>
  <si>
    <t>cdauphin@cshawi.ca</t>
  </si>
  <si>
    <t>1026-002</t>
  </si>
  <si>
    <t>1026-003</t>
  </si>
  <si>
    <t>Cambridge Isotope Laboratories (CIL) Canada</t>
  </si>
  <si>
    <t>CIL Canada</t>
  </si>
  <si>
    <t>City of Hamilton Environ. Lab</t>
  </si>
  <si>
    <t>lab/admin building</t>
  </si>
  <si>
    <t>Conseil National de Recherches Canada (CNRC)</t>
  </si>
  <si>
    <t>Portes 6 &amp; 7</t>
  </si>
  <si>
    <t>Reception Marchandises</t>
  </si>
  <si>
    <t>Invoices are currently being mailed via Canada Post to the Royalmount office (Unit4 ID 107425) for credit card payment (Attn: Marie-Josée Lorrain)
Alternatively, if using a PO, then most invoices go directly to the main Ottawa AP office (Unit4 ID 103482) with Attn: Accounts Payable/Comptes Payables at: nrc.invoice-facture.cnrc@nrc-cnrc.gc.ca</t>
  </si>
  <si>
    <t>Elisabeth</t>
  </si>
  <si>
    <t>College Montmorency</t>
  </si>
  <si>
    <t>475 boulevard de L’Avenir</t>
  </si>
  <si>
    <t>Departement de Biologie</t>
  </si>
  <si>
    <t>Laval</t>
  </si>
  <si>
    <t>H7N 5H9</t>
  </si>
  <si>
    <t>450-975-6100 x6903</t>
  </si>
  <si>
    <t>Elisabeth.Wistaff-Lalande@cmontmorency.qc.ca</t>
  </si>
  <si>
    <t>College Montmorency, 475 boulevard de L’Avenir, Laval, QC H7N 5H9; Email: cap@cmontmorency.qc.ca</t>
  </si>
  <si>
    <t>email invoice to Comptes Payables at: cap@cmontmorency.qc.ca</t>
  </si>
  <si>
    <t>450-975-6100 x6920</t>
  </si>
  <si>
    <t>Francois.Fournier@cmontmorency.qc.ca</t>
  </si>
  <si>
    <t>1033-002</t>
  </si>
  <si>
    <t>Concordia U of Edmonton</t>
  </si>
  <si>
    <t>7128 Ada Blvd.</t>
  </si>
  <si>
    <t>Biology Dept, Room G109</t>
  </si>
  <si>
    <t>Rimouski</t>
  </si>
  <si>
    <t>Martin Van Den Berghe</t>
  </si>
  <si>
    <t>Cytochrome</t>
  </si>
  <si>
    <t>0 Marine Lab Rd</t>
  </si>
  <si>
    <t>c/o MUN - OSC (CDRF)</t>
  </si>
  <si>
    <t>A1C 5S7</t>
  </si>
  <si>
    <t>709-571-7453</t>
  </si>
  <si>
    <t>martin@cytochrome.org</t>
  </si>
  <si>
    <t>Cytochrome, c/o MUN Ocean Sciences Centre (CDRF), 0 Marine Lab Rd, St. John's, NL  A1C 5S7; Email: finance@cytochrome.org; Website: https://www.cytochrome.org/ (Contact: Towsif Ahmed; Job Title: Manager of Operations and Finance; Tel: 519-501-5935)</t>
  </si>
  <si>
    <t xml:space="preserve">shipping cost $xx.xx via Purolator or FedEx?...charged accordingly ($xx)
small start-up company so offer mid-way external pricing
email invoice to Towsif Ahmed at: finance@cytochrome.org </t>
  </si>
  <si>
    <t>Amanda Weiler</t>
  </si>
  <si>
    <t>Defence Research and Development Canada - Suffield Research Centre</t>
  </si>
  <si>
    <t>DRDC - Suffield Research</t>
  </si>
  <si>
    <t>560 Mount Sorrell Road</t>
  </si>
  <si>
    <t>Bldg 560 Receiving</t>
  </si>
  <si>
    <t>Ralston</t>
  </si>
  <si>
    <t>T0J 2N0</t>
  </si>
  <si>
    <t>403-544-4618</t>
  </si>
  <si>
    <t>Amanda.Weiler@forces.gc.ca</t>
  </si>
  <si>
    <t>Defence Research and Development Canada - Suffield Research Centre, 560 Mount Sorrell Road, Building 560, Ralston AB T0J 2N0 (Contact: Julia Barnes; Tel: 403-544-4906; Email: julia.barnes@forces.gc.ca)</t>
  </si>
  <si>
    <t>ship via Purolator (other couriers sometimes have difficulty with delivery!)
email invoices to Julia Barnes at: julia.barnes@forces.gc.ca</t>
  </si>
  <si>
    <t>Catherine.Brown@drdc-rddc.gc.ca</t>
  </si>
  <si>
    <t>Houda</t>
  </si>
  <si>
    <t>Environment and Climate Change Canada (ECCC) - Aquatic Contaminants Research Division (ACRD)</t>
  </si>
  <si>
    <t>ECCC - ACRD</t>
  </si>
  <si>
    <t>105 McGill St.</t>
  </si>
  <si>
    <t>7th Floor, ACRD</t>
  </si>
  <si>
    <t>H2Y 2E7</t>
  </si>
  <si>
    <t>Cell: 514-452-2064</t>
  </si>
  <si>
    <t>Houda.Hanana@ec.gc.ca</t>
  </si>
  <si>
    <t>Environment and Climate Change Canada - Aquatic Contaminants Research Division, 867 Lakeshore Rd., Burlington, ON L7S 1A1; Email: drcafagroupe-acrdfagroup@ec.gc.ca</t>
  </si>
  <si>
    <t>email invoice to Attn: Houda Hanana (DRCA Montreal) (Houda.Hanana@ec.gc.ca) at: drcafagroupe-acrdfagroup@ec.gc.ca</t>
  </si>
  <si>
    <t>Aquatic Contaminants Res</t>
  </si>
  <si>
    <t>martina.rudy@ec.gc.ca</t>
  </si>
  <si>
    <r>
      <t xml:space="preserve">email invoice to Jamie Campbell (Jamie.Campbell@ec.gc.ca) &amp; Martina Rudy (Martina.Rudy@ec.gc.ca) at: drcafagroupe-acrdfagroup@ec.gc.ca
</t>
    </r>
    <r>
      <rPr>
        <b/>
        <strike/>
        <sz val="10"/>
        <color rgb="FFFF0000"/>
        <rFont val="Arial"/>
        <family val="2"/>
      </rPr>
      <t>email invoice to Christina Pecchia (christina.pecchia@canada.ca)/Martina Rudy at: ec.drcafagroup-acrdfagroup@canada.ca</t>
    </r>
  </si>
  <si>
    <t>Environment and Climate Change Canada (ECCC) - Atlantic Laboratory for Environmental Testing (ALET)</t>
  </si>
  <si>
    <t>ECCC - ALET</t>
  </si>
  <si>
    <t>AESC Tox Lab</t>
  </si>
  <si>
    <t>megan.bauer@ec.gc.ca</t>
  </si>
  <si>
    <r>
      <t xml:space="preserve">Environment and Climate Change Canada, Environmental Science Centre, P.O. Box 23005, Moncton, NB   E1A 6S8; Attn: Megan Bauer, Tel: 506-851-3837, Email: megan.bauer@ec.gc.ca
</t>
    </r>
    <r>
      <rPr>
        <strike/>
        <sz val="10"/>
        <rFont val="Arial"/>
        <family val="2"/>
      </rPr>
      <t>Paula Jackman, Environment and Climate Change Canada, Environmental Science Centre, P.O. Box 23005, Moncton, NB   E1A 6S8; Tel: 506-851-2885, Fax: 506-851-6608, Email: Paula.Jackman@canada.ca</t>
    </r>
  </si>
  <si>
    <t>Environment and Climate Change Canada (ECCC) - Prairie and Northern Laboratory for Environmental Testing (PNLET)</t>
  </si>
  <si>
    <t>ECCC - PNLET</t>
  </si>
  <si>
    <t>Christina.Heise@ec.gc.ca</t>
  </si>
  <si>
    <t>Environment and Climate Change Canada (ECCC) - Pacific Yukon Laboratory for Environmental Testing (PYLET)</t>
  </si>
  <si>
    <t>ECCC - PYLET</t>
  </si>
  <si>
    <t>2645 Dollarton Hwy</t>
  </si>
  <si>
    <t>PESC Env Tox Lab</t>
  </si>
  <si>
    <t>North Vancouver</t>
  </si>
  <si>
    <t>V7H 1B1</t>
  </si>
  <si>
    <t>craig.buday@ec.gc.ca</t>
  </si>
  <si>
    <t>Environment and Climate Change Canada (ECCC) - Watershed Hydrology and Ecology Research Division (WHERD)</t>
  </si>
  <si>
    <t>ECCC - WHERD</t>
  </si>
  <si>
    <t>WHERD</t>
  </si>
  <si>
    <r>
      <t xml:space="preserve">Environment and Climate Change Canada - Watershed Hydrology and Ecology Research Division, 867 Lakeshore Road, Burlington, ON L7S 1A1; Email: servicesfadrhebh-wherdfaservices@ec.gc.ca
</t>
    </r>
    <r>
      <rPr>
        <strike/>
        <sz val="10"/>
        <rFont val="Arial"/>
        <family val="2"/>
      </rPr>
      <t>Email: manjari.balakrishnan@ec.gc.ca (Contact: Manjari Balakrishnan - one of four people who process invoices for WHERD; she will forward invoices if needed)</t>
    </r>
    <r>
      <rPr>
        <sz val="10"/>
        <rFont val="Arial"/>
        <family val="2"/>
      </rPr>
      <t xml:space="preserve">
</t>
    </r>
    <r>
      <rPr>
        <strike/>
        <sz val="10"/>
        <rFont val="Arial"/>
        <family val="2"/>
      </rPr>
      <t>Email: Karen.Woolner@canada.ca (Contact: Karen Woolner, Administrative Officer for WHERD Division of ECCC Burlington, Tel: 905-336-4973)</t>
    </r>
    <r>
      <rPr>
        <sz val="10"/>
        <rFont val="Arial"/>
        <family val="2"/>
      </rPr>
      <t xml:space="preserve">
</t>
    </r>
    <r>
      <rPr>
        <strike/>
        <sz val="10"/>
        <rFont val="Arial"/>
        <family val="2"/>
      </rPr>
      <t>Environment and Climate Change Canada, Watershed Hydrology and Ecology Research Division, 867 Lakeshore Rd.,  P.O. Box 5050, Burlington, ON L7S 1A1; Invoice sent via Canada Post; invoice must include contact name and PO#</t>
    </r>
  </si>
  <si>
    <r>
      <t xml:space="preserve">email invoice to Accounts Payable at: servicesfadrhebh-wherdfaservices@ec.gc.ca
</t>
    </r>
    <r>
      <rPr>
        <b/>
        <strike/>
        <sz val="10"/>
        <color rgb="FFFF0000"/>
        <rFont val="Arial"/>
        <family val="2"/>
      </rPr>
      <t>email invoice to Manjari Balakrishnan at: manjari.balakrishnan@ec.gc.ca
email invoice to Karen Woolner at: Karen.Woolner@canada.ca</t>
    </r>
    <r>
      <rPr>
        <b/>
        <sz val="10"/>
        <color rgb="FFFF0000"/>
        <rFont val="Arial"/>
        <family val="2"/>
      </rPr>
      <t xml:space="preserve">
</t>
    </r>
    <r>
      <rPr>
        <b/>
        <strike/>
        <sz val="10"/>
        <color rgb="FFFF0000"/>
        <rFont val="Arial"/>
        <family val="2"/>
      </rPr>
      <t>invoices are currently being mailed via Canada Post (include contact name and PO# if provided)</t>
    </r>
  </si>
  <si>
    <t>Adham Elmalky</t>
  </si>
  <si>
    <t>Adham</t>
  </si>
  <si>
    <t>226-566-4997</t>
  </si>
  <si>
    <t>aelmalky@uwaterloo.ca</t>
  </si>
  <si>
    <t>email invoice to Adham Elmalky at: aelmalky@uwaterloo.ca</t>
  </si>
  <si>
    <t>Suite 150, Ecotox</t>
  </si>
  <si>
    <t>takes 2 days to arrive…there isn't any next day delivery even by paying for Purolator Express 10:30AM
provide taxonomic certificates
email invoice to Accounts Payable at APCanada@eurofins.com</t>
  </si>
  <si>
    <t>Eurofins Agroscience</t>
  </si>
  <si>
    <t>8598 Commerce Drive
(can also use 8665 Brooks Drive)</t>
  </si>
  <si>
    <t>joshua.arnie@as.eurofinsus.com</t>
  </si>
  <si>
    <r>
      <t xml:space="preserve">Eurofins EAG Agroscience, LLC - Easton, 8598 Commerce Drive, Easton MD 21601-7488 USA; Attn: Mike Schuettpelz (Procurement Coordinator), Tel: 410-822-8600, Email:  michaelschuettpelz@as.eurofinsus.com
</t>
    </r>
    <r>
      <rPr>
        <strike/>
        <sz val="10"/>
        <rFont val="Arial"/>
        <family val="2"/>
      </rPr>
      <t>Email: michaelschuettpelz@eurofinsus.com</t>
    </r>
  </si>
  <si>
    <t>Assuity Alassuity</t>
  </si>
  <si>
    <t>Assuity</t>
  </si>
  <si>
    <t>Fanshawe College</t>
  </si>
  <si>
    <t>1001 Fanshawe College Blvd</t>
  </si>
  <si>
    <t>Receiving - Room B1037</t>
  </si>
  <si>
    <t>Applied Science &amp; Tech</t>
  </si>
  <si>
    <t>N5Y 5R6</t>
  </si>
  <si>
    <t>aalassuity@FanshaweC.ca</t>
  </si>
  <si>
    <t>Fanshawe College, 1001 Fanshawe College Blvd., PO Box 7005, London, ON  N5Y 5R6; Email:  payments@fanshawec.ca</t>
  </si>
  <si>
    <t>ship via Purolator Express
email invoice to Accounts Payable at: payments@fanshawec.ca</t>
  </si>
  <si>
    <t>Kris</t>
  </si>
  <si>
    <t>Cell: 519-851-0856</t>
  </si>
  <si>
    <t>kjames2@FanshaweC.ca</t>
  </si>
  <si>
    <t>Fanshawe College, 1001 Fanshawe College Blvd., PO Box 7005, London, ON  N5Y 5R6; Email: payments@fanshawec.ca</t>
  </si>
  <si>
    <t>Harris Industrial Testing</t>
  </si>
  <si>
    <t>Huntsman Marine Sci Centre</t>
  </si>
  <si>
    <t>1 Lower Campus Road</t>
  </si>
  <si>
    <t>Aquatic Services Dept</t>
  </si>
  <si>
    <t>E5B 2L7</t>
  </si>
  <si>
    <t>Robbie Brar, University of Toronto - Dept of Ecology and Evolutionary Biology, 25 Willcocks Street, Toronto ON M5S 3B2; Tel: 416-978-3248, Fax: 416-978-5878, Email: robbie.brar@utoronto.ca</t>
  </si>
  <si>
    <t>Ellen Fanning</t>
  </si>
  <si>
    <t>Saint Andrews</t>
  </si>
  <si>
    <t>506-529-1200</t>
  </si>
  <si>
    <t>ellen.fanning@huntsmanmarine.ca</t>
  </si>
  <si>
    <t>Carlos Cruz</t>
  </si>
  <si>
    <t>Carlos</t>
  </si>
  <si>
    <t>RW 401 reception</t>
  </si>
  <si>
    <t>Eco &amp; Evol Bio (EEB)</t>
  </si>
  <si>
    <t>416-978-0975</t>
  </si>
  <si>
    <t>c.cruz@utoronto.ca</t>
  </si>
  <si>
    <t>M5S 3B2</t>
  </si>
  <si>
    <r>
      <t xml:space="preserve">for BIO 150
</t>
    </r>
    <r>
      <rPr>
        <b/>
        <sz val="10"/>
        <color indexed="10"/>
        <rFont val="Arial"/>
        <family val="2"/>
      </rPr>
      <t>pick up or ship via FedEx!</t>
    </r>
    <r>
      <rPr>
        <sz val="10"/>
        <rFont val="Arial"/>
        <family val="2"/>
      </rPr>
      <t xml:space="preserve">
</t>
    </r>
    <r>
      <rPr>
        <b/>
        <sz val="10"/>
        <color indexed="10"/>
        <rFont val="Arial"/>
        <family val="2"/>
      </rPr>
      <t>email invoice to Robbie Brar/Dongling Zhao at: eeb.reception@utoronto.ca</t>
    </r>
  </si>
  <si>
    <t>Cell Systems &amp; Biology</t>
  </si>
  <si>
    <t>Rosa Di Leo</t>
  </si>
  <si>
    <t>Rosa</t>
  </si>
  <si>
    <t>416-978-6178</t>
  </si>
  <si>
    <t>rosa.dileo@utoronto.ca</t>
  </si>
  <si>
    <r>
      <rPr>
        <sz val="10"/>
        <rFont val="Arial"/>
        <family val="2"/>
      </rPr>
      <t xml:space="preserve">for EEB 268
</t>
    </r>
    <r>
      <rPr>
        <b/>
        <sz val="10"/>
        <color indexed="10"/>
        <rFont val="Arial"/>
        <family val="2"/>
      </rPr>
      <t>email invoice to Robbie Brar/Rosa Di Leo at: eeb.reception@utoronto.ca</t>
    </r>
  </si>
  <si>
    <t>Ina</t>
  </si>
  <si>
    <t>Hygiene-Institut des Ruhrgebiets, Institut fur Umwelhygiene und Toxikologie</t>
  </si>
  <si>
    <t>Hygiene-Institut d Ruhrgebiets</t>
  </si>
  <si>
    <t>Rotthauser Str. 21</t>
  </si>
  <si>
    <t>Gelsenkirchen</t>
  </si>
  <si>
    <t>einkauf@hyg.de</t>
  </si>
  <si>
    <t>Hygiene-Institut des Ruhrgebiets - Institut fur Umwelhygiene und Toxikologie, Rotthauser Str. 21, Gelsenkirchen, North Rhine-Westphalia (NRW), 45879  Germany; Email: rechnung@hyg.de</t>
  </si>
  <si>
    <t>uses a PO #; provide taxonomic certificates
use UW FedEx account + round up to nearest $5 increment + $25 Handling
email invoice to Accounts Payable at: rechnung@hyg.de</t>
  </si>
  <si>
    <t>3359 Mississauga Rd N</t>
  </si>
  <si>
    <r>
      <t xml:space="preserve">University of Toronto Mississauga - Dept of Biology, William Davis Building, 3359 Mississauga Road, Mississauga, ON  L5L 1C6; Contact: Amy Yeung, Position: Administrative and Financial Assistant, E-mail: amy.yeung@utoronto.ca
</t>
    </r>
    <r>
      <rPr>
        <strike/>
        <sz val="10"/>
        <rFont val="Arial"/>
        <family val="2"/>
      </rPr>
      <t>E-mail: mihai.baetu@utoronto.ca; Contact: Mihai Baetu; Position: Manager, Finance and Operations</t>
    </r>
  </si>
  <si>
    <r>
      <t xml:space="preserve">may or may not use a PO#
email invoice to Amy Yeung at: amy.yeung@utoronto.ca
</t>
    </r>
    <r>
      <rPr>
        <b/>
        <strike/>
        <sz val="10"/>
        <color rgb="FFFF0000"/>
        <rFont val="Arial"/>
        <family val="2"/>
      </rPr>
      <t>email invoice to Mihai Baetu at: mihai.baetu@utoronto.ca</t>
    </r>
  </si>
  <si>
    <t>Davis Bldg - Biology</t>
  </si>
  <si>
    <t>905-569-4848</t>
  </si>
  <si>
    <t>michaelandrew.phillips@utoronto.ca</t>
  </si>
  <si>
    <t>Sonia</t>
  </si>
  <si>
    <t>sonia.ehieromosele@mail.utoronto.ca</t>
  </si>
  <si>
    <t>Michael Phillips, University of Toronto Mississauga, 3359 Mississauga Rd N, Davis Bldg - Biology, Mississauga, ON  L5L 1C6; Tel: 905-569-4848; Email: michaelandrew.phillips@utoronto.ca
FOR: Sonia Evans; Email: sonia.ehieromosele@mail.utoronto.ca</t>
  </si>
  <si>
    <t>Sci Wing Loading Dock</t>
  </si>
  <si>
    <t>DPES, Rm SY 324</t>
  </si>
  <si>
    <t>katrina.steiner@mail.utoronto.ca</t>
  </si>
  <si>
    <t>Patrique</t>
  </si>
  <si>
    <t>IISD-Experimental Lakes Area</t>
  </si>
  <si>
    <t>IISD - ELA</t>
  </si>
  <si>
    <t>111 Lombard Avenue</t>
  </si>
  <si>
    <t>Suite 325</t>
  </si>
  <si>
    <t>R3L 1E4</t>
  </si>
  <si>
    <t>204-390-3517</t>
  </si>
  <si>
    <t>pbulloch@iisd-ela.org</t>
  </si>
  <si>
    <t>IISD Experimental Lakes Area, 111 Lombard Avenue, Suite 325, Winnipeg, MB  R3B 0T4; Email: accountspayable@iisd.ca</t>
  </si>
  <si>
    <t>email invoice to Accounts Payable at: accountspayable@iisd.ca (accepts non-PO invoices); Attn: Patrique Bulloch/Michael Paterson</t>
  </si>
  <si>
    <t>Kenji Iwasaki</t>
  </si>
  <si>
    <t>Kenji</t>
  </si>
  <si>
    <t>Institute of Microalgal Technology, Japan (IMAT)</t>
  </si>
  <si>
    <t>IMAT Japan</t>
  </si>
  <si>
    <t>6208-1 Nakano</t>
  </si>
  <si>
    <t>Fund. Tech. Res. Inst.</t>
  </si>
  <si>
    <t>Hiroshima</t>
  </si>
  <si>
    <t>HP</t>
  </si>
  <si>
    <t>725-0301</t>
  </si>
  <si>
    <t>+81846644108</t>
  </si>
  <si>
    <t>kenji.iwasaki@imat.co.jp</t>
  </si>
  <si>
    <t>Institute of Microalgal Technology, Japan (IMAT), KSP EAST511, 3-2-1 Sakado, Takatsu-ku, Kawasaki (city), Kanagawa (prefecture: ISO code 14), Japan 213-0012 (Contact: Noriko Nakamura; Tel: +81448133380; Email: noriko.nakamura@imat.or.jp)</t>
  </si>
  <si>
    <t>use UW FedEx account + round up to nearest $5 increment + $25 Handling
Routes through Memphis, TN
email invoice to Noriko Nakamura at: noriko.nakamura@imat.or.jp</t>
  </si>
  <si>
    <t>University of Windsor - Great Lakes Institute for Environmental Research (GLIER)</t>
  </si>
  <si>
    <t>U of Windsor - GLIER</t>
  </si>
  <si>
    <t>University of Windsor, Accounts Payable, 401 Sunset Ave, Windsor, ON  N9B 3P4; Email: apinvoices@uwindsor.ca</t>
  </si>
  <si>
    <t>Keira</t>
  </si>
  <si>
    <t>2601 Union Street</t>
  </si>
  <si>
    <t>c/o Shipping &amp; Receiving</t>
  </si>
  <si>
    <t>N9B 3P4</t>
  </si>
  <si>
    <t>harshawk@uwindsor.ca</t>
  </si>
  <si>
    <t>Xuexiu Chang</t>
  </si>
  <si>
    <t>Xuexiu</t>
  </si>
  <si>
    <t>519-253-3000 x4843</t>
  </si>
  <si>
    <t>xuexiu.chang@uwindsor.ca</t>
  </si>
  <si>
    <t>U Quebec a Rimouski</t>
  </si>
  <si>
    <t>Jean-Sebastien Deschenes</t>
  </si>
  <si>
    <t>Jean-Sebastien</t>
  </si>
  <si>
    <t>300 allee des Ursulines</t>
  </si>
  <si>
    <t>Reception de marchandise</t>
  </si>
  <si>
    <t>G5L 3A1</t>
  </si>
  <si>
    <t>4187231986x1997</t>
  </si>
  <si>
    <t>jean-sebastien_deschenes@uqar.ca</t>
  </si>
  <si>
    <r>
      <t>Institut National de la Recherche Scientifique (INRS) - Administration, 490 rue de la Couronne, Quebec, QC G1K 9A9; Attn: Comptes Payables, Email: cap@inrs.ca (</t>
    </r>
    <r>
      <rPr>
        <strike/>
        <sz val="10"/>
        <rFont val="Arial"/>
        <family val="2"/>
      </rPr>
      <t>comptesapayer@adm.inrs.ca</t>
    </r>
    <r>
      <rPr>
        <sz val="10"/>
        <rFont val="Arial"/>
        <family val="2"/>
      </rPr>
      <t>)</t>
    </r>
  </si>
  <si>
    <t>Flavie</t>
  </si>
  <si>
    <t>Flavie.DESREAC@inrs.ca</t>
  </si>
  <si>
    <t>Kim.Racine@inrs.ca</t>
  </si>
  <si>
    <t xml:space="preserve">418-654-3682 </t>
  </si>
  <si>
    <t>Maude.Pomerleau@inrs.ca</t>
  </si>
  <si>
    <t>Naila</t>
  </si>
  <si>
    <t>Cell: 450-626-8553</t>
  </si>
  <si>
    <t>naila.costa@inrs.ca</t>
  </si>
  <si>
    <t>Katrin Zwirglmaier</t>
  </si>
  <si>
    <t>Katrin</t>
  </si>
  <si>
    <t>Institut fuer Mikrobiologie der Bundeswehr</t>
  </si>
  <si>
    <t>Inst. Microbiologie Bundeswehr</t>
  </si>
  <si>
    <t>Neuherbergstrasse 11</t>
  </si>
  <si>
    <t>Geb. 01/Eingang F 1.OG</t>
  </si>
  <si>
    <t>Muenchen</t>
  </si>
  <si>
    <t>+49 89 992692 3933</t>
  </si>
  <si>
    <t>katrinzwirglmaier@bundeswehr.org</t>
  </si>
  <si>
    <t>Sanitatsakademie der Bundeswehr, S4 Beschaffung, Neuherbergstrasse 11, Muenchen (Munich - city), Bavaria (region), Germany  80937; Email: SanAkBwS4Beschaffung@bundeswehr.org</t>
  </si>
  <si>
    <t>Put note on shipment that facility may be closed after noon on Friday
Use UW FedEx account + round up to nearest $5 increment + $25 Handling
Actual cost of shipping for W-2207 was $288.08 (=116.61+138.11+33.36), therefore, the S&amp;H fee should have been $315 instead of the $175 that was quoted - a diff of $140!
Quote a S&amp;H fee worst-case scenario of at least CAD $320 for future orders
Oddly, this shipment routed through Memphis, TN!
Email invoice to Verbindlichkeiten (Accounts Payable) at: SanAkBwS4Beschaffung@bundeswehr.org</t>
  </si>
  <si>
    <t>Stephan Motzkus</t>
  </si>
  <si>
    <t>Oye</t>
  </si>
  <si>
    <t>2500 University Dr NW</t>
  </si>
  <si>
    <t>EEEL-509 Bio Sci</t>
  </si>
  <si>
    <t>T2N 1N4</t>
  </si>
  <si>
    <t>587-227-6080</t>
  </si>
  <si>
    <t>oye.adebayo@ucalgary.ca</t>
  </si>
  <si>
    <t>University of Calgary, Accounts Payable, 2500 University Drive NW, Calgary AB T2N 1N4; Email: invoices@ucalgary.ca</t>
  </si>
  <si>
    <t>Ruchita</t>
  </si>
  <si>
    <t>825-558-9573</t>
  </si>
  <si>
    <t>ruchita.solanki@ucalgary.ca</t>
  </si>
  <si>
    <t>Marc Strous</t>
  </si>
  <si>
    <t>403-220-6604</t>
  </si>
  <si>
    <t>m.strous@ucalgary.ca</t>
  </si>
  <si>
    <t>Xavier Ortiz Almirall</t>
  </si>
  <si>
    <t>Xavier</t>
  </si>
  <si>
    <t>IQS School of Engineering</t>
  </si>
  <si>
    <t>Via Augusta 390</t>
  </si>
  <si>
    <t>Barcelona</t>
  </si>
  <si>
    <t>B</t>
  </si>
  <si>
    <t>08017</t>
  </si>
  <si>
    <t>Spain</t>
  </si>
  <si>
    <t>+34 638834744</t>
  </si>
  <si>
    <t>xavier.ortiz@iqs.url.edu</t>
  </si>
  <si>
    <t>IQS – CETS Fundació Privada, Via Augusta 390, Barcelona, 08017, Spain; VAT: ES-G58022849 (include VAT# as external reference on the invoice); E-mail: administracio@iqs.edu</t>
  </si>
  <si>
    <t>use UW FedEx account ($xx + $xx = $xx) + round up to nearest $5 increment + $25 Handling
Spanish Customs requires a Sanitary Certificate and can take an extra week to clear the shipment...that may be the additional FedEx charge!
email invoice to Xavier Ortiz Almirall (xavier.ortiz@iqs.url.edu) at: administracio@iqs.edu
VAT: ES-G58022849 (include VAT# as external reference on the invoice)
(Note for W-2128 Mar 23: Spanish Customs took an extra week to clear the shipment. Despite this, CPCC 300 arrived in surprisingly good condition.)</t>
  </si>
  <si>
    <t>Ophelie</t>
  </si>
  <si>
    <t>UPPA - IPREM - UMR 5254</t>
  </si>
  <si>
    <t>2 av. P. Angot - Helioparc</t>
  </si>
  <si>
    <t>PAU CEDEX 09</t>
  </si>
  <si>
    <t>Pau</t>
  </si>
  <si>
    <t>ophelie.fontaine@univ-pau.fr</t>
  </si>
  <si>
    <t>Centre national de la recherche scientifique - UPPA - IPREM,  CNRS - SCTD - 1864, 2 rue Jean Zay, TSA n° 41002, Vandoeuvre-Lès-Nancy, Grand Est Region, 54519, FRANCE; Email: olivier.gilbert@univ-pau.fr (Contact: Olivier Gilbert, Gestionnaire financier; Tel: 0559407600)</t>
  </si>
  <si>
    <t>use UW FedEx account + round up to nearest $5 increment + $25 Handling
email invoice to Attn: Olivier Gilbert at: olivier.gilbert@univ-pau.fr</t>
  </si>
  <si>
    <t>+0033559407857</t>
  </si>
  <si>
    <t>Home Address - Jaunky Residence (attends Concordia University)</t>
  </si>
  <si>
    <t>Biology</t>
  </si>
  <si>
    <t>Biology, B2-241</t>
  </si>
  <si>
    <t>Mech &amp; Mechatronics Eng</t>
  </si>
  <si>
    <t>Earth &amp; Env Sci, EIT 2051A</t>
  </si>
  <si>
    <t>benjamin.lei@uwaterloo.ca</t>
  </si>
  <si>
    <t>Civil &amp; Env Eng, DWE 2407</t>
  </si>
  <si>
    <t>University of Waterloo, Department of Civil and Environmental Engineering, DWE 2407, 200 University Avenue W, Waterloo, ON  N2L 3G1</t>
  </si>
  <si>
    <t>Isaac</t>
  </si>
  <si>
    <t>Biology, B2-359</t>
  </si>
  <si>
    <t>imezapadilla@uwaterloo.ca</t>
  </si>
  <si>
    <t>internal debit memo to: Jozef Nissimov, University of Waterloo, Department of Biology, Room B2-359B, 200 University Avenue W, Waterloo, ON  N2L 3G1; Tel: 519-888-4567 x 32058; Fax: 519-746-0614; Email: jnissimov@uwaterloo.ca</t>
  </si>
  <si>
    <t xml:space="preserve"> N2L 3G1</t>
  </si>
  <si>
    <t>Biology, B2-359B</t>
  </si>
  <si>
    <t>519-888-4567 x 35995
Cell: 226-978-6379</t>
  </si>
  <si>
    <t>kcudding@uwaterloo.ca</t>
  </si>
  <si>
    <t>Mohamad T. Araji</t>
  </si>
  <si>
    <t>Mohamad</t>
  </si>
  <si>
    <t>Civil &amp; Env Eng, ARC 2102</t>
  </si>
  <si>
    <t>519-888-4567 x27664</t>
  </si>
  <si>
    <t>mohamad.araji@uwaterloo.ca</t>
  </si>
  <si>
    <t>internal debit memo to: Dr. Mohamad T. Araji (for Adham Elmalky), University of Waterloo, Civil &amp; Environmental Engineering, ARC 2102, 200 University Ave W, Waterloo ON N2L 3G1; Tel: 519-888-4567 x27664; Email: mohamad.araji@uwaterloo.ca</t>
  </si>
  <si>
    <t>Civil &amp; Env Eng, DWE 2448</t>
  </si>
  <si>
    <t>Adeeb Khawja</t>
  </si>
  <si>
    <t>Adeeb</t>
  </si>
  <si>
    <t>Home Address - Khawja Residence (affiliated with St. Francis Xavier Secondary School)</t>
  </si>
  <si>
    <t>Khawja Residence</t>
  </si>
  <si>
    <t>5209 Sundial Court</t>
  </si>
  <si>
    <t>L5R 2T1</t>
  </si>
  <si>
    <t>647-473-5209</t>
  </si>
  <si>
    <t>akhawja3560@gmail.com</t>
  </si>
  <si>
    <t>Adeeb Khawja, 5209 Sundial Court, Mississauga, ON  L5R 2T1; Tel: 647-473-5209; Email: akhawja3560@gmail.com</t>
  </si>
  <si>
    <t>email invoice to Adeeb Khawja at: akhawja3560@gmail.com</t>
  </si>
  <si>
    <t>Alexander Khawja</t>
  </si>
  <si>
    <t>Home Address - Khawja Residence (attends St. Francis Xavier Secondary School)</t>
  </si>
  <si>
    <t>647-473-2341</t>
  </si>
  <si>
    <t>AlexKhawja3560@gmail.com</t>
  </si>
  <si>
    <t>Tyson</t>
  </si>
  <si>
    <t>ATRC (CB0020)</t>
  </si>
  <si>
    <t>807-343-8010 x8179</t>
  </si>
  <si>
    <t>tbouchar@lakeheadu.ca</t>
  </si>
  <si>
    <t>email invoice to Attn: Tyson Bouchard (Aquatic Toxicity Research Centre) at: acctspayable@lakeheadu.ca</t>
  </si>
  <si>
    <t>PA1155</t>
  </si>
  <si>
    <t>Shipping &amp; Receiving</t>
  </si>
  <si>
    <t>Thompson Eng/Dock 59/Rm40</t>
  </si>
  <si>
    <t>Eng Stores, TEB-FACENG</t>
  </si>
  <si>
    <t>N6A 5B7</t>
  </si>
  <si>
    <t>Wilfrid Laurier U</t>
  </si>
  <si>
    <t>Dirk Wallschläger</t>
  </si>
  <si>
    <t>Dirk</t>
  </si>
  <si>
    <r>
      <t xml:space="preserve">230 Regina St N
</t>
    </r>
    <r>
      <rPr>
        <b/>
        <sz val="10"/>
        <rFont val="Arial"/>
        <family val="2"/>
      </rPr>
      <t>OR</t>
    </r>
    <r>
      <rPr>
        <sz val="10"/>
        <rFont val="Arial"/>
        <family val="2"/>
      </rPr>
      <t xml:space="preserve">
75 University Ave W</t>
    </r>
  </si>
  <si>
    <t>Chem &amp; Biochem Dept</t>
  </si>
  <si>
    <r>
      <t xml:space="preserve">N2J 3B6 
</t>
    </r>
    <r>
      <rPr>
        <b/>
        <sz val="10"/>
        <rFont val="Arial"/>
        <family val="2"/>
      </rPr>
      <t>OR</t>
    </r>
    <r>
      <rPr>
        <sz val="10"/>
        <rFont val="Arial"/>
        <family val="2"/>
      </rPr>
      <t xml:space="preserve"> 
N2L 3C5</t>
    </r>
  </si>
  <si>
    <t>dwallschlager@wlu.ca</t>
  </si>
  <si>
    <r>
      <t xml:space="preserve">Wilfrid Laurier University, Chemistry &amp; Biochemistry Department, 230 Regina St N, Waterloo, ON N2J 3B6
</t>
    </r>
    <r>
      <rPr>
        <b/>
        <sz val="10"/>
        <rFont val="Arial"/>
        <family val="2"/>
      </rPr>
      <t>OR</t>
    </r>
    <r>
      <rPr>
        <sz val="10"/>
        <rFont val="Arial"/>
        <family val="2"/>
      </rPr>
      <t xml:space="preserve">
Wilfrid Laurier University, Chemistry &amp; Biochemistry Department, 75 University Ave W, Waterloo, ON, N2L 3C5</t>
    </r>
  </si>
  <si>
    <t>230 Regina St N</t>
  </si>
  <si>
    <t>Room CCRWS/CRW107</t>
  </si>
  <si>
    <t>N2J 3B6</t>
  </si>
  <si>
    <t>705 957-2229</t>
  </si>
  <si>
    <t>jfarell@wlu.ca</t>
  </si>
  <si>
    <t>Mailing Address: Wilfrid Laurier University, 75 University Ave. W, Waterloo, ON N2L 3C5 (Lab: CRW107 and SR318, Office: BA417)
Shipping Address: Wilfrid Laurier University, Room CCRWS/CRW107, 230 Regina Street North, Waterloo, ON N2J 3B6</t>
  </si>
  <si>
    <t>Romy Leger-Daigle</t>
  </si>
  <si>
    <t>Romy</t>
  </si>
  <si>
    <t>Fisheries and Oceans Canada (DFO) - Maurice-Lamontagne Institute</t>
  </si>
  <si>
    <t>Maurice-Lamontagne Inst. (DFO)</t>
  </si>
  <si>
    <t>850 Route de la Mer</t>
  </si>
  <si>
    <t>Demersal &amp; Benthic Sci</t>
  </si>
  <si>
    <t>Mont-joli</t>
  </si>
  <si>
    <t>G5H 3Z4</t>
  </si>
  <si>
    <t>514-570-2577</t>
  </si>
  <si>
    <t>Romy.Leger-Daigle@dfo-mpo.gc.ca</t>
  </si>
  <si>
    <r>
      <t xml:space="preserve">Fisheries and Oceans Canada, c/o Accounts Payable, PO Box 1901, Stn A, Fredericton, NB  E3C 2M6
</t>
    </r>
    <r>
      <rPr>
        <strike/>
        <sz val="10"/>
        <rFont val="Arial"/>
        <family val="2"/>
      </rPr>
      <t>Fisheries and Oceans Canada - Maurice-Lamontagne Institute, 850 Route de la Mer, Mont-joli, QC, G5H 3Z4; Email: DFO.QUEMLIMailroom-SalleCourrierIMLQUE.MPO@dfo-mpo.gc.ca</t>
    </r>
  </si>
  <si>
    <r>
      <t xml:space="preserve">takes 2 days to arrive…there isn't any next day delivery even by paying for Purolator Express 10:30AM
email invoice to AP at: DFO.invoicing-facturation.MPO@canada.ca (Attn: AP Coder Kathy Verreault (Kathy.Verreault@dfo-mpo.gc.ca))
</t>
    </r>
    <r>
      <rPr>
        <b/>
        <strike/>
        <sz val="10"/>
        <color rgb="FFFF0000"/>
        <rFont val="Arial"/>
        <family val="2"/>
      </rPr>
      <t>email invoice to the mailroom at: DFO.QUEMLIMailroom-SalleCourrierIMLQUE.MPO@dfo-mpo.gc.ca (Attn: Romy Leger-Daigle; Email: Romy.Leger-Daigle@dfo-mpo.gc.ca)
let Romy know when invoice has been issued!</t>
    </r>
  </si>
  <si>
    <r>
      <t xml:space="preserve">103197
</t>
    </r>
    <r>
      <rPr>
        <strike/>
        <sz val="10"/>
        <rFont val="Arial"/>
        <family val="2"/>
      </rPr>
      <t>111229</t>
    </r>
  </si>
  <si>
    <t>1205 ave Docteur-Penfield</t>
  </si>
  <si>
    <t>York U</t>
  </si>
  <si>
    <t>4700 Keele Street</t>
  </si>
  <si>
    <t>Petri Building PSE 002</t>
  </si>
  <si>
    <t>North York</t>
  </si>
  <si>
    <t>M3J 1P3</t>
  </si>
  <si>
    <t>Audrey Moores-Francois</t>
  </si>
  <si>
    <t>801 Sherbrooke St. W</t>
  </si>
  <si>
    <t>Maass Chem Bldg, Rm 41</t>
  </si>
  <si>
    <t>Requires a PO#!
shipped via Purolator next day delivery ($xx)...okay
email invoice to Accounts Payable at: accountspayable@mcgill.ca for Audrey Moores-Francois/student name</t>
  </si>
  <si>
    <t>Sejal</t>
  </si>
  <si>
    <t>sejal94@yorku.ca</t>
  </si>
  <si>
    <t>Stewart Biology Building</t>
  </si>
  <si>
    <t>Nicolas Tromas</t>
  </si>
  <si>
    <t>Nico</t>
  </si>
  <si>
    <t>740 ave Docteur Penfield</t>
  </si>
  <si>
    <t>Genome Bldg, Rm 7300</t>
  </si>
  <si>
    <t>H3A 0G1</t>
  </si>
  <si>
    <t>tromas.nicolas@gmail.com</t>
  </si>
  <si>
    <t>McGill University, Genome Building room 7300, 740 avenue Docteur-Penfield, Montreal, QC, H3A 0G1 (Attn: Patrick Lypaczewski; Tel: 514-291-8432; Email: patrick.lypaczewski@mcgill.ca)</t>
  </si>
  <si>
    <r>
      <t xml:space="preserve">21111 Lakeshore Road (Saji George) 
</t>
    </r>
    <r>
      <rPr>
        <b/>
        <sz val="10"/>
        <rFont val="Arial"/>
        <family val="2"/>
      </rPr>
      <t>OR</t>
    </r>
    <r>
      <rPr>
        <sz val="10"/>
        <rFont val="Arial"/>
        <family val="2"/>
      </rPr>
      <t xml:space="preserve">
801 Sherbrooke St. West (Audrey Moores)</t>
    </r>
  </si>
  <si>
    <r>
      <t xml:space="preserve">MS Building, Room 1039 (Saji George) 
</t>
    </r>
    <r>
      <rPr>
        <b/>
        <sz val="10"/>
        <rFont val="Arial"/>
        <family val="2"/>
      </rPr>
      <t>OR</t>
    </r>
    <r>
      <rPr>
        <sz val="10"/>
        <rFont val="Arial"/>
        <family val="2"/>
      </rPr>
      <t xml:space="preserve">
Maass Chem Bldg, Rm 21 (Audrey Moores)</t>
    </r>
  </si>
  <si>
    <r>
      <t xml:space="preserve">Sainte-Anne-de-Bellevue (Saji George) 
</t>
    </r>
    <r>
      <rPr>
        <b/>
        <sz val="10"/>
        <rFont val="Arial"/>
        <family val="2"/>
      </rPr>
      <t>OR</t>
    </r>
    <r>
      <rPr>
        <sz val="10"/>
        <rFont val="Arial"/>
        <family val="2"/>
      </rPr>
      <t xml:space="preserve">
Montreal (Audrey Moores)</t>
    </r>
  </si>
  <si>
    <r>
      <t xml:space="preserve">H9X 3V9 (Saji George) 
</t>
    </r>
    <r>
      <rPr>
        <b/>
        <sz val="10"/>
        <rFont val="Arial"/>
        <family val="2"/>
      </rPr>
      <t>OR</t>
    </r>
    <r>
      <rPr>
        <sz val="10"/>
        <rFont val="Arial"/>
        <family val="2"/>
      </rPr>
      <t xml:space="preserve">
H3A 0B8 (Audrey Moores)</t>
    </r>
  </si>
  <si>
    <t>Requires a PO#!
email invoice to Accounts Payable at: accountspayable@mcgill.ca for Ruby Ziruo Liu/Saji George or Ruby Ziruo Liu/Audrey Moores-Francois</t>
  </si>
  <si>
    <t>Stewart Biology, Rm N3/17</t>
  </si>
  <si>
    <t>438-492-9193</t>
  </si>
  <si>
    <t>sabrina.therrien@mail.mcgill.ca</t>
  </si>
  <si>
    <t>Food Sci &amp; Agr Chem</t>
  </si>
  <si>
    <t>MS 1-039</t>
  </si>
  <si>
    <t>Biology, Rm 325 or 327</t>
  </si>
  <si>
    <t>Life Sciences Bldg</t>
  </si>
  <si>
    <t>MECP</t>
  </si>
  <si>
    <t>125 Resources Rd</t>
  </si>
  <si>
    <t>Laboratory Service Branch</t>
  </si>
  <si>
    <t>Etobicoke</t>
  </si>
  <si>
    <t>M9P 3V6</t>
  </si>
  <si>
    <t>Ministry of the Environment, Conservation and Parks - Biological Analysis Section, 125 Resources Road, Etobicoke, ON  M9P 3V6; Contact: Cassandra Lofranco, Email: Cassandra.Lofranco@ontario.ca</t>
  </si>
  <si>
    <t>email invoice to Cassandra Lofranco at: Cassandra.Lofranco@ontario.ca</t>
  </si>
  <si>
    <t>Lidan Tao</t>
  </si>
  <si>
    <t>Lidan</t>
  </si>
  <si>
    <t>Memorial University of Newfoundland</t>
  </si>
  <si>
    <t>Memorial U Newfoundland</t>
  </si>
  <si>
    <t>240 Prince Phillip Drive</t>
  </si>
  <si>
    <t>SJ Carew Bldg Loading #23</t>
  </si>
  <si>
    <t>St. John’s</t>
  </si>
  <si>
    <t>A1B 3X5</t>
  </si>
  <si>
    <t>709-864-4497</t>
  </si>
  <si>
    <t>ltao@mun.ca</t>
  </si>
  <si>
    <t>Natural Resources Canada – CanmetMINING LMS Environmental Risk Management Program Ottawa</t>
  </si>
  <si>
    <t>555 Booth Street</t>
  </si>
  <si>
    <t>CanmetMINING</t>
  </si>
  <si>
    <t>K1A 0G1</t>
  </si>
  <si>
    <t>Gauri</t>
  </si>
  <si>
    <t>343-574-0630</t>
  </si>
  <si>
    <t>Emily.Suominen@nrcan-rncan.gc.ca</t>
  </si>
  <si>
    <t>Natural Resources Canada – CanmetMINING LMS Environmental Risk Management Program Ottawa, 555 Booth Street, Ottawa, ON  K1A 0G1; Contact: Gauri Prabhakar, Tel: 343-574-1418, Email: gauri.prabhakar@NRCan-RNCan.gc.ca</t>
  </si>
  <si>
    <t>email invoice to Gauri Prabhakar at: gauri.prabhakar@NRCan-RNCan.gc.ca</t>
  </si>
  <si>
    <t>343-574-1418</t>
  </si>
  <si>
    <t>gauri.prabhakar@NRCan-RNCan.gc.ca</t>
  </si>
  <si>
    <t>Nautilus Environmental Company Inc. - Burnaby</t>
  </si>
  <si>
    <t>Nautilus Env - Burnaby</t>
  </si>
  <si>
    <r>
      <t xml:space="preserve">Attn: Accounts Payable, Nautilus Environmental, 8664 Commerce Court, Burnaby, BC V5A 4N7, Email: accounting@nautilusenvironmental.ca
</t>
    </r>
    <r>
      <rPr>
        <strike/>
        <sz val="10"/>
        <rFont val="Arial"/>
        <family val="2"/>
      </rPr>
      <t>Email: bcinfo@nautilusenvironmental.ca</t>
    </r>
  </si>
  <si>
    <t>email invoice to Accounts Payable at: accounting@nautilusenvironmental.ca</t>
  </si>
  <si>
    <t>Ditty Kakkassery</t>
  </si>
  <si>
    <t>Ditty</t>
  </si>
  <si>
    <t>604-420-8773 x7101</t>
  </si>
  <si>
    <t>ditty@nautilusenvironmental.ca</t>
  </si>
  <si>
    <t>Jacky Law</t>
  </si>
  <si>
    <t>Jacky</t>
  </si>
  <si>
    <t>jacky@nautilusenvironmental.ca</t>
  </si>
  <si>
    <t>Attn: Accounts Payable, Nautilus Environmental, 8664 Commerce Court, Burnaby, BC V5A 4N7, Email: accounting@nautilusenvironmental.ca</t>
  </si>
  <si>
    <t>Nautilus Environmental Company Inc. - Calgary</t>
  </si>
  <si>
    <t>Nautilus Env - Calgary</t>
  </si>
  <si>
    <t>Nautilus Environmental Company Inc., 10823 27th Street SE, Calgary, AB  T2Z 3V9
(formerly Hydroqual Laboratories Ltd.)</t>
  </si>
  <si>
    <r>
      <t xml:space="preserve">Attn: Accounts Payable, Nautilus Environmental, 10823 27th Street SE, Calgary, AB  T2Z 3V9; Email: accounting@nautilusenvironmental.ca
</t>
    </r>
    <r>
      <rPr>
        <strike/>
        <sz val="10"/>
        <rFont val="Arial"/>
        <family val="2"/>
      </rPr>
      <t>Email: abaccounts@nautilusenvironmental.ca</t>
    </r>
  </si>
  <si>
    <r>
      <t xml:space="preserve">email invoice to Accounts Payable at: accounting@nautilusenvironmental.ca
</t>
    </r>
    <r>
      <rPr>
        <b/>
        <strike/>
        <sz val="10"/>
        <color rgb="FFFF0000"/>
        <rFont val="Arial"/>
        <family val="2"/>
      </rPr>
      <t>email invoice to Accounts Payable/Katherine Martens at: abaccounts@nautilusenvironmental.ca</t>
    </r>
  </si>
  <si>
    <t>Mia Fearey</t>
  </si>
  <si>
    <t>Mia</t>
  </si>
  <si>
    <t>mia@nautilusenvironmental.ca</t>
  </si>
  <si>
    <t>Naomi Attrill</t>
  </si>
  <si>
    <t>Naomi</t>
  </si>
  <si>
    <t>naomi@nautilusenvironmental.ca</t>
  </si>
  <si>
    <t>Attn: Accounts Payable, Nautilus Environmental, 10823 27th Street SE, Calgary, AB  T2Z 3V9; Email: accounting@nautilusenvironmental.ca</t>
  </si>
  <si>
    <t>Nautilus Environmental Company Inc. - Guelph</t>
  </si>
  <si>
    <t>Nautilus Env - Guelph</t>
  </si>
  <si>
    <r>
      <t xml:space="preserve">Nautilus Environmental - Guelph, B-11 Nicholas Beaver Road, Puslinch ON  N0B 2J0; Tel: 519-763-4412 x304, Fax: 519-763-4419;  Email: accounting@nautilusenvironmental.ca
</t>
    </r>
    <r>
      <rPr>
        <strike/>
        <sz val="10"/>
        <rFont val="Arial"/>
        <family val="2"/>
      </rPr>
      <t>AquaTox Testing &amp; Consulting Inc., B-11 Nicholas Beaver Road, Puslinch ON  N0B 2J0; Tel: 519-763-4412 x304, Fax: 519-763-4419; Email: tcarter@aquatox.ca</t>
    </r>
  </si>
  <si>
    <r>
      <t xml:space="preserve">email invoice to Accounts Payable at: accounting@nautilusenvironmental.ca
</t>
    </r>
    <r>
      <rPr>
        <b/>
        <strike/>
        <sz val="10"/>
        <color rgb="FFFF0000"/>
        <rFont val="Arial"/>
        <family val="2"/>
      </rPr>
      <t>email invoice to Terry Carter at: tcarter@aquatox.ca with Attn: Martina Rendas</t>
    </r>
  </si>
  <si>
    <t>Frank Saliani</t>
  </si>
  <si>
    <t>fsaliani@aquatox.ca</t>
  </si>
  <si>
    <t>Nautilus Environmental - Guelph, B-11 Nicholas Beaver Road, Puslinch ON  N0B 2J0; Tel: 519-763-4412 x304, Fax: 519-763-4419;  Email: accounting@nautilusenvironmental.ca</t>
  </si>
  <si>
    <r>
      <t xml:space="preserve">Nautilus Environmental - Guelph, B-11 Nicholas Beaver Road, Puslinch ON  N0B 2J0; Tel: 519-763-4412 x304, Fax: 519-763-4419; Email: accounting@nautilusenvironmental.ca
</t>
    </r>
    <r>
      <rPr>
        <strike/>
        <sz val="10"/>
        <rFont val="Arial"/>
        <family val="2"/>
      </rPr>
      <t>AquaTox Testing &amp; Consulting Inc., B-11 Nicholas Beaver Road, Puslinch ON  N0B 2J0; Tel: 519-763-4412 x304, Fax: 519-763-4419; Email: tcarter@aquatox.ca</t>
    </r>
  </si>
  <si>
    <r>
      <t xml:space="preserve">email invoice to Accounts Payable at: accounting@nautilusenvironmental.ca
</t>
    </r>
    <r>
      <rPr>
        <b/>
        <strike/>
        <sz val="10"/>
        <color rgb="FFFF0000"/>
        <rFont val="Arial"/>
        <family val="2"/>
      </rPr>
      <t>email invoice to Terry Carter at: tcarter@aquatox.ca with Attn: Shawna Kirkpatrick/Martina Rendas</t>
    </r>
  </si>
  <si>
    <t>Tori</t>
  </si>
  <si>
    <t>Nautilus Environmental Company Inc. - Point Edward</t>
  </si>
  <si>
    <t>Nautilus Env - Point Edward</t>
  </si>
  <si>
    <r>
      <t xml:space="preserve">Attn: Accounts Payable, Nautilus Environmental - Point Edward, 704 Mara St., Suite 122, Point Edward ON N7V 1X4; Email: accounting@nautilusenvironmental.ca
</t>
    </r>
    <r>
      <rPr>
        <strike/>
        <sz val="10"/>
        <rFont val="Arial"/>
        <family val="2"/>
      </rPr>
      <t>Email: abaccounts@nautilusenvironmental.ca
email invoice to Accounts Payable, Pollutech Enviroquatics Ltd., 704 Mara St., Suite 122, Point Edward ON N7V 1X4, Tel: 519-339-8787, Fax: 519-336-6965, Email: admin@pollutechgroup.com; website: www.pollutechgroup.com (contact in Sharepoint: Jill Ulrich; Email: JUlrich@pollutechgroup.com)</t>
    </r>
  </si>
  <si>
    <t>email invoice to Accounts Payable at: nrc.invoice-facture.cnrc@nrc-cnrc.gc.ca (use a PO# or ask them to forward it to Shabana Bhatti (Shabana.Bhatti@nrc-cnrc.gc.ca) for credit card payment)</t>
  </si>
  <si>
    <t>Patrick J McGinn</t>
  </si>
  <si>
    <t>National Research Council Canada - Ketch Harbour</t>
  </si>
  <si>
    <t>NRC Can - Ketch Harbour</t>
  </si>
  <si>
    <t>270 Sandy Cove Rd</t>
  </si>
  <si>
    <t xml:space="preserve">Marine Research Station
</t>
  </si>
  <si>
    <t>Ketch Harbour</t>
  </si>
  <si>
    <t>B3V 1K9</t>
  </si>
  <si>
    <t>902-293-2746</t>
  </si>
  <si>
    <t>Patrick.McGinn@nrc-cnrc.gc.ca</t>
  </si>
  <si>
    <t>email invoice to Accounts Payable at: nrc.invoice-facture.cnrc@nrc-cnrc.gc.ca (use a PO# or ask them to forward it to Patrick McGinn (Patrick.McGinn@nrc-cnrc.gc.ca) for credit card payment)</t>
  </si>
  <si>
    <t>Marine Research Station</t>
  </si>
  <si>
    <t>902-789-5781</t>
  </si>
  <si>
    <t>Shabana.Bhatti@nrc-cnrc.gc.ca</t>
  </si>
  <si>
    <t>NSCC - Ivany Campus</t>
  </si>
  <si>
    <t>80 Mawiomi Place</t>
  </si>
  <si>
    <t>Lab 3331</t>
  </si>
  <si>
    <t>Dartmouth</t>
  </si>
  <si>
    <t>B2Y 0A5</t>
  </si>
  <si>
    <t>Nova Scotia Community College - Annapolis Valley Campus, 50 Elliott Road, Lawrencetown, NS  B0S 1M0 (Contact: Brenda Veinot; Tel: 902-825-5433; Email: brenda.veinot@nscc.ca)</t>
  </si>
  <si>
    <t>Mo Shamma</t>
  </si>
  <si>
    <t>Mo</t>
  </si>
  <si>
    <t>902-491-1682
Cell: 902-789-0757</t>
  </si>
  <si>
    <t>Fax: 902-491-1089</t>
  </si>
  <si>
    <t>Mo.Shamma@nscc.ca</t>
  </si>
  <si>
    <t>Frederic Ors</t>
  </si>
  <si>
    <t>Home Address - Ors Residence</t>
  </si>
  <si>
    <t>Ors Residence</t>
  </si>
  <si>
    <t>3940 rue Mathieu d'Amours</t>
  </si>
  <si>
    <t>G1Y 2J8</t>
  </si>
  <si>
    <t>418-575-7789</t>
  </si>
  <si>
    <t>orsfred@gmail.com</t>
  </si>
  <si>
    <t>Frederic Ors, 3940 rue Mathieu d'Amours, Quebec, QC, G1Y 2J8; Email: orsfred@gmail.com</t>
  </si>
  <si>
    <t>takes 2 days to arrive…there isn't any next day delivery even by paying for Purolator Express 10:30AM
if shipping via Purolator, just use Express service, not Express 10:30AM (receiver location is not in a Purolator premium service point)
email invoice to Frederic Ors at: orsfred@gmail.com</t>
  </si>
  <si>
    <t>Queen's U</t>
  </si>
  <si>
    <t>116 Barrie Street</t>
  </si>
  <si>
    <t>Biosciences Complex</t>
  </si>
  <si>
    <t>Rm 3621 - Biology Dept</t>
  </si>
  <si>
    <t>email invoices to Attn: Daniel Lefebvre (lefebvre@queensu.ca) at: biology@queensu.ca</t>
  </si>
  <si>
    <t>Stan Pankratz</t>
  </si>
  <si>
    <t>Stan</t>
  </si>
  <si>
    <t>Rainforest Algae Corp.</t>
  </si>
  <si>
    <t>203 31 Avenue NW</t>
  </si>
  <si>
    <t>T2M 2P3</t>
  </si>
  <si>
    <t>Cell: 403-616-0555</t>
  </si>
  <si>
    <t>Alternate Email:
stan.pankratz@gmail.com</t>
  </si>
  <si>
    <t>stan.pankratz@rainforestalgae.ca</t>
  </si>
  <si>
    <t>Rainforest Algae Corp., 203 31 Avenue NW, Calgary, AB, T2M 2P3; Email: stan.pankratz@rainforestalgae.ca; Website: https://rainforestalgae.ca/ (Contact: Stan Pankratz, owner; Email: stan.pankratz@rainforestalgae.ca or stan.pankratz@gmail.com; Cell: 403-616-0555)</t>
  </si>
  <si>
    <t>Ralph Robinson</t>
  </si>
  <si>
    <t>Ralph</t>
  </si>
  <si>
    <t>Selected BioProducts Inc.</t>
  </si>
  <si>
    <t>Selected BioProducts</t>
  </si>
  <si>
    <t>127 Seventh Concession</t>
  </si>
  <si>
    <t>Horses for Herbs</t>
  </si>
  <si>
    <t>Harley</t>
  </si>
  <si>
    <t>N0E 1E0</t>
  </si>
  <si>
    <t>519-837-7898</t>
  </si>
  <si>
    <t>ralph@horseherbs.com</t>
  </si>
  <si>
    <t>Selected BioProducts Inc., 127 Seventh Concession, Harley, ON, N0E 1E0; Tel: 519-837-7898; Email: ralph@horseherbs.com; Contact: Ralph Robinson, owner of Selected Bioproducts Inc./Herbs for Horses; Website: https://www.horseherbs.com/</t>
  </si>
  <si>
    <t>small company w/o funding and student is at U of Guelph so offered mid-way price between CA and external midway
email invoice to Ralph Robinson at: ralph@horseherbs.com
remember to charge 13% HST for the workshop!</t>
  </si>
  <si>
    <t>Katherina (Gil) Softcheck</t>
  </si>
  <si>
    <t>Gil</t>
  </si>
  <si>
    <t>Env. Risk Sciences</t>
  </si>
  <si>
    <t>Smithers - Massachusetts, 790 Main St., Wareham MA 02571-1037, USA; Email: whm-ap@smithers.com
(Contact: Allison Hutsell; Tel: 508-295-2550, Fax: 508-295-8107, Email: ahutsell@smithers.com)</t>
  </si>
  <si>
    <t>SRC</t>
  </si>
  <si>
    <r>
      <t xml:space="preserve">Saskatchewan Research Council, 820 51st Street East, Bay 2D, Saskatoon, SK S7K 0X8; Email: accountspayable@src.sk.ca
</t>
    </r>
    <r>
      <rPr>
        <strike/>
        <sz val="10"/>
        <rFont val="Arial"/>
        <family val="2"/>
      </rPr>
      <t>Saskatchewan Research Council (SRC), 125-15 Innovation Blvd., Saskatoon, SK  S7N 2X8; Email: accountspayable@src.sk.ca</t>
    </r>
  </si>
  <si>
    <t>Environ. Analytical Labs</t>
  </si>
  <si>
    <t>provide taxonomic certificates
used to ship collect via FedEx account #131473486 (charge a $5 Handling fee) but have been shipping prepaid via Purolator lately ($xx)...good!
may or may not need to obtain a PO# (if paying by credit card, use "Timothy Tse - CC")
email invoice to accountspayable@src.sk.ca with request to forward it to Timothy Tse (Timothy.Tse@src.sk.ca) for credit card payment</t>
  </si>
  <si>
    <t>Env Tox Dept</t>
  </si>
  <si>
    <t>Katheryn Klajman</t>
  </si>
  <si>
    <t>Katheryn</t>
  </si>
  <si>
    <t>705-693-1124
Alternate email:
Katheryn.Klajman@testmark.ca</t>
  </si>
  <si>
    <t>School of the Env</t>
  </si>
  <si>
    <t>Shipping&amp;Receiving Centre</t>
  </si>
  <si>
    <t>CHLHSCD234Frost (Bio)</t>
  </si>
  <si>
    <t>email invoice to Purchasing Services for Paul Frost (CH LHSC D234 FROST) at: Accountspayable@trentu.ca (using a PO)</t>
  </si>
  <si>
    <t>U de Montreal</t>
  </si>
  <si>
    <t>1375 Avenue Therese-Lavoie-Roux</t>
  </si>
  <si>
    <t>Campus MIL Receiving</t>
  </si>
  <si>
    <t>Chemistry B-5075</t>
  </si>
  <si>
    <t>H2V 0B3</t>
  </si>
  <si>
    <t>514-343-6111</t>
  </si>
  <si>
    <t>caroline.peyrot@umontreal.ca</t>
  </si>
  <si>
    <t>University of Montreal - Chimie/Chemistry, C.P. 6204 succursale Centre-ville, Montreal, QC, H3C 3T4; Email: finances@chimie.umontreal.ca</t>
  </si>
  <si>
    <t>email invoice to Kevin Wilkinson at: finances@chimie.umontreal.ca</t>
  </si>
  <si>
    <t>for Chemistry B-5075</t>
  </si>
  <si>
    <r>
      <t xml:space="preserve">University of Montreal - Chimie/Chemistry, C.P. 6204 succursale Centre-ville, Montreal, QC, H3C 3T4; Email: finances@chimie.umontreal.ca
</t>
    </r>
    <r>
      <rPr>
        <strike/>
        <sz val="10"/>
        <rFont val="Arial"/>
        <family val="2"/>
      </rPr>
      <t>University of Montreal - Chimie/Chemistry, C.P. 6204 succursale Centre-ville, Montreal, QC, H3C 3T4; Email: audrey.morin.8@umontreal.ca (Contact: Audrey Morin, Agente de gestion financiere)</t>
    </r>
  </si>
  <si>
    <t>Alexei</t>
  </si>
  <si>
    <t>1375 Therese-Lavoie-Roux</t>
  </si>
  <si>
    <t>Complexe science, Quai #1</t>
  </si>
  <si>
    <t xml:space="preserve">Sciences biologiques </t>
  </si>
  <si>
    <t>514-434-2498 x 1041</t>
  </si>
  <si>
    <t>alexei.guerra.ordaz@umontreal.ca</t>
  </si>
  <si>
    <t>Universite Laval</t>
  </si>
  <si>
    <t>U Laval - IBIS</t>
  </si>
  <si>
    <t>1030 avenue de la Medecine</t>
  </si>
  <si>
    <t>G1V 0A6</t>
  </si>
  <si>
    <t>takes 2 days to arrive…there isn't any next day delivery even by paying for Purolator Express 10:30AM
email invoice to Comptes Payables at: BC_payable@sf.ulaval.ca</t>
  </si>
  <si>
    <t>Charles-Eugene-Marchand</t>
  </si>
  <si>
    <t>Local 4142</t>
  </si>
  <si>
    <t>U of British Columbia</t>
  </si>
  <si>
    <t>Alternate Email:
mtseng@zoology.ubc.ca</t>
  </si>
  <si>
    <t>50 Stone Rd E</t>
  </si>
  <si>
    <t>Science Complex, Rm 1468</t>
  </si>
  <si>
    <t>Dept of Integrative Bio</t>
  </si>
  <si>
    <t>Integrative Biology</t>
  </si>
  <si>
    <t>Science Complex / Rm 1468</t>
  </si>
  <si>
    <t>Moira</t>
  </si>
  <si>
    <t>SES - Bovey Building</t>
  </si>
  <si>
    <t>Cell: 647-588-9678</t>
  </si>
  <si>
    <t>mijzerma@uoguelph.ca</t>
  </si>
  <si>
    <t>Nadia</t>
  </si>
  <si>
    <t>Dept of Animal Biosciences</t>
  </si>
  <si>
    <t>golestan@uoguelph.ca</t>
  </si>
  <si>
    <t>Selected BioProducts Inc., 127 Seventh Concession, Harley, ON, N0E 1E0; Tel: 519-837-7898; Email: ralph@horseherbs.com (Note: Although Nadia is a PhD student at U of Guelph, her workshop training was being paid by Ralph Robinson, owner of Selected Bioproducts Inc./Herbs for Horses; Website: https://www.horseherbs.com/.)</t>
  </si>
  <si>
    <t>tfrasers@uoguelph.ca</t>
  </si>
  <si>
    <t>Andrew Cameron</t>
  </si>
  <si>
    <t>U of Regina</t>
  </si>
  <si>
    <t>3737 Wascana Pkwy</t>
  </si>
  <si>
    <t>RIC 110 UR Sci Stores</t>
  </si>
  <si>
    <t>Regina</t>
  </si>
  <si>
    <t>S4S 0A2</t>
  </si>
  <si>
    <t>Cell: 306-737-7091</t>
  </si>
  <si>
    <t>andrew.cameron@uregina.ca</t>
  </si>
  <si>
    <t>ship via Purolator Express
non-PO invoice
email invoice to Accounts Payable at: accounts.payable@uregina.ca with Attn: Andrew Cameron (andrew.cameron@uregina.ca) - Biology, LB244</t>
  </si>
  <si>
    <t>Toxicology Research Ctr</t>
  </si>
  <si>
    <t>Alternate email: ced323@usask.ca</t>
  </si>
  <si>
    <t>catherine.davila@usask.ca</t>
  </si>
  <si>
    <t>Toxicology Centre, Rm 11</t>
  </si>
  <si>
    <t>University of Saskatchewan, Toxicology Centre, Room 11, 44 Campus Drive, Saskatoon, SK S7N 5B3</t>
  </si>
  <si>
    <t>Toxicology Centre</t>
  </si>
  <si>
    <t>Office: 306-966-2795
Cell: 306-850-4100
Main Office: 306-966-7441</t>
  </si>
  <si>
    <t>Nicole Webster</t>
  </si>
  <si>
    <t>112 Science Place</t>
  </si>
  <si>
    <t>S7N 5E2</t>
  </si>
  <si>
    <t>306-966-4445</t>
  </si>
  <si>
    <t>nicole.webster@usask.ca</t>
  </si>
  <si>
    <t>shipment cost $xx via Purolator…OUCH! (but charged accordingly)
email invoice to Nicole Webster (Biology) at: connectionpoint@usask.ca with request to forward it to Nicole Webster (nicole.webster@usask.ca)</t>
  </si>
  <si>
    <t>CHU-10, MAM</t>
  </si>
  <si>
    <t>Strain ACC#</t>
  </si>
  <si>
    <t>95, 424, 552, 683, 721, 744</t>
  </si>
  <si>
    <t>336, 432, 573</t>
  </si>
  <si>
    <t>64, 102, 124</t>
  </si>
  <si>
    <t>635, 638</t>
  </si>
  <si>
    <t>15, 15</t>
  </si>
  <si>
    <t>Additional End-Users</t>
  </si>
  <si>
    <t>2023-2024</t>
  </si>
  <si>
    <t>**</t>
  </si>
  <si>
    <t>15, 25</t>
  </si>
  <si>
    <t>30, 30</t>
  </si>
  <si>
    <t>50, 50</t>
  </si>
  <si>
    <t>30, 30, 30</t>
  </si>
  <si>
    <t>4, 4, 4</t>
  </si>
  <si>
    <t>15, 15, 15</t>
  </si>
  <si>
    <t>45, 45</t>
  </si>
  <si>
    <t>ID #</t>
  </si>
  <si>
    <t>CUSTOMER (FULL NAME OF INSTITUTION)</t>
  </si>
  <si>
    <t>CUST AFFIL: CA = Canadian Academic; CG = Canadian Government; CC = Canadian Commercial; IA= International Academic IG = International Government; IC = International Commercial</t>
  </si>
  <si>
    <t>Caroline Leblanc-Houde, Agat Laboratories, Montreal-9770, Ecotoxicologie, 9770 Route Transcanadienne, Ville Saint-Laurent, QC H4S 1V9
Tel: 514-337-1000; Email: LeBlanc-Houde@agatlabs.com</t>
  </si>
  <si>
    <t>Virginie Berube, Agat Laboratories, Montreal-9770, Ecotoxicologie, 9770 Route Transcanadienne, Ville Saint-Laurent, QC H4S 1V9
Tel: 514-337-1000; Email: LeBlanc-Houde@agatlabs.com</t>
  </si>
  <si>
    <t>Works with Jason Deglint</t>
  </si>
  <si>
    <t>Kathryn (Katie) Thomas, Blue Lion Labs, 160 Elgin Crescent, Waterloo, ON  N2J 2S6
Tel: 519-993-7126; Email: katie@bluelionlabs.com
(Works with Jason Deglint)</t>
  </si>
  <si>
    <t>Director: Pam Howes</t>
  </si>
  <si>
    <t>Bureau Veritas Laboratories - Burnaby</t>
  </si>
  <si>
    <t>Donald Lai (Director: Pam Howes), Bureau Veritas Laboratories, Ecotoxicology Department, 4606 Canada Way, Burnaby BC  V5G 1K5
Tel: 604-734-7276 x 706-2240; Fax: 604-731-2386; Email: donald.lai@bureauveritas.com</t>
  </si>
  <si>
    <t>shipment may be sent collect via FedEx account #112280820 or collect via UPS account #530EY0 as per customer request.
email invoice to Accounts Payable at: AP.865.INV.SUBMIT@bureauveritas.com
email invoice to Accounts Payable at: accounts.payable@bvlabs.com
Reference Pam Howes/Donald Lai (Burnaby Ecotox Group) &amp; PO if provided</t>
  </si>
  <si>
    <t>Manager</t>
  </si>
  <si>
    <t>Pam Howes, Bureau Veritas Laboratories, 4606 Canada Way, Burnaby BC  V5G 1K5
Tel: Office: 604-639-8424, Cell: 604-761-7021; Email: Pam.HOWES@bvlabs.com</t>
  </si>
  <si>
    <t>Aurélie Lebel</t>
  </si>
  <si>
    <t>Director: Asif Alli</t>
  </si>
  <si>
    <t>Bureau Veritas Laboratories - Montreal</t>
  </si>
  <si>
    <t>Aurelie Lebel, Bureau Veritas Laboratories, 889 Montee de Liesse, Ville Saint-Laurent, QC  H4T 1P5
Tel: Office: 514-448-9001 x7066227, Cell: 418-928-2463; Fax: 514-448-9199; Email: aurelie.lebel@bureauveritas.com
(Director: Asif Alli - contact him at 514-347-5900 or asif.alli@bureauveritas.com for administrative services such as PO#)
(Orders placed by Purchasing agents when using a PO #: Eden-Grace Valenzuela (Tel: 514-448-9001 x 6223; Email: EValenzuela@maxxam.ca) or Voula (Stavroula) Koumoutsakis (Tel: 514 448 9001 x 7066219; Email: stavroula.koumoutsakis@bureauveritas.com) or Sonia Jimenez (Tel: 514-448-9001 x 7066449; Email: canadaprocurement@bureauveritas.com) or Ankitesh Kumar Singh (Email: ankitesh-kumar.singh@bureauveritas.com))</t>
  </si>
  <si>
    <t>takes 2 days to arrive…there isn't any next day delivery even by paying for Purolator Express 10:30AM
email invoice to Accounts Payable at: AP.865.INV.SUBMIT@bureauveritas.com</t>
  </si>
  <si>
    <t>Asif Alli</t>
  </si>
  <si>
    <t>Director</t>
  </si>
  <si>
    <t>Bureau Veritas Laboratories - Quebec</t>
  </si>
  <si>
    <t>Asif Alli, Bureau Veritas Laboratories, Quebec - Bioassay Warehouse, 2690 avenue Dalton, Quebec, QC G1P 3S4
Tel: 418-658-5784; Cell: 514-347-5900; Toll-free: 877-462-9926; Fax: 418-658-6594; Email: asif.alli@bureauveritas.com
(Director: Asif Alli - contact him at 514-347-5900 or asif.alli@bureauveritas.com for administrative services such as PO#)
(Orders placed by Purchasing agents when using a PO #: Eden-Grace Valenzuela (Tel: 514-448-9001 x 6223; Email: EValenzuela@maxxam.ca) or Voula (Stavroula) Koumoutsakis (Tel: 514 448 9001 x 7066219; Email: stavroula.koumoutsakis@bureauveritas.com) or Sonia Jimenez (Tel: 514-448-9001 x 7066449; Email: canadaprocurement@bureauveritas.com) or Ankitesh Kumar Singh (Email: ankitesh-kumar.singh@bureauveritas.com)</t>
  </si>
  <si>
    <t>Chelsea Blake, Bureau Veritas Laboratories, Quebec - Bioassay Warehouse, 2690 avenue Dalton, Quebec, QC G1P 3S4
Tel: 418-658-5784 x7066428, Cell: 418-572-8438, Toll-free: 877-462-9926; Fax: 418-658-6594; Email: chelsea.blake@bureauveritas.com
(Director: Asif Alli - contact him at 514-347-5900 or asif.alli@bureauveritas.com for administrative services such as PO#)
(Orders placed by Purchasing agents when using a PO #: Eden-Grace Valenzuela (Tel: 514-448-9001 x 6223; Email: EValenzuela@maxxam.ca) or Voula (Stavroula) Koumoutsakis (Tel: 514 448 9001 x 7066219; Email: stavroula.koumoutsakis@bureauveritas.com) or Sonia Jimenez (Tel: 514-448-9001 x 7066449; Email: canadaprocurement@bureauveritas.com) or Ankitesh Kumar Singh; Email: ankitesh-kumar.singh@bureauveritas.com)</t>
  </si>
  <si>
    <t>Sandra Trochei</t>
  </si>
  <si>
    <t>Plant Manager</t>
  </si>
  <si>
    <t>Andrée-Anne Audet, Cégep de Shawinigan, 2263 Avenue du College, porte 4, Shawinigan QC  G9N 7H4
Tel: 819-539-6401 x 2298; Email: aaaudet@cshawi.ca
(Purchaser: Diane Trudel OR Vicky Lambert; Tel: 819-539-6401 x 2211; Fax: 819-539-2599; Email: approvisionnements@cshawi.ca)</t>
  </si>
  <si>
    <t>Gabrielle Huppe, Centre d'Expertise en Analyse Environnementale du Quebec (CEAEQ), 2700 rue Einstein, Complexe scientifique (bur. B2.320), Division de biologie et microbiologie, Quebec QC G1P 3W8
Tel: 418-643-1301 x 243; Fax: 418-528-1091; Email: gabrielle.huppe@environnement.gouv.qc.ca; Alternate Email: dbm@environnement.gouv.qc.ca (use this one for shipping)
(CEAEQ is a subsidiary of MELCC = Ministere de l'Environnement et de la lutte contre les changements climatiques)</t>
  </si>
  <si>
    <r>
      <t xml:space="preserve">Attn: Comptes Payables, Centre d'Expertise en Analyse Environnementale du Quebec, Complexe scientifique, 2700 rue Einstein, Quebec, QC G1P 3W8; Email: ceaeq.admin@environnement.gouv.qc.ca
</t>
    </r>
    <r>
      <rPr>
        <strike/>
        <sz val="10"/>
        <rFont val="Arial"/>
        <family val="2"/>
      </rPr>
      <t>Email: Facturation.CEAEQ@environnement.gouv.qc.ca</t>
    </r>
  </si>
  <si>
    <r>
      <t xml:space="preserve">Should arrive next day but sometimes takes 2 days…even if paying for Purolator Express 10:30AM
uses a PO#; provide taxonomic certificates
send invoice to Comptes Payables at: ceaeq.admin@environnement.gouv.qc.ca
</t>
    </r>
    <r>
      <rPr>
        <b/>
        <strike/>
        <sz val="10"/>
        <color rgb="FFFF0000"/>
        <rFont val="Arial"/>
        <family val="2"/>
      </rPr>
      <t>send invoice to Comptes Payables at: Facturation.CEAEQ@environnement.gouv.qc.ca</t>
    </r>
  </si>
  <si>
    <t>Hélène Loranger, Centre d'Expertise en Analyse Environnementale du Quebec (CEAEQ), 2700 rue Einstein, Complexe scientifique (bur. B2.320), Division de biologie et microbiologie, Quebec QC G1P 3W8
Tel: 418-643-1301 x 243 (or 358?); Fax: 418-528-1091; Email: dbm@environnement.gouv.qc.ca
(CEAEQ is a subsidiary of MELCC = Ministere de l'Environnement et de la lutte contre les changements climatiques)</t>
  </si>
  <si>
    <t>QA Officer</t>
  </si>
  <si>
    <t>Jillian Thompson-Anderson (QA Officer), City of Hamilton Environmental Lab, 700 Woodward Ave, lab/admin building, Hamilton, ON  L8H 6P4
Tel: 905-546-2424 x 5884; Email: JJ.Anderson@hamilton.ca</t>
  </si>
  <si>
    <t>Devin Hughes, Concordia University of Edmonton, Biology Department, Room G109, 7128 Ada Blvd., Edmonton, AB  T5B 4E4
Tel: 780-479-9361; Fax: 780-474-1933; Email: devin.hughes@concordia.ab.ca</t>
  </si>
  <si>
    <t>Works with Manon Sarrazin, Nancy Perrault &amp; Marie-Josée Lorrain</t>
  </si>
  <si>
    <t>Sabine Dodard, Conseil National de Recherches Canada (CNRC), 6100 Avenue Royalmount, Portes 6 &amp; 7, Entree Reception Marchandises, Montreal, QC  H4P 2R2 
Tel: 514-496-2663; Email: sabine.dodard@cnrc-nrc.gc.ca
(Purchaser: Luc Beliveau, Tel: 514-496-6108, Email: luc.beliveau@cnrc-nrc.gc.ca OR Stephane Lajoie, Tel: 514-496-6108, Fax: 514-496-6350, Email: Stephane.Lajoie@cnrc-nrc.gc.ca)
(Works with Manon Sarrazin and Nancy Perrault)</t>
  </si>
  <si>
    <r>
      <rPr>
        <b/>
        <sz val="10"/>
        <rFont val="Arial"/>
        <family val="2"/>
      </rPr>
      <t xml:space="preserve">Mouchet Florence, 118 route de Narbonne, Bat 4 R1, 31062 TOULOUSE CEDEX 9, FRANCE (City: Toulouse; Region: Occitanie
</t>
    </r>
    <r>
      <rPr>
        <b/>
        <sz val="10"/>
        <color rgb="FFFF0000"/>
        <rFont val="Arial"/>
        <family val="2"/>
      </rPr>
      <t>Tel: 06 31 48 97 96; Email: florence.mouchet@univ-tlse2.fr</t>
    </r>
    <r>
      <rPr>
        <b/>
        <sz val="10"/>
        <rFont val="Arial"/>
        <family val="2"/>
      </rPr>
      <t xml:space="preserve">
FOR: Jerome Silvestre; Tel: + 33 5-34-32-39-39, Cell: +33676428267; Fax: + 33 5-34-32-39-01; Email: jerome.silvestre@toulouse-inp.fr, Former Email: jerome.silvestre@ensat.fr</t>
    </r>
    <r>
      <rPr>
        <sz val="10"/>
        <rFont val="Arial"/>
        <family val="2"/>
      </rPr>
      <t xml:space="preserve">
OR
Laboratoire ECOLAB, Avenue de l'Agrobiopole, Auzeville Tolosane, 31320 France (Although PO indicated 31326 Castanet Tolosan CEDEX) (region: Midi-Pyrenees, but okay to put "-" marks into Go-Logix system for province) (purchased by Ahmed Lebrihi or Chrystelle Radou or Catherine Donati)</t>
    </r>
  </si>
  <si>
    <t>(Last name was McPherson for awhile)</t>
  </si>
  <si>
    <t>Megan Bauer, Environment and Climate Change Canada (ECCC), Atlantic Laboratory for Environmental Testing (ALET), Atlantic Environmental Science Centre (AESC), Toxicology Lab, 443 Universite Ave., Moncton, NB  E1A 3E9
Tel: 506-851-4396; Email: megan.bauer@ec.gc.ca
(Can send directly to Megan's attention or can ship to Attn: Paula Jackman; Tel: 506-851-2885; Email: Paula.Jackman@canada.ca)</t>
  </si>
  <si>
    <t>Christina Heise, Environment and Climate Change Canada (ECCC), Prairie and Northern Laboratory for Environmental Testing (PNLET), Ecotoxicology Laboratory, 5320 - 122nd Street, Edmonton AB T6H 3S5
Tel: 825-510-1301; Email: Christina.Heise@ec.gc.ca</t>
  </si>
  <si>
    <t>Arthur Zastepa</t>
  </si>
  <si>
    <t>Works with Cynthia Watson, Anqi Liang, and Marianne Racine</t>
  </si>
  <si>
    <t>Arthur Zastepa, Environment and Climate Change Canada (ECCC), Watershed Hydrology and Ecology Research Division (WHERD), 867 Lakeshore Road, Burlington, ON L7S 1A1
Office: 905-336-4779; Cell: 905-220-3922; Email: arthur.zastepa@ec.gc.ca
(Works with Cynthia Watson, Anqi Liang, and Marianne Racine)</t>
  </si>
  <si>
    <t>Karyne Plante, Eurofins - EnvironeX, Suite 150, Ecotox, 4495 boulevard Wilfrid-Hamel, Quebec, QC  G1P 2J7
Tel: 418-977-1220; Toll free: 1-877-977-1220; Email: karyneplante@et.eurofinsca.com
(Order sometimes placed by Daniela Uhrig (Project Manager), Tel: 418-878-4927 x 23330, Email: DanielaUhrig@Eurofins.com; Purchaser: Louise Riopel or Karim Charland &lt;KarimCharland@eurofins.com&gt; or Isabelle Blackburn &lt;isabelleblackburn@labenvironex.com&gt; or Eva Maraj &lt;EvaMaraj@eurofins.com&gt;)</t>
  </si>
  <si>
    <r>
      <t xml:space="preserve">Should arrive next day but sometimes takes 2 days…even if paying for Purolator Express 10:30AM
requires a quote &amp; uses a PO
email invoice to Comptes Payables at: cap@inrs.ca
</t>
    </r>
    <r>
      <rPr>
        <b/>
        <strike/>
        <sz val="10"/>
        <color rgb="FFFF0000"/>
        <rFont val="Arial"/>
        <family val="2"/>
      </rPr>
      <t>email invoice to Comptes Payables at: comptesapayer@adm.inrs.ca</t>
    </r>
  </si>
  <si>
    <t>David Haight, Lethbridge College, c/o Shipping &amp; Receiving – PA1155, 3000 College Drive South, Lethbridge, AB T1K 1L6 
Tel: 403-320-3202 x5594; Email: david.haight@lethbridgecollege.ca</t>
  </si>
  <si>
    <t>David Haight, Lethbridge College, c/o Shipping &amp; Receiving – PA1155, 3000 College Drive South, Lethbridge, AB  T1K 1L6 
Tel: 403-320-3202 x5594; Email: david.haight@lethbridgecollege.ca
FOR: Leanne Dumontier; Email: leanne.dumontier@lethbridgecollege.ca
(OR Attn: Shipping/Receiving (for Leanne Dumontier); Tel: 403-320-3238; Email: Jon.stegen@lethbridgecollege.ca)</t>
  </si>
  <si>
    <t>Jon Stone, McMaster University, Department of Biology, Life Sciences Building, Room 325 or 327, 1280 Main Street West, Hamilton ON L8S 4K1
Tel: office: 905-525-9140 x26136, lab: 905-525-9140 x27676; Fax: 905-522-6066; Email: jstoner@mcmaster.ca</t>
  </si>
  <si>
    <t>McMaster University - Department of Biology, 1280 Main Street West, Life Sciences Building (LSB-218), Hamilton ON L8S 4K1; Email: biology2@mcmaster.ca</t>
  </si>
  <si>
    <t>ship via Purolator Express
email invoice to Jon Stone (jstoner@mcmaster.ca; LSB-327) at: biology2@mcmaster.ca</t>
  </si>
  <si>
    <t>Laboratory Biologist, Testing Coordinator</t>
  </si>
  <si>
    <t>Sierra Klueppel (Laboratory Biologist, Testing Coordinator), Nautilus Environmental Company Inc., 8664 Commerce Court, Burnaby, BC V5A 4N7
Tel: 604-420-8773; Fax: 604-357-1361; Email: sierra@nautilusenvironmental.ca</t>
  </si>
  <si>
    <t>Martina Rendas, Nautilus Environmental Company Inc., B-11 Nicholas Beaver Road, Puslinch ON  N0B 2J0
Tel: 519-763-4412 x 324; Fax: 519-763-4419; Email: mrendas@aquatox.ca
(Lab Manager: Shawna Kirkpatrick, Email: skirkpatrick@aquatox.ca; Purchaser: Martina Rendas, Email: mrendas@aquatox.ca)
(Formerly AquaTox Testing &amp; Consulting Inc.)</t>
  </si>
  <si>
    <t>Senior Biologist</t>
  </si>
  <si>
    <t>Edyta Pasiak, Nautilus Environmental Company Inc., 704 Mara St., Suite 122, Point Edward ON N7V 1X4
Tel: 519-339-8787; Fax: 519-336-6965; Email: edyta@nautilusenvironmental.ca; Alternate Email: dyniu@hotmail.com
(Formerly Pollutech Enviroquatics)</t>
  </si>
  <si>
    <t>Michael Schulz, Portage College, 9531 - 94 Avenue, Natural Resources Dept, Lac La Biche, AB T0A 2C0
Tel: 780-623-4934, Cell: 780-520-5292, Campus Tel: 1-866-623-5551; Email: Michael.Schulz@portagecollege.ca
(Purchasers: Chelsea Eckel; Tel: 780-639-7129; Email: Chelsea.eckel@portagecollege.ca OR Darlene Uganecz; Tel: 780-623-5571; Email: darlene.uganecz@portagecollege.ca)</t>
  </si>
  <si>
    <t>Sandra M. Araujo, Smithers, 790 Main St., Wareham MA 02571-1037, USA
Tel: 508-295-2550; Fax: 508-295-8107; Email: saraujo@smithers.com
Broker information: Dawn Slutz, Compass Forwarding Co., Inc, 159-15 Rockaway Blvd, Jamaica, New York 11434 
Tel: 718-528-3589 x223; Fax: 718-528-6751; Email: dslutz@compassfwd.com</t>
  </si>
  <si>
    <t>Katheryn Klajman, Testmark Laboratories Ltd., Environmental Toxicology Department, 7 Margaret Street N, Garson, ON  P3L 1E1
Tel: 705-693-1121; Toll-free: 1-888-282-0422; Fax: 705-693-1124; Email: toxicology@testmark.ca; Alternate email: Katheryn.Klajman@testmark.ca
(Purchasers: Angela Prevost; Tel: 705-693-1121 x 229; Email: Angela.Prevost@testmark.ca or orders@testmark.ca OR Kamran Mansoor; Tel: 705 -693-1121 Ext.229; Email: Kamran.Mansoor@testmark.ca or orders@testmark.ca)</t>
  </si>
  <si>
    <t>Botany, Room 3156</t>
  </si>
  <si>
    <t>Michelle Tseng (Botany, Room 3156), University of British Columbia, 1015-6270 University Blvd, c/o Shipping &amp; Receiving, Vancouver, BC  V6T 1Z4 
Tel: 778-232-7404; Email: tsengm@mail.ubc.ca, Alternate Email: mtseng@zoology.ubc.ca</t>
  </si>
  <si>
    <t>Andreas Heyland, University of Guelph, Department of Integrative Biology, Science Complex (Room 1468), 50 Stone Road East, Guelph ON N1G 2W1
Tel: 519-824-4120 x 56459; Email: aheyland@uoguelph.ca</t>
  </si>
  <si>
    <t>Kathleen Nolan</t>
  </si>
  <si>
    <t>Supervisor: Andreas Heyland</t>
  </si>
  <si>
    <t>Kathleen Nolan (Supervisor: Andreas Heyland), University of Guelph, Department of Integrative Biology, Science Complex (Room 1468), 50 Stone Road East, Guelph ON N1G 2W1
Cell: 519-766-7341; Email: knolan@uoguelph.ca</t>
  </si>
  <si>
    <t xml:space="preserve">Moira Ijzerman </t>
  </si>
  <si>
    <t>Supervisor: Ryan Prosser</t>
  </si>
  <si>
    <t>Moira Ijzerman (Supervisor: Ryan Prosser), University of Guelph, School of Environmental Sciences, Bovey Building, 50 Stone Road East, Guelph ON  N1G 2W1
Cell: 647-588-9678; Email: mijzerma@uoguelph.ca</t>
  </si>
  <si>
    <t>Supervisor: Karsten Liber</t>
  </si>
  <si>
    <r>
      <t xml:space="preserve">Catherine Davila (Supervisor: Karsten Liber), University of Saskatchewan, Toxicology Research Centre, 44 Campus Drive, Saskatoon, SK  S7N 5B3
Tel: Cell: 639-994-0417; Email: catherine.davila@usask.ca; Alternate email: ced323@usask.ca
OR if shipping to her home address: Davila Residence, 1401 Elliott Street, Saskatoon, SK  S7N 0V9
Davila Residence, 1302 College Drive, Saskatoon, SK, S7N 0W5
</t>
    </r>
    <r>
      <rPr>
        <strike/>
        <sz val="10"/>
        <rFont val="Arial"/>
        <family val="2"/>
      </rPr>
      <t>Davila Residence, 859 University Drive, Saskatoon, SK, S7N 0J8</t>
    </r>
  </si>
  <si>
    <t>Graduate Secretary &amp; Research Officer</t>
  </si>
  <si>
    <t>Katherine Raes, University of Saskatchewan, Toxicology Centre, 44 Campus Drive, Saskatoon, SK S7N 5B3
OR if shipping to her home address: Raes Residence, 207 Wakabayashi Way, Saskatoon, SK, S7K 7M1
Office: 306-966-2795, Cell: 306-850-4100, Main Office: 306-966-7441; Email: katherine.raes@usask.ca, Alternate email: kar425@mail.usask.ca 
(Formerly a student (Supervisor: Karsten Liber); currently Graduate Secretary &amp; Research Officer)</t>
  </si>
  <si>
    <t>Carlos Cruz, University of Toronto, 25 Harbord Street, Department of Ecology &amp; Evolutionary Biology (EEB), Ramsay Wright Building, RW137, Toronto ON M5S 3G5
Tel: 416-978-0975; Email: c.cruz@utoronto.ca
BUT SHIP TO CSB reception at: University of Toronto, 25 Harbord Street, Room 401, Department of Ecology &amp; Evolutionary Biology (EEB), Toronto, ON  M5S 3G5
OR EEB reception at: University of Toronto, Earth Science Centre, EEB Reception, ESC3055, 25 Willcocks Street, Toronto ON M5S 3B2</t>
  </si>
  <si>
    <t>Jianguo Hu, University of Toronto, Department of Biology, Cell Systems and Biology, 25 Harbord Street, Reception Suite 401, Toronto, ON  M5S 3G5
Tel: 647-668-4801, Cell: 647-668-4801; Email: jack.hu@utoronto.ca</t>
  </si>
  <si>
    <t>Michael Phillips, University of Toronto Mississauga, 3359 Mississauga Rd N, Davis Bldg - Biology, Mississauga, ON  L5L 1C6
Tel: 905-569-4848; Email: michaelandrew.phillips@utoronto.ca</t>
  </si>
  <si>
    <t>University of Toronto Mississauga - Dept of Biology, William Davis Building, 3359 Mississauga Road, Mississauga, ON  L5L 1C6; Contact: Stephanie Melo, Position: Manager, Operations &amp; Finance, Email: stephanie.melo@utoronto.ca</t>
  </si>
  <si>
    <t>Debora Andrade Pereira</t>
  </si>
  <si>
    <t>Supervisor: Kim Cuddington</t>
  </si>
  <si>
    <t>Debora Andrade Pereira (Supervisor: Kim Cuddington), University of Waterloo, Biology Department, Room B2-241, 200 University Ave. W, Waterloo ON N2L 3G1
Tel: Kim's Lab: 519-888-4567 x 31084; Fax: 519-746-0614; Email: d4andradepereira@uwaterloo.ca</t>
  </si>
  <si>
    <t>Jenine McCutcheon, University of Waterloo, Department of Earth &amp; Environmental Sciences, EIT 2051A, 200 University Ave. W, Waterloo, ON  N2L 3G1
Tel: 519-888-4567 x37512; Email: jenine.mccutcheon@uwaterloo.ca</t>
  </si>
  <si>
    <t>Jozef Nissimov, University of Waterloo, Department of Biology, Room B2-359B, 200 University Avenue W, Waterloo, ON  N2L 3G1
Tel: 519-888-4567 x 35995, Cell: 226-978-6379; Fax: 519-746-0614; Email: jnissimov@uwaterloo.ca</t>
  </si>
  <si>
    <t>Kim Cuddington, University of Waterloo, Biology Department, B2-241, 200 University Ave. W, Waterloo ON N2L 3G1
Office: 519-888-4567 x 32468, Lab: 519-888-4567 x 31084; Fax: 519-746-0614; Email: kcudding@uwaterloo.ca</t>
  </si>
  <si>
    <t>Kirsten Müller</t>
  </si>
  <si>
    <t>Kirsten Müller, University of Waterloo, Biology Department, 200 University Ave W, Waterloo, ON N2L 3G1
Tel: 519-888-4567 x 32224; Fax: 519-746-0614; Email: kmMüller@uwaterloo.ca</t>
  </si>
  <si>
    <t>Monica Emelko, University of Waterloo, Department of Civil and Environmental Engineering, DWE 2448, 200 University Ave. W, Waterloo ON N2L 3G1
Email: mbemelko@uwaterloo.ca</t>
  </si>
  <si>
    <t>Shipping Address: Huy Dang (Environment), Trent University, 2089 East Bank Drive, c/o Shipping &amp; Receiving Centre, School of the Environment, Peterborough, ON K9L 1Z8
Tel: 705-748-1011 x 6364; Email: huydang@trentu.ca
(Mailing Address: Huy Dang (Environment), Trent University, 1600 West Bank Drive, Trent School of the Environment, Peterborough, ON  K9L 0G2)</t>
  </si>
  <si>
    <t>Org #</t>
  </si>
  <si>
    <t>Next Org #:</t>
  </si>
  <si>
    <t>PI #</t>
  </si>
  <si>
    <t>Father of Alexander Khawja</t>
  </si>
  <si>
    <t>Adeeb Khawja (Father of Alexander Khawja), Khawja Residence, 5209 Sundial Court, Mississauga, ON  L5R 2T1 (home address)
Tel: 647-473-5209; Email: akhawja3560@gmail.com
FOR: Alexander Khawja (attends St. Francis Xavier Secondary School); Tel: 647-473-2341; Email: AlexKhawja3560@gmail.com</t>
  </si>
  <si>
    <t>Supervisor: Mohamad T. Araji</t>
  </si>
  <si>
    <t>Adham Elmalky, 75 Holm Street, Cambridge, ON  N3C 3N3; Tel: 226-566-4997; Email: aelmalky@uwaterloo.ca</t>
  </si>
  <si>
    <t>Adham Elmalky (Supervisor: Mohamad T. Araji), University of Waterloo, Mechanical &amp; Mechatronics Engineering, 200 University Ave. W, Waterloo, ON N2L 3G1
Tel: 226-566-4997; Email: aelmalky@uwaterloo.ca</t>
  </si>
  <si>
    <t>Son of Adeeb Khawja</t>
  </si>
  <si>
    <t>Alexei Guerra</t>
  </si>
  <si>
    <t>Lab Coordinator</t>
  </si>
  <si>
    <t>Son of Munir Boodhwani</t>
  </si>
  <si>
    <t>Aliyan Boodhwani (Son of Munir Boodhwani) (attends Colonel By Secondary School), Boodhwani Residence, 552 Courtenay Avenue, Ottawa, ON  K2A 3B3 (home address)
Tel: 613-581-8327; Email: aliyanboodhwani@gmail.com
(Contact info for Munir Boodhwani (Father of Aliyan Boodhwani): Tel: 613-252-5238; Email: mboodhwani@gmail.com)</t>
  </si>
  <si>
    <t>Julia Barnes, Defence Research and Development Canada - Suffield Research Centre, 560 Mount Sorrell Road, Building 560 Receiving, Ralston AB T0J 2N0
Tel: 403-544-4906; Email: julia.barnes@forces.gc.ca
FOR Amanda Weiler; Tel: 403-544-4618; Email:Amanda.Weiler@forces.gc.ca</t>
  </si>
  <si>
    <t>Amarjeet Bassi, Western University, Engineering Stores, Thompson Eng Bldg, Dock 59, Room 40, ShipTo Address Code: TEB-ENGSTR, 1151 Richmond Street, London ON  N6A 5B9
Tel: 519-661-2111 x 88324; Email: abassi@uwo.ca</t>
  </si>
  <si>
    <t>Supervisor: Andre Simpson</t>
  </si>
  <si>
    <t>Andre Simpson, University of Toronto Scarborough, 1265 Military Trail, Science Wing Loading Dock, Physical and Environmental Sciences, Rm SY 324, Toronto, ON  M1C 1A4
Tel: 416-287-7547; Email: andre.simpson@utoronto.ca</t>
  </si>
  <si>
    <t>Andrew Cameron, University of Regina, Department of Biology, c/o Research and Innovation Centre Room 110 (UR Science Stores), Regina, SK  S4S 0A2
Tel: 306-585-4241; Email: UR.Stores@uregina.ca
FOR: Andrew Cameron; Cell: 306-737-7091; Email: andrew.cameron@uregina.ca</t>
  </si>
  <si>
    <t>Anna Maria Valero</t>
  </si>
  <si>
    <t>Kris James (Room D3001-1), Fanshawe College, Applied Science &amp; Technology, 1001 Fanshawe College Blvd., Receiving Department - Room B1037, London, ON  N5Y 5R6
Tel: Cell: 519-851-0856; Email: kjames2@FanshaweC.ca
FOR: Assuity Alassuity; Email: aalassuity@FanshaweC.ca</t>
  </si>
  <si>
    <t>also goes just by the name Audrey Moores</t>
  </si>
  <si>
    <t>Audrey Moores-Francois (Office Room 310/Lab Room 400), McGill University, Department of Chemistry, Maass Chemistry Building - Room 21, 801 Sherbrooke St. West, Montreal, QC H3A 0B8
Tel: Office: 514-398-4654, Lab: 514-398-6696; Email: Audrey.Moores@mcgill.ca</t>
  </si>
  <si>
    <t>Benjamin Lei</t>
  </si>
  <si>
    <t>Supervisor: Jenine McCutcheon</t>
  </si>
  <si>
    <t>Benjamin Lei (Supervisor: Jenine McCutcheon), University of Waterloo, 200 University Ave W, Department of Earth &amp; Environmental Sciences, EIT 2051A, Waterloo ON N2L 3G1
Email: benjamin.lei@uwaterloo.ca</t>
  </si>
  <si>
    <t>Beria Lima de Rodriguez</t>
  </si>
  <si>
    <t>Brandon Jaunky (attends Concordia University), Jaunky Residence, 9839 Rue Jeannette, Lasalle, Montreal, QC  H8R 1S7 (home address)
Tel: 438-879-8413; Email: Brandon.jaunky@gmail.com</t>
  </si>
  <si>
    <t>Caroline Dauphin, Cégep de Shawinigan, 2263 Avenue du College, porte 4, Shawinigan QC  G9N 7H4
Tel: 819-539-6401; Email: cdauphin@cshawi.ca
(Purchaser: Diane Trudel OR Vicky Lambert; Tel: 819-539-6401 x 2211; Fax: 819-539-2599; Email: approvisionnements@cshawi.ca)</t>
  </si>
  <si>
    <t>Caroline Peyrot</t>
  </si>
  <si>
    <t>Technician for Kevin Wilkinson</t>
  </si>
  <si>
    <t>Kevin Wilkinson, Universite de Montreal, 1375 Avenue Therese-Lavoie-Roux, c/o Campus MIL Receiving, Chemistry B-5075, Montreal, QC, H2V 0B3
Tel: 514-343-6741; Email: kj.wilkinson@umontreal.ca
FOR: Caroline Peyrot (technician for Kevin Wilkinson); Tel: 514-343-6111; Email: caroline.peyrot@umontreal.ca</t>
  </si>
  <si>
    <t>Carter Klanderud</t>
  </si>
  <si>
    <t>Supervisor: Monica Emelko</t>
  </si>
  <si>
    <t>Julia Barnes, Defence Research and Development Canada - Suffield Research Centre, Building 560 Receiving, 560 Mount Sorrell Road, Ralston AB T0J 2N0
Tel: 403-544-4906; Email:  julia.barnes@forces.gc.ca 
FOR: Catherine (Kate) Brown; Tel: 403-544-5218; Email:Catherine.Brown@drdc-rddc.gc.ca
(Works with Amanda Weiler)</t>
  </si>
  <si>
    <t>Christophe Langevin</t>
  </si>
  <si>
    <t>Supervisor: Jerome Comte</t>
  </si>
  <si>
    <t>Chuck</t>
  </si>
  <si>
    <t>Craig Buday (or Chris Le), Environment and Climate Change Canada (ECCC), Pacific Yukon Laboratory for Environmental Testing (PYLET), Pacific Environmental Science Centre (PESC), Environmental Toxicology Lab, 2645 Dollarton Hwy, North Vancouver BC V7H 1B1
Tel: 604-903-4438; Fax: 604-903-4445; Email: craig.buday@ec.gc.ca</t>
  </si>
  <si>
    <t>Daniel Lefebvre, Queen's University, Biology Department, 116 Barrie Street, Biosciences Complex, Room 3621, Kingston, ON  K7L 3N6
Tel: 613-533-6141; Email: lefebvre@queensu.ca</t>
  </si>
  <si>
    <t>David Depew, Environment and Climate Change Canada (ECCC), Watershed Hydrology and Ecology Research Division (WHERD), 867 Lakeshore Road, Burlington, ON L7S 1A1
Tel: 905-336-4790; Fax: 905-336-4699; Email: David.Depew@canada.ca</t>
  </si>
  <si>
    <t xml:space="preserve">Environment and Climate Change Canada - Watershed Hydrology and Ecology Research Division, 867 Lakeshore Road, Burlington, ON L7S 1A1; Email: servicesfadrhebh-wherdfaservices@ec.gc.ca
</t>
  </si>
  <si>
    <t>Concordia University</t>
  </si>
  <si>
    <t>Derek Kozakiewicz, Ontario Ministry of the Environment, Conservation &amp; Parks, Laboratory Services Branch, 125 Resources Rd, Etobicoke, ON  M9P 3V6
Cell: 416-705-5649; Email: Derek.Kozakiewicz@ontario.ca</t>
  </si>
  <si>
    <t>Technician
Supervisor: Carlos Cruz</t>
  </si>
  <si>
    <r>
      <t xml:space="preserve">Dongling Zhao (Supervisor: Carlos Cruz), University of Toronto, Ramsay Wright, RW136, 25 Harbord Street, Toronto ON M5S 3G5
Tel: 416-978-2508; Email: dongling.zhao@utoronto.ca
</t>
    </r>
    <r>
      <rPr>
        <b/>
        <sz val="10"/>
        <rFont val="Arial"/>
        <family val="2"/>
      </rPr>
      <t>OR</t>
    </r>
    <r>
      <rPr>
        <sz val="10"/>
        <rFont val="Arial"/>
        <family val="2"/>
      </rPr>
      <t xml:space="preserve">
Dongling Zhao (Supervisor: Carlos Cruz), University of Toronto, Earth Science Centre, EEB Reception, ESC3055, 25 Willcocks Street, Toronto ON M5S 3B2
Tel: 416-978-2508; Email: dongling.zhao@utoronto.ca</t>
    </r>
  </si>
  <si>
    <t>Elisabeth Wistaff-Lalande</t>
  </si>
  <si>
    <t>Biology technician for Francois Fournier</t>
  </si>
  <si>
    <t>Reception de marchandises, Collège Montmorency, 475 boulevard de L’Avenir, Département de Biologie, Laval, QC  H7N 5H9 
Tel: 450-975-6100 x6159; Purchasing Email: soumission@cmontmorency.qc.ca
FOR: Elisabeth Wistaff-Lalande (Biology technician for Francois Fournier); Tel: 450-975-6100 x6903; Email: Elisabeth.Wistaff-Lalande@cmontmorency.qc.ca</t>
  </si>
  <si>
    <t>Emily Hallett</t>
  </si>
  <si>
    <t>Emily Suominen</t>
  </si>
  <si>
    <t>Works with Gauri Prabhakar &amp; Carrie Rickwood</t>
  </si>
  <si>
    <t>Emily Suominen, Natural Resources Canada – CanmetMINING LMS Environmental Risk Management Program Ottawa, 555 Booth Street, Ottawa, ON K1A 0G1
Tel: 343-574-0630; Email: Emily.Suominen@nrcan-rncan.gc.ca
(Works with Gauri Prabhakar &amp; Carrie Rickwood)</t>
  </si>
  <si>
    <t>Flavie Desreac</t>
  </si>
  <si>
    <t>Supervisor: Claude Fortin</t>
  </si>
  <si>
    <t>Francois Fournier</t>
  </si>
  <si>
    <t>Biology professor</t>
  </si>
  <si>
    <t>Reception de marchandises, Collège Montmorency, 475 boulevard de L’Avenir, Département de Biologie, Laval, QC  H7N 5H9 
Tel: 450-975-6100 x6159; Purchasing Email: soumission@cmontmorency.qc.ca
FOR: Francois Fournier (Biology professor); Tel: 450-975-6100 x6920; Email: Francois.Fournier@cmontmorency.qc.ca</t>
  </si>
  <si>
    <t>Frank Saliani, Nautilus Environmental Company Inc., B-11 Nicholas Beaver Road, Puslinch ON  N0B 2J0
Tel: 519-763-4412; Fax: 519-763-4419; Email: fsaliani@aquatox.ca
(Lab Manager: Shawna Kirkpatrick, Email: skirkpatrick@aquatox.ca; Purchaser: Martina Rendas, Email: mrendas@aquatox.ca)
(Formerly AquaTox Testing &amp; Consulting Inc.)</t>
  </si>
  <si>
    <t>Frederic Ors, Ors Residence, 3940 rue Mathieu d'Amours, Quebec, QC, G1Y 2J8 (home address)
Tel: 418-575-7789; Email: orsfred@gmail.com</t>
  </si>
  <si>
    <t>Gauri Prabhakar</t>
  </si>
  <si>
    <t>Works with Emily Suominen &amp; Carrie Rickwood</t>
  </si>
  <si>
    <t>Gauri Prabhakar, Natural Resources Canada – CanmetMINING LMS Environmental Risk Management Program Ottawa, 555 Booth Street, Ottawa, ON K1A 0G1
Tel: 343-574-1418; Email: gauri.prabhakar@NRCan-RNCan.gc.ca
(Works with Emily Suominen &amp; Carrie Rickwood)</t>
  </si>
  <si>
    <t>Graham Bell, McGill University, Stewart Biology Building, 1205 avenue Docteur-Penfield, Montreal, QC  H3A 1B1
Tel: 514-398-6458; Fax: 514-398-5069; Email: graham.bell@mcgill.ca</t>
  </si>
  <si>
    <t>Houda Hanana, Environment and Climate Change Canada (ECCC), Aquatic Contaminants Research Division (ACRD), 105 McGill Street, 7th Floor, Montreal, QC H2Y 2E7 
Tel: Cell: 514-452-2064; Email: Houda.Hanana@ec.gc.ca</t>
  </si>
  <si>
    <t>Ina Liedtke</t>
  </si>
  <si>
    <t>Mr. Ernst, Hygiene-Institut des Ruhrgebiets, Institut fur Umwelhygiene und Toxikologie, Rotthauser Str. 21, Warenanahme "Einkauf Umwelt" - Haus-Nr. 21, Einfahrt uber Dickampstrasse, Gelsenkirchen, North Rhine-Westphalia, 45879 Germany
Tel: +49(0)209 - 92 42 140 (=00492099242140 for 2Ship); Email: m.ernst@hyg.de
FOR: Frau Ina Liedtke; Email: einkauf@hyg.de
(Purchaser: Julia Englich; Tel: +49 (0) 209/9242- 115; Email: englich@hyg.de OR Markus Ernst; Tel: +49(0)209 - 92 42 140; Email: m.ernst@hyg.de)</t>
  </si>
  <si>
    <t>Isaac Meza Padilla</t>
  </si>
  <si>
    <t>Supervisor: Jozef Nissimov</t>
  </si>
  <si>
    <t>Isaac Meza Padilla (Supervisor: Jozef Nissimov), University of Waterloo, Department of Biology, Room B2-359, 200 University Avenue W, Waterloo, ON  N2L 3G1
Fax: 519-746-0614; Email: imezapadilla@uwaterloo.ca</t>
  </si>
  <si>
    <t>Jacky Law (Senior Biologist, Testing Coordinator) , Nautilus Environmental Company Inc., 8664 Commerce Court, Burnaby, BC V5A 4N7
Tel: 604-420-8773; Fax: 604-357-1361; Email: jacky@nautilusenvironmental.ca</t>
  </si>
  <si>
    <t>Jana Farell</t>
  </si>
  <si>
    <t>Jean-Sebastien Deschenes, Universite du Quebec a Rimouski, 300 allee des Ursulines, Reception des marchandises, Rimouski, QC  G5L 3A1
Tel: 418-723-1986 x 1997; Email: jean-sebastien_deschenes@uqar.ca</t>
  </si>
  <si>
    <t>Former name: Jennfer Mews</t>
  </si>
  <si>
    <t>Jennifer Doyle, Avalon Laboratories Inc., 5 Sea Rose Avenue, St. John's, NL  A1A 0P6
Tel: 709-726-9345 x209; Email: jmews@avalonlaboratories.ca
(Former name: Jennifer Mews)</t>
  </si>
  <si>
    <t>Joey</t>
  </si>
  <si>
    <t>Smithers Viscient</t>
  </si>
  <si>
    <t>Katherina (Gil) Softcheck, Smithers, Environmental Risk Sciences, 790 Main St., Wareham MA 02571-1037, USA
Tel: 508-295-2550; Fax: 508-295-8107; Email: ksoftcheck@smithers.com
Broker information: Dawn Slutz, Compass Forwarding Co., Inc., 159-15 Rockaway Blvd, Jamaica, New York 11434
Tel: 718-528-3589 x223; Fax: 718-528-6751; Email: dslutz@compassfwd.com</t>
  </si>
  <si>
    <t>Hr. Stephan Motzkus, Institut für Mikrobiologie der Bundeswehr (InstMikroBioBw), Neuherbergstraße 11, Geb. 01/Eingang F 1.OG, München, Bavaria, Deutschland  80937
Tel: +49 89 992692 3891; Email: stephanmotzkus@bundeswehr.org
FOR: Katrin Zwirglmaier; Tel: +49 89 992692 3933; Email: katrinzwirglmaier@bundeswehr.org
(address wording in English: Institut fuer Mikrobiologie der Bundeswehr (InstMikroBioBw), Neuherbergstrasse11, Geb. 01/Eingang F 1.OG, Muenchen (Munich - city), Bavaria (BY - region), 80937 Germany (DE) Germany)</t>
  </si>
  <si>
    <t>Katrina Steiner</t>
  </si>
  <si>
    <t>Andre Simpson c/o CHMStores, University of Toronto Scarborough, 1265 Military Trail, Science Wing Loading Dock, Toronto, ON  M1C 1A4 
Tel: 416-287-7645 (CHMStores); Email: chemstores@utsc.utoronto.ca (CHMStores)
FOR: Katrina Steiner (Supervisor: Andre Simpson); Email: katrina.steiner@mail.utoronto.ca</t>
  </si>
  <si>
    <t>Kevin Wilkinson, Universite de Montreal, 1375 Avenue Therese-Lavoie-Roux, c/o Campus MIL Receiving, Chemistry B-5075, Montreal, QC, H2V 0B3
Tel: 514-343-6741; Email: kj.wilkinson@umontreal.ca</t>
  </si>
  <si>
    <r>
      <t xml:space="preserve">email invoice to Kevin Wilkinson (kj.wilkinson@umontreal.ca) at: finances@chimie.umontreal.ca
</t>
    </r>
    <r>
      <rPr>
        <b/>
        <strike/>
        <sz val="10"/>
        <color rgb="FFFF0000"/>
        <rFont val="Arial"/>
        <family val="2"/>
      </rPr>
      <t>email invoice to Audrey Morin at: audrey.morin.8@umontreal.ca</t>
    </r>
  </si>
  <si>
    <t>Kim Racine</t>
  </si>
  <si>
    <t>Kris James</t>
  </si>
  <si>
    <t>Lab technician for Assuity Alassuity</t>
  </si>
  <si>
    <t>Kris James (Lab technician for Assuity Alassuity, Room D3001-1), Fanshawe College, Applied Science &amp; Technology, 1001 Fanshawe College Blvd., Receiving Department, Room B1037, London, ON  N5Y 5R6
Cell: 519-851-0856; Email: kjames2@FanshaweC.ca
FOR: Assuity Alassuity; Email: aalassuity@FanshaweC.ca</t>
  </si>
  <si>
    <t>U of Calgary</t>
  </si>
  <si>
    <t>Laura Schnell</t>
  </si>
  <si>
    <t>Leila Azimian</t>
  </si>
  <si>
    <t>Supervisor: Hassan Peerhossaini</t>
  </si>
  <si>
    <t>Malihe Mehdizadeh Allaf (Supervisor: Hassan Peerhossaini), Western University, Department of Civil and Environmental Engineering, Engineering Stores, Thompson Eng Bldg, Dock 59, Room 40, ShipTo Address Code: TEB-ENGSTR, 1151 Richmond Street, London ON  N6A 5B9
Email: mmehdiz@uwo.ca</t>
  </si>
  <si>
    <t>Manon Sarrazin</t>
  </si>
  <si>
    <t>Works with Sabine Dodard and Nancy Perreault</t>
  </si>
  <si>
    <t>Manon Sarrazin/Sabine Dodard/Vinicio Vasquez (Technical Officer and Facility Coordinator, Analytical Chemistry), Conseil National de Recherches Canada (CNRC), 6100 Avenue Royalmount, Portes 6 &amp; 7, Entree Reception Marchandises, Montreal, QC  H4P 2R2
Tel: 514-496-2663 (Manon), 514-496-2663 (Sabine), 514-496-2541 (Vinicio); Email: Manon.sarrazin@cnrc-nrc.gc.ca (Manon), sabine.dodard@cnrc-nrc.gc.ca (Sabine), vinicio.vasquez@cnrc-nrc.gc.ca (Vinicio)
(Purchaser: Luc Beliveau, Tel: 514-496-6108, Email: luc.beliveau@cnrc-nrc.gc.ca OR Stephane Lajoie, Tel: 514-496-6108, Fax: 514-496-6350, Email: Stephane.Lajoie@cnrc-nrc.gc.ca)
(Works with Sabine Dodard and Nancy Perreault)</t>
  </si>
  <si>
    <t>Marc Cadotte</t>
  </si>
  <si>
    <t>416-208-5105</t>
  </si>
  <si>
    <t>marc.cadotte@utoronto.ca</t>
  </si>
  <si>
    <t>University of Toronto - Scarborough, 1265 Military Trail, Toronto, ON  M1C 1A4; Email: chemstores@utsc.utoronto.ca</t>
  </si>
  <si>
    <t>Marc Strous, University of Calgary, Biological Sciences, 2500 University Drive NW, c/o Shipping and Receiving, EEEL-509, Calgary AB  T2N 1N4
Tel: 403-220-6604; Email: m.strous@ucalgary.ca</t>
  </si>
  <si>
    <t>Marianne Potvin</t>
  </si>
  <si>
    <t>Marie-Josée Lorrain</t>
  </si>
  <si>
    <t>Marie-Josée</t>
  </si>
  <si>
    <t>Works with Sabine Dodard</t>
  </si>
  <si>
    <t>438-357-8050</t>
  </si>
  <si>
    <t>Marie-Josee.Lorrain@cnrc-nrc.gc.ca</t>
  </si>
  <si>
    <t>Markus</t>
  </si>
  <si>
    <t>Martin Van Den Berghe, Cytochrome, 0 Marine Lab Rd, c/o Memorial University (MUN), Ocean Sciences Centre (OSC), Cold-Ocean Deep-Sea Research Facility (CDRF), St. John's, NL  A1C 5S7
Tel: 709-571-7453; Email: martin@cytochrome.org</t>
  </si>
  <si>
    <t>Martina Rudy, Environment and Climate Change Canada (ECCC), Aquatic Contaminants Research Division (ACRD), 867 Lakeshore Rd., Burlington, ON L7S 1A1
Tel: 905-336-4880; Fax: 905-336-4699; Email: martina.rudy@ec.gc.ca</t>
  </si>
  <si>
    <t>Maude Pomerleau</t>
  </si>
  <si>
    <t>Adam Biggs, Nova Scotia Community College - Ivany Campus, 80 Mawiomi Place, Lab 3331, Dartmouth, NS  B2Y 0A5
Tel: 587-436-5838, Email: adam.biggs@nscc.ca 
FOR: Mo Shamma - Tel: 902-491-1682, Cell: 902-789-0757; Fax: 902-491-1089; Email: Mo.Shamma@nscc.ca &amp; Thomas Harrison
(Personnel Notes: Adam Biggs is the lab manager who will receive the shipment; Thomas Harrison is a student at NSCC who will grow the cultures in the lab; Mo Shamma is the project leader in collaboration with Prof. Martin Tango from Acadia University; Brenda Veinot is the department administrative assistant who will issue the PO/DPO for the order.)</t>
  </si>
  <si>
    <t>Mohamad T. Araji, University of Waterloo, Civil &amp; Environmental Engineering, ARC 2102, 200 University Avenue W, Waterloo, ON N2L 3G1
Tel: 519-888-4567 x27664; Email: mohamad.araji@uwaterloo.ca</t>
  </si>
  <si>
    <t>Munir Boodhwani</t>
  </si>
  <si>
    <t>Father of Aliyan Boodhwani</t>
  </si>
  <si>
    <t>Nadia Golestani</t>
  </si>
  <si>
    <t>Supervisor: Ralph Robinson at Selected Bioproducts &amp; Wendy Pearson at U of Guelph</t>
  </si>
  <si>
    <t>Nadia Golestani (Supervisor: Ralph Robinson at Selected Bioproducts &amp; Wendy Pearson at U of Guelph), University of Guelph, Department of Animal Biosciences, 50 Stone Road East, Guelph, ON  N1G 2W1
Email: golestan@uoguelph.ca</t>
  </si>
  <si>
    <t>Naila Barbosa da Costa</t>
  </si>
  <si>
    <t>Postdoc; Supervisor: Jerome Comte</t>
  </si>
  <si>
    <t>Naomi Attrill, Nautilus Environmental Company Inc., 10823 27th Street SE, Calgary, AB  T2Z 3V9
Tel: 403-253-7121; Fax: 403-252-9363; Email: naomi@nautilusenvironmental.ca
(Formerly Hydroqual Laboratories Ltd.)</t>
  </si>
  <si>
    <t>Collab Sci Research Bldg</t>
  </si>
  <si>
    <t>Nicole Webster, University of Saskatchewan,112 Science Place, Biology, Collaborative Science Research Building, Saskatoon, SK, S7N 5E2
Tel: 306-966-4445; Email: nicole.webster@usask.ca</t>
  </si>
  <si>
    <t>Ophelie Fontaine</t>
  </si>
  <si>
    <t>Supervisor: Severine Le Faucheur</t>
  </si>
  <si>
    <t>Severine Le Faucheur, Université de Pau et des Pays de l’Adour (UPPA), IPREM - UMR 5254, 2 avenue du Président Pierre Angot, Technopole Helioparc, Pau (City), Nouvelle-Aquitaine (Region), 64053 PAU CEDEX 9, FRANCE
Tel: +0033559407857; Email: severine.le-faucheur@univ-pau.fr
FOR: Ophelie Fontaine (Supervisor: Severine Le Faucheur); Email: ophelie.fontaine@univ-pau.fr</t>
  </si>
  <si>
    <t>Supervisor: Marc Strous</t>
  </si>
  <si>
    <t>Oyeboade Adebayo (Supervisor: Marc Strous) University of Calgary, 2500 University Drive NW, c/o Shipping and Receiving, EEEL-509, Biological Sciences, Calgary AB  T2N 1N4
Tel: 587-227-6080; Email: oye.adebayo@ucalgary.ca</t>
  </si>
  <si>
    <t>Patrick J McGinn, National Research Council Canada, 270 Sandy Cove Road, Ketch Harbour, NS  B3V 1K9
Tel: 902-293-2746; Email: Patrick.McGinn@nrc-cnrc.gc.ca</t>
  </si>
  <si>
    <t>Patrique Bulloch</t>
  </si>
  <si>
    <t>Food Web Biologist; Supervisor: Michael Paterson</t>
  </si>
  <si>
    <t>Patrique Bulloch (Food Web Biologist; Supervisor: Michael Paterson), IISD-Experimental Lakes Area, 111 Lombard Avenue, Suite 325, Winnipeg, MB  R3L 1E4
Tel: 204-390-3517; Email: pbulloch@iisd-ela.org</t>
  </si>
  <si>
    <r>
      <t xml:space="preserve">Paul Frost, Trent University, 2089 East Bank Drive, c/o Shipping &amp; Receiving, CHLHSCD234 Frost (Biology), Peterborough, ON  K9L 1Z8
Tel: 705-748-1011 x 7903; Email: paulfrost@trentu.ca
</t>
    </r>
    <r>
      <rPr>
        <b/>
        <sz val="10"/>
        <rFont val="Arial"/>
        <family val="2"/>
      </rPr>
      <t>OR</t>
    </r>
    <r>
      <rPr>
        <sz val="10"/>
        <rFont val="Arial"/>
        <family val="2"/>
      </rPr>
      <t xml:space="preserve"> (may no longer use)
Paul Frost, Trent University, 1600 West Bank Drive, Frost Lab - Biology, Peterborough, ON  K9L 0G2
Tel: 705-748-1011 x 7903; Email: paulfrost@trentu.ca</t>
    </r>
  </si>
  <si>
    <t>Ralph Robinson, Selected BioProducts Inc. (aka Herbs for Horses), 127 Seventh Concession, Harley, ON, N0E 1E0
Tel: 519-837-7898; Email: ralph@horseherbs.com</t>
  </si>
  <si>
    <t>Supervisor: Raymond Kwong</t>
  </si>
  <si>
    <t>Raymond Kwong, York University, 4700 Keele Street, Petri Building PSE 002, Biology, North York, ON  M3J 1P3
Tel: 416-736-2100 x 33718; Email: rwmkwong@yorku.ca</t>
  </si>
  <si>
    <t>Reza Saifi</t>
  </si>
  <si>
    <t>Reza Saifi (Supervisor: Hassan Peerhossaini), Western University, Department of Civil and Environmental Engineering, Engineering Stores, Thompson Eng Bldg, Dock 59, Room 40, ShipTo Address Code: TEB-ENGSTR, 1151 Richmond Street, London ON  N6A 5B9
Tel: Cell: 226-559-2474; Email: rsaifi@uwo.ca</t>
  </si>
  <si>
    <t>Roger C. Levesque, Universite Laval - Institut de biologie integrative et des systemes (IBIS), 1030 avenue de la Medecine, Pavillon Charles-Eugene-Marchand, Laboratoire R C Levesque (Local 4142), Quebec, QC, G1V 0A6
Tel: 418-656-2131 x 404471; Email: rclevesq@ibis.ulaval.ca</t>
  </si>
  <si>
    <t>Romy Leger-Daigle, Fisheries and Oceans Canada (DFO), Maurice-Lamontagne Institute, Demersal and Benthic Sciences, 850 Route de la Mer, Mont-joli, QC, G5H 3Z4
Tel: 514-570-2577; Email: Romy.Leger-Daigle@dfo-mpo.gc.ca</t>
  </si>
  <si>
    <t>Rowan Sage</t>
  </si>
  <si>
    <t>r.sage@utoronto.ca</t>
  </si>
  <si>
    <t>Ruby Ziruo Liu</t>
  </si>
  <si>
    <t>Supervisor: Dr. Saji George and Dr. Audrey Moores (Moores-Francois)</t>
  </si>
  <si>
    <r>
      <t xml:space="preserve">If shipped to Saji George: McGill University, MS Building, Room 1039, 21111 Lakeshore Road, Sainte-Anne-de-Bellevue, QC, H9X 3V9; Tel: 514-398-7920; Email: saji.george@mcgill.ca
FOR: Ruby Ziruo Liu (Supervisor: Dr. Saji George and Dr. Audrey Moores (Moores-Francois)); Tel: 514-663-0867; Email: ziruo.liu@mail.mcgill.ca
</t>
    </r>
    <r>
      <rPr>
        <b/>
        <sz val="10"/>
        <rFont val="Arial"/>
        <family val="2"/>
      </rPr>
      <t>OR</t>
    </r>
    <r>
      <rPr>
        <sz val="10"/>
        <rFont val="Arial"/>
        <family val="2"/>
      </rPr>
      <t xml:space="preserve">
If shipped to Audrey Moores (full name Audrey Moores-Francois): McGill University, Department of Chemistry, Maass Chemistry Building, Room 21, (Office Room 310/Lab Room 400), 801 Sherbrooke St. West, Montreal, QC H3A 0B8; Tel: 514-398-3654; Email: audrey.moores@mcgill.ca
FOR: Ruby Ziruo Liu (Supervisor: Dr. Saji George and Dr. Audrey Moores (Moores-Francois)); Tel: 514-663-0867; Email: ziruo.liu@mail.mcgill.ca</t>
    </r>
  </si>
  <si>
    <t>Ruchita Solanki</t>
  </si>
  <si>
    <t>Ruchita Solanki (Supervisor: Marc Strous), University of Calgary, Biological Sciences, 2500 University Drive NW, c/o Shipping and Receiving, EEEL-509, Calgary AB  T2N 1N4
Tel: 825-558-9573; Email: ruchita.solanki@ucalgary.ca</t>
  </si>
  <si>
    <t>Sabrina Therrien</t>
  </si>
  <si>
    <t>Supervisor: Graham Bell</t>
  </si>
  <si>
    <t>Sabrina Therrien (Supervisor: Graham Bell), McGill University, Stewart Biology Building room N6/9, 1205 avenue Docteur-Penfield, Montreal, QC, H3A 1B1
Tel: 438-492-9193; Email: sabrina.therrien@mail.mcgill.ca
BUT SHIP TO: Luisa Sabaz; McGill University, Stewart Biology Building, room N3/17, 1205 ave. Docteur Penfield, Montreal, QC, H3A 1B1, Tel: 514-398-5740; Email: luisa.sabaz@mcgill.ca)</t>
  </si>
  <si>
    <t>Saji George, McGill University, Department of Food Science and Agricultural Chemistry, MS 1-039, 21111 Lakeshore Road, Sainte-Anne-de-Bellevue, QC, H9X 3V9
Tel: 514-398-7920; Email: saji.george@mcgill.ca</t>
  </si>
  <si>
    <t>Sejal Dave</t>
  </si>
  <si>
    <t>Raymond Kwong, York University, 4700 Keele Street, Petri Building PSE 002, Biology, North York, ON  M3J 1P3; Tel: 416-736-2100 x 33718; Email: rwmkwong@yorku.ca
FOR: Sejal Dave (Supervisor: Raymond Kwong); Email: sejal94@yorku.ca</t>
  </si>
  <si>
    <r>
      <t xml:space="preserve">Severine Le Faucheur, Université de Pau et des Pays de l’Adour (UPPA), IPREM - UMR 5254, 2 avenue du Président Pierre Angot, Technopole Helioparc, Pau (City), Nouvelle-Aquitaine (Region), 64053 PAU CEDEX 09, FRANCE
Tel: +0033559407857; Email: severine.le-faucheur@univ-pau.fr
(Attn: Severine Le Faucheur; Tel: +0033559407857; Email: severine.le-faucheur@univ-pau.fr)
</t>
    </r>
    <r>
      <rPr>
        <strike/>
        <sz val="10"/>
        <rFont val="Arial"/>
        <family val="2"/>
      </rPr>
      <t>Université de Pau et des Pays de l’Adour (UPPA) - Centre national de la recherche scientifique (CNRS) - SCTD - 1864, 2 rue Jean Zay, TSA n° 41002, 54519 Vandoeuvre-Lès-Nancy Cedex, France</t>
    </r>
  </si>
  <si>
    <t xml:space="preserve">Shabana Bhatti </t>
  </si>
  <si>
    <t>Supervisor: Patrick J McGinn</t>
  </si>
  <si>
    <t>Patrick McGinn/Shabana Bhatti, National Research Council Canada, 270 Sandy Cove Road, Marine Research Station, Ketch Harbour, NS  B3V 1K9 
Tel: 902-789-5781; Email: Shabana.Bhatti@nrc-cnrc.gc.ca
FOR: Shabana Bhatti (Supervisor: Patrick J McGinn)</t>
  </si>
  <si>
    <t>Shabnam Tejani</t>
  </si>
  <si>
    <t>Shabnam</t>
  </si>
  <si>
    <t>Supervisor: Marc Cadotte</t>
  </si>
  <si>
    <t>shabnam.tejani@mail.utoronto.ca</t>
  </si>
  <si>
    <t>Use a Biology DPO and email invoices to Accounts Payable at: chemstores@utsc.utoronto.ca
(if no PO, request forwarding to purchaser for credit card payment)</t>
  </si>
  <si>
    <t>Shane</t>
  </si>
  <si>
    <t>Lab Manager</t>
  </si>
  <si>
    <t>Shawna Kirkpatrick (Lab Manager), Nautilus Environmental Company Inc., B-11 Nicholas Beaver Road, Puslinch ON  N0B 2J0
Tel: 519-763-4412 x 304; Fax: 519-763-4419; Email: skirkpatrick@aquatox.ca(Lab Manager: Shawna Kirkpatrick, Email: skirkpatrick@aquatox.ca; Purchaser: Martina Rendas, Email: mrendas@aquatox.ca)
(Formerly AquaTox Testing &amp; Consulting Inc.)</t>
  </si>
  <si>
    <t>Sonia Evans</t>
  </si>
  <si>
    <t>Supervisor: Michael Phillips</t>
  </si>
  <si>
    <t>Spencer Hang</t>
  </si>
  <si>
    <t>Stan Pankratz, Rainforest Algae Corp., 203 31 Avenue NW, Calgary, AB, T2M 2P3
Tel: Cell: 403-616-0555; Email: stan.pankratz@rainforestalgae.ca; Alternate Email: stan.pankratz@gmail.com
(Residential address but does not require NSR designation)</t>
  </si>
  <si>
    <t>Taylor Lynn Virgin</t>
  </si>
  <si>
    <t>Taylor Lynn Virgin (Supervisor: Monica Emelko), University of Waterloo, 200 University Avenue W, Department of Civil and Environmental Engineering, DWE 2407, Waterloo, ON  N2L 3G1
Email: tlvirgin@uwaterloo.ca</t>
  </si>
  <si>
    <t>Timothy Tse, Saskatchewan Research Council (SRC), Environmental Analytical Laboratories, 143-111 Research Drive, Saskatoon, SK S7N 3R2
Tel: 306-230-6757; Email: Timothy.Tse@src.sk.ca</t>
  </si>
  <si>
    <t>Trinity Fraser Sintic</t>
  </si>
  <si>
    <t>Tyson Bouchard</t>
  </si>
  <si>
    <t>Toxicologist/Manager</t>
  </si>
  <si>
    <t>Tyson Bouchard (Toxicologist/Manager), Lakehead University, Aquatic Toxicity Research Centre (ATRC), Centennial Building (CB 0020), 955 Oliver Road, Thunder Bay, ON P7B 5E1
Tel: 807-343-8010 x8179; Email: tbouchar@lakeheadu.ca</t>
  </si>
  <si>
    <t>Vaughn Mangal, Brock University, 1812 Sir Isaac Brock Way, Chemistry, St. Catharines, ON  L2S 3A1
Tel: 905-688-5550 x6136, Cell: 705-977-5444; Email: vmangal@brocku.ca</t>
  </si>
  <si>
    <t>Wendy</t>
  </si>
  <si>
    <t>Xavier Ortiz Almirall, IQS School of Engineering, Xavier Ortiz Almirall, IQS School of Engineering, Analytical and Applied Chemistry Department, Via Augusta 390, Barcelona, Barcelona ("B" as per https://kb.bullseyelocations.com/article/81-spain-province-codes), 08017, Spain (ES)
Tel: +34 638834744; Email: xavier.ortiz@iqs.url.edu</t>
  </si>
  <si>
    <t>1001-002</t>
  </si>
  <si>
    <t>1, 1</t>
  </si>
  <si>
    <t>Tim Shardlow</t>
  </si>
  <si>
    <t>Moira Ijzerman</t>
  </si>
  <si>
    <t xml:space="preserve">** Institution name = Column A </t>
  </si>
  <si>
    <t xml:space="preserve">** Customer name = Column B </t>
  </si>
  <si>
    <t xml:space="preserve">** Make into one setp process (Dropdown list) =&gt; Some thoughts ( but do not the current two step process ) </t>
  </si>
  <si>
    <t>REF #</t>
  </si>
  <si>
    <t>Keira Harshaw</t>
  </si>
  <si>
    <t>Mireille Ratté</t>
  </si>
  <si>
    <t>Dartmouth High School</t>
  </si>
  <si>
    <t>Shane Macleod</t>
  </si>
  <si>
    <t>1053-001</t>
  </si>
  <si>
    <t>1038-001</t>
  </si>
  <si>
    <t>1039-001</t>
  </si>
  <si>
    <t>1040-001</t>
  </si>
  <si>
    <t>1041-001</t>
  </si>
  <si>
    <t>1042-001</t>
  </si>
  <si>
    <t>1043-001</t>
  </si>
  <si>
    <t>1054-001</t>
  </si>
  <si>
    <t>1044-001</t>
  </si>
  <si>
    <t>1045-001</t>
  </si>
  <si>
    <t>1046-001</t>
  </si>
  <si>
    <t>1047-001</t>
  </si>
  <si>
    <t>1048-001</t>
  </si>
  <si>
    <t>1050-001</t>
  </si>
  <si>
    <t>1051-001</t>
  </si>
  <si>
    <t>1052-001</t>
  </si>
  <si>
    <t>Type of Media</t>
  </si>
  <si>
    <t>mL of Concentrates/Stocks/Plates</t>
  </si>
  <si>
    <t>Detailed Description of Services</t>
  </si>
  <si>
    <t>Special Services</t>
  </si>
  <si>
    <t>Detailed Pricing for Services</t>
  </si>
  <si>
    <t>SUBTOTAL $CAD</t>
  </si>
  <si>
    <t>Price for Cultures</t>
  </si>
  <si>
    <t>Price for Media</t>
  </si>
  <si>
    <t>Date Shipped</t>
  </si>
  <si>
    <t>Date Invoiced</t>
  </si>
  <si>
    <t>Annual Revenue from 2002-2024</t>
  </si>
  <si>
    <t>Revenue</t>
  </si>
  <si>
    <t>2010- 2011</t>
  </si>
  <si>
    <t>2021-2022</t>
  </si>
  <si>
    <t>2022-2023</t>
  </si>
  <si>
    <t>Cumulative Growth of Users since Inception</t>
  </si>
  <si>
    <t>Fiscal Year End</t>
  </si>
  <si>
    <t># of New Users</t>
  </si>
  <si>
    <t>Cumulative # of Users</t>
  </si>
  <si>
    <t>Jade:</t>
  </si>
  <si>
    <t>Dark Gray:</t>
  </si>
  <si>
    <t>OR</t>
  </si>
  <si>
    <t>Dark Gray/blue:</t>
  </si>
  <si>
    <t>Hex #00A86B</t>
  </si>
  <si>
    <t>Hex #262626</t>
  </si>
  <si>
    <t>Hex #404F64</t>
  </si>
  <si>
    <t>RGB 0, 168, 107</t>
  </si>
  <si>
    <t>RGB 38, 38, 38</t>
  </si>
  <si>
    <t>RGB 64, 79, 100</t>
  </si>
  <si>
    <t>CMYK 100, 0, 36, 34</t>
  </si>
  <si>
    <t>Workshop</t>
  </si>
  <si>
    <t>Consultation</t>
  </si>
  <si>
    <t>90, 715</t>
  </si>
  <si>
    <t>1015-002</t>
  </si>
  <si>
    <t>Kathryn (Katie) Thomas</t>
  </si>
  <si>
    <t>Michael (Mike) Chanov</t>
  </si>
  <si>
    <t>Joshua (Josh) Arnie</t>
  </si>
  <si>
    <t>Eurofins EAG Agroscience Services</t>
  </si>
  <si>
    <t>Harris Industrial Testing Service Ltd. (HITS)</t>
  </si>
  <si>
    <t>Institut National de la Recherche Scientifique (INRS) - Eau Terre Environnement (ETE), Quebec, QC</t>
  </si>
  <si>
    <t>Victoria (Tori) Carleton</t>
  </si>
  <si>
    <t>Michael (Mike) Schulz</t>
  </si>
  <si>
    <t>Markus Hecker</t>
  </si>
  <si>
    <t>Michael (Mike) Phillips</t>
  </si>
  <si>
    <t>Vichaya Charoensuk</t>
  </si>
  <si>
    <t>Charles (Chuck) Hopper</t>
  </si>
  <si>
    <t>Emilie Spasov</t>
  </si>
  <si>
    <t>Timothy (Tim) Tse</t>
  </si>
  <si>
    <t>Audrey Moore</t>
  </si>
  <si>
    <t>Michael Paterson</t>
  </si>
  <si>
    <t>Wendy Pearson</t>
  </si>
  <si>
    <t>Daniel (Dan) Lefebvre</t>
  </si>
  <si>
    <t>Université de Pau et des Pays de l’Adour (UPPA) - IPREM</t>
  </si>
  <si>
    <t>Rassim Khelifa</t>
  </si>
  <si>
    <t>Joey Bernhardt</t>
  </si>
  <si>
    <t>James Weaver</t>
  </si>
  <si>
    <t>Christopher (Chris) Thomas DeGroot</t>
  </si>
  <si>
    <t>Guido van Marle</t>
  </si>
  <si>
    <t>Booodhwani Residence</t>
  </si>
  <si>
    <t>McGill University, Sainte-Anne-de-Bellevue</t>
  </si>
  <si>
    <t>Natural Research Council of Canada</t>
  </si>
  <si>
    <t>Ontario Ministry of the Environment</t>
  </si>
  <si>
    <t>Hygiene-Institut des Ruhrgebiets</t>
  </si>
  <si>
    <t>CUSTOMER</t>
  </si>
  <si>
    <t>NEW Customer</t>
  </si>
  <si>
    <t># of
strains</t>
  </si>
  <si>
    <t>mL of Culture</t>
  </si>
  <si>
    <t>Type of Concentrate/
Stock/Plates</t>
  </si>
  <si>
    <t>mL of Concentrate/Stock/Plates</t>
  </si>
  <si>
    <t>Price for Concentrate/
Stock</t>
  </si>
  <si>
    <t>Price for Special Services</t>
  </si>
  <si>
    <t>Customer P.O. #</t>
  </si>
  <si>
    <t>Customer # Requested</t>
  </si>
  <si>
    <t>Additional Comments</t>
  </si>
  <si>
    <t>SAFE-DEPOSIT:</t>
  </si>
  <si>
    <t>James Weaver/ Sandra Renaud, CIL Canada, Montreal QC
(contact in May 2025)</t>
  </si>
  <si>
    <t>cryostorage</t>
  </si>
  <si>
    <t>safe-deposit May '23-Apr'24 (49 x $15/year)</t>
  </si>
  <si>
    <t>email invoice to Caroline Araguas at: caroline.a@isotopecanada.com
NOTE: email address will need to be changed for next year to caraguas@isotope.com!</t>
  </si>
  <si>
    <t>Arthur Zastepa, ECCC (WHERD), Burlington ON
(Year 3 of 3 invoice due Mar 31/25)</t>
  </si>
  <si>
    <t>safe-deposit @ $150 x5 for April 1, 2025 - March 31, 2026; reduced transfer frequency</t>
  </si>
  <si>
    <t>Invoice for Year 3 of 3
(This payment will be good until Mar 31, 2026! Year 1 of 3: invoice due Sep 29/23; Year 2 of 3: invoice due Mar 31/24; Year 3 of 3: invoice due Mar 31/25)
email invoice to Accounts Payable at: servicesfadrhebh-wherdfaservices@ec.gc.ca</t>
  </si>
  <si>
    <t>ANNUAL ORDERS:</t>
  </si>
  <si>
    <t xml:space="preserve">Carlos Cruz/Jianguo (Jack) Hu or Rosa di Leo or Viviana Astudillo-Clavijo for Rowan Sage, U of Toronto (for EEB268), Toronto ON </t>
  </si>
  <si>
    <t>422 (500 mL); 64, 67, 124, 158, 169, 243, 365, 422, 692, 712 (25 mL)</t>
  </si>
  <si>
    <t>culture @ $220; cultures @ $90 x10 (25-30 mL)</t>
  </si>
  <si>
    <t>picked up by JH</t>
  </si>
  <si>
    <t>for EEB 268
email invoice to Robbie Brar/Jianguo Hu at: eeb.reception@utoronto.ca
Notes: CPCC 64 &amp; CPCC 67 were prepared on Jun 27/22 &amp; topped up on Aug 11/22; CPCC 422 was prepared on Jun 29/22 &amp; scaled up plus small volume on Aug 11/22 - timing was fine; CPCC 158 &amp; CPCC 169 &amp; CPCC 365 were prepared on Jul 14/22 and grew well; CPCC 692 &amp; CPCC 712 were also prepared on Jul 14/22 but this was too early for CPCC 692 and CPCC 712 did not multiply at all; CPCC 124 &amp; CPCC 243 were prepared on Aug 11/22 and grew well.</t>
  </si>
  <si>
    <t>EQUIPMENT RENTAL:</t>
  </si>
  <si>
    <t>Monica Emelko/??, U Waterloo, Waterloo, ON</t>
  </si>
  <si>
    <t>chamber rental @ $30/month from May 1/22 to Apr 30/23</t>
  </si>
  <si>
    <t>internal debit memo given to Monica Emelko on Mmm dd/yy; returned on Mmm dd/yy; given to Lucy Satora on Mmm dd/yy; credited to our account on Mmm dd/yy</t>
  </si>
  <si>
    <t>POTENTIAL WORKSHOPS ON HOLD:</t>
  </si>
  <si>
    <t>Marie-Claude Bourbain, Merinov (non-profit), Grande-Riviere, Gaspesie, QC (CG)</t>
  </si>
  <si>
    <t>Syeda Amna Batool, University of Narowal, Pakistan (IA)</t>
  </si>
  <si>
    <t>Daniel Shibu, Aqua Bridge, Dubai, India (IC?)</t>
  </si>
  <si>
    <t>Sarangi Athukorala, University of Peradeniya, Sri Lanka (IA)</t>
  </si>
  <si>
    <t>ORDERS ON SHORT-TERM HOLD:</t>
  </si>
  <si>
    <t>ORDERS ON LONG-TERM HOLD (SHOULD THEY BE CANCELLED?):</t>
  </si>
  <si>
    <t>Angela Talbot, Syngenta/ChemQuest, Bracknell, Berkshire, UK</t>
  </si>
  <si>
    <t>490 (slant x3)</t>
  </si>
  <si>
    <t>8701048575
(CQ88177)</t>
  </si>
  <si>
    <t>Apr 01/19</t>
  </si>
  <si>
    <t>xxxxxxxx / FedEx Intl Prior #xxxxxxxxxxx</t>
  </si>
  <si>
    <t>ship by FedEx collect using their account # 193085954 for both shipping and Customs plus reference P.O. and CQ # (add $5 Handling Fee for Collect shipment)
email invoice to Accounts Payable at: accounts@chemquest.co.uk</t>
  </si>
  <si>
    <t>Fiona Callaghan, Syngenta/ChemQuest, Bracknell, Berkshire UK</t>
  </si>
  <si>
    <t>8700952773
(CQ84248)</t>
  </si>
  <si>
    <t>Daniel Hill, Scymaris, Brixham, Devon, UK</t>
  </si>
  <si>
    <t>310 (slant)</t>
  </si>
  <si>
    <t>culture @ $180</t>
  </si>
  <si>
    <t>BXM1082</t>
  </si>
  <si>
    <t>Feb 04/19</t>
  </si>
  <si>
    <t>use UW FedEx account + round up to nearest $5 increment ($82.96)
email invoice to Accounts Payable/Daniel Hill at: accounts@scymaris.com
uses a P.O. #</t>
  </si>
  <si>
    <t>Robert Dickinson, Agrochemex Environmental, Manningtree, Essex  UK</t>
  </si>
  <si>
    <t>552 (liquid - xx mL sent at no extra charge)</t>
  </si>
  <si>
    <t>PO-20-252</t>
  </si>
  <si>
    <t>Jul 13 or 20?</t>
  </si>
  <si>
    <t>Alexander (Alex) Khawja</t>
  </si>
  <si>
    <t>1041-002</t>
  </si>
  <si>
    <t>1064-001</t>
  </si>
  <si>
    <t>Biological Training Lead; Works with Kate Brown</t>
  </si>
  <si>
    <t>1073-002</t>
  </si>
  <si>
    <t>Western U (UWO)</t>
  </si>
  <si>
    <t>1045-002</t>
  </si>
  <si>
    <t>Associate Professor</t>
  </si>
  <si>
    <t>1083-001</t>
  </si>
  <si>
    <t>Birget Moe</t>
  </si>
  <si>
    <t>Birget</t>
  </si>
  <si>
    <t>PhD/Research Associate;
Supervisor: Vichaya Charoensuk</t>
  </si>
  <si>
    <t>2500 University Drive NW</t>
  </si>
  <si>
    <t>HM-B19, HMRB, ACFT</t>
  </si>
  <si>
    <t>780-983-8730</t>
  </si>
  <si>
    <t>bkmoe@ucalgary.ca</t>
  </si>
  <si>
    <t>1078-001</t>
  </si>
  <si>
    <r>
      <rPr>
        <b/>
        <sz val="10"/>
        <color rgb="FFFF0000"/>
        <rFont val="Arial"/>
        <family val="2"/>
      </rPr>
      <t>pick up or ship via Purolator/FedEx!
reference Carlos Cruz and EEB240 on invoice OR
Put " BIO220" in the Ref line and footnote indicating that "Charges are for course BIO220 (eutrophication exercise)"
email invoice to Robbie Brar/Carlos Cruz at: e</t>
    </r>
    <r>
      <rPr>
        <b/>
        <sz val="10"/>
        <color indexed="10"/>
        <rFont val="Arial"/>
        <family val="2"/>
      </rPr>
      <t>eb.reception@utoronto.ca</t>
    </r>
  </si>
  <si>
    <t>1008-002</t>
  </si>
  <si>
    <t>Catherine (Kate) Brown</t>
  </si>
  <si>
    <t>Supervisor: Amanda Weiler</t>
  </si>
  <si>
    <t>Physical Scientist &amp; Acting Toxicology Supervisor</t>
  </si>
  <si>
    <t>443 Universite Ave</t>
  </si>
  <si>
    <t>506-800-1784</t>
  </si>
  <si>
    <t>charles.hopper@ec.gc.ca</t>
  </si>
  <si>
    <t>Charles (Chuck) Hopper (Physical Scientist &amp; Acting Toxicology Supervisor), Environment and Climate Change Canada (ECCC), Atlantic Laboratory for Environmental Testing (ALET), Atlantic Environmental Science Centre (AESC), Toxicology Lab, 443 Universite Avenue, Moncton, NB  E1A 3E9
Tel: 506-800-1784; Fax: 506-851-6608; Email: charles.hopper@ec.gc.ca</t>
  </si>
  <si>
    <t>Environment and Climate Change Canada - Environmental Science Centre, P.O. Box 23005, Moncton, NB   E1A 6S8; Attn: Charles (Chuck) Hopper, Tel: 506-800-1784, Email: charles.hopper@ec.gc.ca</t>
  </si>
  <si>
    <t>Provide taxonomic certificates
Email invoice to Chuck Hopper at: charles.hopper@ec.gc.ca</t>
  </si>
  <si>
    <t>Head, Ecotoxicology Laboratory</t>
  </si>
  <si>
    <r>
      <t xml:space="preserve">Provide taxonomic certificate
Email invoice to Christina Heise at: Christina.Heise@ec.gc.ca
</t>
    </r>
    <r>
      <rPr>
        <b/>
        <strike/>
        <sz val="10"/>
        <color rgb="FFFF0000"/>
        <rFont val="Arial"/>
        <family val="2"/>
      </rPr>
      <t>Invoices are currently being mailed via Canada Post to Attn: Christina Heise</t>
    </r>
  </si>
  <si>
    <t>Institut National de la Recherche Scientifique (INRS) - Eau Terre Environnement (ETE)</t>
  </si>
  <si>
    <t>INRS - ETE</t>
  </si>
  <si>
    <t>Christophe Langevin (Supervisor: Jerome Comte), Institut National de la Recherche Scientifique, Eau Terre Environnement (INRS- ETE), 490 rue de la Couronne, Quebec, QC G1K 9A9
Tel: 438-822-1851; Email; Christophe.Langevin@inrs.ca
(INRS is part of Universite du Quebec)</t>
  </si>
  <si>
    <t>1021-002</t>
  </si>
  <si>
    <t>Claude Fortin, Institut National de la Recherche Scientifique, Eau Terre Environnement (INRS- ETE), 490 rue de la Couronne, Quebec, QC G1K 9A9
Tel: 418-654-3770; Fax: 418-654-2600; Email: claude.fortin@ete.inrs.ca
(INRS is part of Universite du Quebec)</t>
  </si>
  <si>
    <t>1063-001</t>
  </si>
  <si>
    <t>1058-001</t>
  </si>
  <si>
    <t>1017-002</t>
  </si>
  <si>
    <t>Ship via Purolator Express
Email invoice to Accounts Payable at: servicesfadrhebh-wherdfaservices@ec.gc.ca with Attn: David Depew (David.Depew@canada.ca) and External Ref "David Depew - AC"</t>
  </si>
  <si>
    <t>1034-003</t>
  </si>
  <si>
    <t>Professor</t>
  </si>
  <si>
    <t>Katherine Raes, University of Saskatchewan, Toxicology Centre, 44 Campus Drive, Saskatoon, SK S7N 5B3
Office: 306-966-2795, Cell: 306-850-4100, Main Office: 306-966-7441; Email: katherine.raes@usask.ca, Alternate email: kar425@mail.usask.ca
FOR: David Janz (Department of Veterinary Biomedical Sciences); Tel: 306-966-7434; Email: david.janz@usask.ca</t>
  </si>
  <si>
    <t>Email invoice to Katherine Raes (Toxicology Centre) at: connectionpoint@usask.ca with reference to David Janz
Purchaser: Katherine Raes</t>
  </si>
  <si>
    <t>1084-001</t>
  </si>
  <si>
    <t>1060-001</t>
  </si>
  <si>
    <t>1025-002</t>
  </si>
  <si>
    <r>
      <t xml:space="preserve">uses a PO#
ship via Purolator
email invoice to Accounts Payable at: accounting@nautilusenvironmental.ca
</t>
    </r>
    <r>
      <rPr>
        <b/>
        <strike/>
        <sz val="10"/>
        <color rgb="FFFF0000"/>
        <rFont val="Arial"/>
        <family val="2"/>
      </rPr>
      <t>email invoice to Accounts Payable/Katherine Martens at: abaccounts@nautilusenvironmental.ca
email invoice to Accounts Payable at: admin@pollutechgroup.com</t>
    </r>
  </si>
  <si>
    <t>Supervisor – Fish Health, Toxicology, Taxonomy &amp; Biodiversity</t>
  </si>
  <si>
    <t>Ellen Fanning (Supervisor – Fish Health, Toxicology, Taxonomy &amp; Biodiversity), Huntsman Marine Science Centre, Aquatic Services Department, 1 Lower Campus Road, Saint Andrews, NB  E5B 2L7
Tel: 506-529-1200; Email: ellen.fanning@huntsmanmarine.ca
Purchaser Contact Info: Purchasing; Tel: 506-529-1260; Fax: 506-529-1212; Email: purchasing@huntsmanmarine.ca</t>
  </si>
  <si>
    <r>
      <t xml:space="preserve">Uses a PO
Email invoice to Accounts Payable at: accounting@huntsmanmarine.ca and reference Ellen Fanning (Need to request that UWaterloo Finance unpark this customer before use and then notify them when they can park them again.)
</t>
    </r>
    <r>
      <rPr>
        <b/>
        <strike/>
        <sz val="10"/>
        <color rgb="FFFF0000"/>
        <rFont val="Arial"/>
        <family val="2"/>
      </rPr>
      <t>Email invoice to Debbie Voutt at: debbie.voutt@huntsmanmarine.ca</t>
    </r>
  </si>
  <si>
    <t>Elyse Jacqueline Walk Batista</t>
  </si>
  <si>
    <t>Supervisor: Monica Emelko (previously was Kirsten Muller</t>
  </si>
  <si>
    <t>1037-007</t>
  </si>
  <si>
    <t>Emilie</t>
  </si>
  <si>
    <t>Laboratory Technician</t>
  </si>
  <si>
    <t>Biology, B2-147</t>
  </si>
  <si>
    <t>519-888-4567 x 36420</t>
  </si>
  <si>
    <t>espasov@uwaterloo.ca</t>
  </si>
  <si>
    <t>Emilie Spasov, University of Waterloo, Biology Department, B2-147, 200 University Ave W, Waterloo, ON N2L 3G1
Tel: 519-888-4567 x 36420; Fax: 519-746-0614; Email: espasov@uwaterloo.ca</t>
  </si>
  <si>
    <t>internal supply exchange</t>
  </si>
  <si>
    <t>Services provided to another Operating account within Biology, therefore, a supply exchange will be arranged in the amount of $xxx (50% of the regular non-profit pricing).</t>
  </si>
  <si>
    <t>Christophe Langevin/Jerome Comte, Institut National de la Recherche Scientifique, Eau Terre Environnement (INRS- ETE), 490 rue de la Couronne, Quebec, QC G1K 9A9 
Tel: 438-822-1851 (Christophe), 418-654-2591 (Jerome); Email: Christophe.Langevin@inrs.ca (Christophe), jerome.comte@inrs.ca (Jerome)
FOR: Emily Hallett (Supervisor: Jerome Comte), Tel: 815-262-4805; Email: Emily.Hallett@inrs.ca
(INRS is part of Universite du Quebec)</t>
  </si>
  <si>
    <t>1057-001</t>
  </si>
  <si>
    <t>1054-002</t>
  </si>
  <si>
    <t>1065-002</t>
  </si>
  <si>
    <t>Ian Alford-Archibald</t>
  </si>
  <si>
    <t>Biology Teacher; Works with Shane MacLeod</t>
  </si>
  <si>
    <t>Dartmouth H.S.</t>
  </si>
  <si>
    <t>95 Victoria Rd Ext</t>
  </si>
  <si>
    <t>Science Dept</t>
  </si>
  <si>
    <t>B3A 1V2</t>
  </si>
  <si>
    <t>902-471-5508</t>
  </si>
  <si>
    <t>ian.alford-archibald@gnspes.ca</t>
  </si>
  <si>
    <t>Shane MacLeod (Science Department Head &amp; Physics Teacher), Dartmouth High School, Science Department, 95 Victoria Road Ext, Dartmouth, NS, B3A 1V2
Tel: 902-464-2457x4001211; Email: macleodg@hrce.ca
FOR: Ian Alford-Archibald (Biology Teacher); Tel: 902-471-5508; Email: ian.alford-archibald@gnspes.ca</t>
  </si>
  <si>
    <t>Dartmouth H.S.,  95 Victoria Rd., Dartmouth, NS  B3A 1V2; Email: dhs@hrce.ca</t>
  </si>
  <si>
    <t>1085-001</t>
  </si>
  <si>
    <t>1025-003</t>
  </si>
  <si>
    <t>Senior Biologist &amp; Testing Coordinator</t>
  </si>
  <si>
    <t>Supervisor: Dirk Wallschläger</t>
  </si>
  <si>
    <t>1059-001</t>
  </si>
  <si>
    <t>1074-001</t>
  </si>
  <si>
    <t>Senior Analyst - Environmental</t>
  </si>
  <si>
    <t>Winnipeg Receiving Department, ALS Environmental - Winnipeg, Unit 12 - 1329 Niakwa Rd E., Winnipeg, MB  R2J 3T4
FOR: Jeremy Byrnes (Senior Analyst - Environmental); Winnipeg lab = 204-255-9720; Fax: Winnipeg = 204-255-9721; Email: Jeremy.Byrnes@ALSGlobal.com
(Purchaser: Amber Chang; Tel: O: 604 984 0221, D: 604 998 5319; Email: amber.chang@alsglobal.com OR  Amelie de Champs; O: +1 604 984 0221, D: +1 778 403 6549; Email: amelie.dechamps@alsglobal.com; General Purchasing Email: alsorders@alsglobal.com)</t>
  </si>
  <si>
    <r>
      <t xml:space="preserve">Accounts Payable, ALS Laboratory Group, 2103 Dollarton Hwy, North Vancouver, BC  V7H 0A7; Tel: 604-984-0221, Fax: 604-998-1548, Email: acctspayable.canusa@alsglobal.com (Purchaser contact info = General (alsorders@alsglobal.com); Ferial Hayfa (Ferial.Hayfa@ALSGlobal.com); Darrell Becker (Darrell.Becker@alsglobal.com); Neda Nouri (neda.nouri@ALSGlobal.com); Nina Li (nina.li@ALSGlobal.com); Amber Chang (amber.chang@alsglobal.com); Amelie de Champs (amelie.dechamps@alsglobal.com))
</t>
    </r>
    <r>
      <rPr>
        <strike/>
        <sz val="10"/>
        <rFont val="Arial"/>
        <family val="2"/>
      </rPr>
      <t>Email: ALSWP.AcctsPay@alsglobal.com</t>
    </r>
  </si>
  <si>
    <r>
      <t xml:space="preserve">Provide taxonomic certificates
Uses a PO#; email invoice to Accounts Payable at: acctspayable.canusa@alsglobal.com
</t>
    </r>
    <r>
      <rPr>
        <b/>
        <strike/>
        <sz val="10"/>
        <color rgb="FFFF0000"/>
        <rFont val="Arial"/>
        <family val="2"/>
      </rPr>
      <t>email invoice to Accounts Payable at: ALSWP.AcctsPay@alsglobal.com</t>
    </r>
  </si>
  <si>
    <t>Jerome Comte, Institut National de la Recherche Scientifique, Eau Terre Environnement (INRS- ETE), 490 rue de la Couronne, Quebec, QC G1K 9A9
Tel: 418-654-2591; Email: jerome.comte@inrs.ca
(INRS is part of Universite du Quebec)</t>
  </si>
  <si>
    <t>Technician 
Supervisor: Carlos Cruz</t>
  </si>
  <si>
    <t>Joshua Arnie, Eurofins EAG Agroscience Services, 8598 Commerce Drive, Easton MD 21601 USA
Tel: 410-822-8600; Email: joshua.arnie@as.eurofinsus.com
(NOTE: Josh may put 8665 Brooks Drive, Easton, MD, 21601-7487, USA on the order request but it is the same facility with multiple buildings and mailing addresses)</t>
  </si>
  <si>
    <r>
      <t xml:space="preserve">Provide taxonomic certificates
Use UW FedEx account &amp; round up to nearest $5 increment + $25 Handling OR send collect with FedEx account # 134739452 for both shipping and Customs?
Use "Live cell cultures; research; non-haz." or "Lab algal cultures; research; non-haz." wording on shipping request
Email invoice to Mike Schuettpelz at: Michael.Schuettpelz@as.eurofinsus.com
Notify Mike Schuettpelz after invoice has been issued
</t>
    </r>
    <r>
      <rPr>
        <b/>
        <strike/>
        <sz val="10"/>
        <color rgb="FFFF0000"/>
        <rFont val="Arial"/>
        <family val="2"/>
      </rPr>
      <t>email invoice to Mike Schuettpelz at: michaelschuettpelz@eurofinsus.com</t>
    </r>
  </si>
  <si>
    <t>1037-002</t>
  </si>
  <si>
    <t>1029-002</t>
  </si>
  <si>
    <t>shipment cost $26.09 via UPS…OUCH! (but also used a pretty big box)
email invoice to Katherine Raes (Toxicology Centre) at: connectionpoint@usask.ca with request to forward it to Katherine Raes (katherine.raes@usask.ca)
Purchaser: Katherine Raes</t>
  </si>
  <si>
    <t>1072-001</t>
  </si>
  <si>
    <t>Research Assistant; Supervisor: Xuexiu Chang</t>
  </si>
  <si>
    <t>for GLIER Rm 131</t>
  </si>
  <si>
    <t>Xuexiu Chang, University of Windsor, Great Lakes Institute for Environmental Research (GLIER), Room 131, c/o Shipping and Receiving, 2601 Union Street, Windsor, ON  N9B 3P4
Tel: 519-253-3000 x4843; Email: xuexiu.chang@uwindsor.ca
FOR: Keira Harshaw (Research Assistant; Supervisor: Xuexiu Chang); Email: harshawk@uwindsor.ca</t>
  </si>
  <si>
    <t>1071-001</t>
  </si>
  <si>
    <t>1037-003</t>
  </si>
  <si>
    <t>Kim Racine (Professional asistant; Supervisor: Claude Fortin), Institut National de la Recherche Scientifique, Eau Terre Environnement (INRS- ETE), 490 rue de la Couronne, Quebec, QC G1K 9A9
Tel: 418-654-3766, Cell: 418-240-0175; Email: Kim.Racine@inrs.ca
(INRS is part of Universite du Quebec)</t>
  </si>
  <si>
    <t>1037-004</t>
  </si>
  <si>
    <t>Ship To Email: chemstores@utsc.utoronto.ca</t>
  </si>
  <si>
    <t>Marc Cadotte, University of Toronto Scarborough, Department of Biological Sciences, 1265 Military Trail, Toronto ON  M1C 1A4
Tel: 416-208-5105; Email: marc.cadotte@utoronto.ca (Ship To Email: chemstores@utsc.utoronto.ca)</t>
  </si>
  <si>
    <t>Ship via Purolator Express
Email invoice to Accounts Payable at: invoices@ucalgary.ca</t>
  </si>
  <si>
    <t>Professionnelle de recherche;
Supervisor: Roger C. Levesque</t>
  </si>
  <si>
    <t>Université Laval</t>
  </si>
  <si>
    <t>1030 avenue de la Médecine</t>
  </si>
  <si>
    <t>Pavillon CHM, Local 0147</t>
  </si>
  <si>
    <t>Laboratoire R C Levesque</t>
  </si>
  <si>
    <t>Irena Kukavica, Université Laval, Institut de biologie intégrative et des systèmes (IBIS), Pavillon Charles-Eugene-Marchand (CHM), Local 0147, Laboratoire R C Levesque, 1030 avenue de la Medecine, Quebec, QC, G1V 0A6; Tel: 418-656-2131 x404471; Email: kukavica@fmed.ulaval.ca
FOR: Marianne Potvin (Supervisor: Roger C. Levesque); Tel: 418-656-2131 x 404471; Email: Marianne.Potvin@qo.ulaval.ca</t>
  </si>
  <si>
    <t>Marie-Josée Lorrain, Conseil National de Recherches Canada (CNRC), 6100 Avenue Royalmount, Portes 6 &amp; 7, Entree Reception Marchandises, Montreal, QC  H4P 2R2 
Tel: 438-357-8050; Email: Marie-Josee.Lorrain@cnrc-nrc.gc.ca
(Purchaser: Luc Beliveau, Tel: 514-496-6108, Email: luc.beliveau@cnrc-nrc.gc.ca OR Stephane Lajoie, Tel: 514-496-6108, Fax: 514-496-6350, Email: Stephane.Lajoie@cnrc-nrc.gc.ca)
(Works with Sabine Dodard; Tel: 514-496-2663; Email: sabine.dodard@cnrc-nrc.gc.ca)</t>
  </si>
  <si>
    <t>1034-004</t>
  </si>
  <si>
    <t>306-966-5233
Main Office: 306-966-7441</t>
  </si>
  <si>
    <t>markus.hecker@usask.ca</t>
  </si>
  <si>
    <t>Katherine Raes, University of Saskatchewan, Toxicology Centre, 44 Campus Drive, Saskatoon, SK S7N 5B3
Office: 306-966-2795, Cell: 306-850-4100, Main Office: 306-966-7441; Email: katherine.raes@usask.ca, Alternate email: kar425@mail.usask.ca
FOR: Markus Hecker (School of Environment and Sustainability); Tel: 306-966-5233; Email: markus.hecker@usask.ca</t>
  </si>
  <si>
    <t>Email invoice to Katherine Raes (Toxicology Centre) at: connectionpoint@usask.ca with reference to Markus Hecker
Purchaser: Katherine Raes</t>
  </si>
  <si>
    <t>1077-001</t>
  </si>
  <si>
    <t>Project Manager/ Purchaser</t>
  </si>
  <si>
    <t>1065-001</t>
  </si>
  <si>
    <t>Research Assistant;
Supervisor: Jerome Comte</t>
  </si>
  <si>
    <t>Maude Pomerleau (Research Assistant for Jerome Comte), Institut National de la Recherche Scientifique, Eau Terre Environnement (INRS- ETE), 490 rue de la Couronne, Quebec, QC G1K 9A9
Tel: 418-654-3682; Email: Maude.Pomerleau@inrs.ca
(INRS is part of Universite du Quebec)</t>
  </si>
  <si>
    <t>1062-001</t>
  </si>
  <si>
    <t>Director, Ecotoxicity Laboratory</t>
  </si>
  <si>
    <t>Michael Chanov (Director, Ecotoxicity Laboratory), EA Engineering, Science and Technology, Inc., 231 Schilling Circle, Hunt Valley, MD  21031  USA
Tel: 410-584-7000 x 5120 or 410-329-5120; Email: mchanov@eaest.com</t>
  </si>
  <si>
    <t>1009-003</t>
  </si>
  <si>
    <t>Mireille</t>
  </si>
  <si>
    <t>Laboratory technician</t>
  </si>
  <si>
    <t>Biologie &amp; microbio (DBM)</t>
  </si>
  <si>
    <t>Ship To Email: dbm@environnement.gouv.qc.ca</t>
  </si>
  <si>
    <t>mireille.ratte@environnement.gouv.qc.ca</t>
  </si>
  <si>
    <t>Mireille Ratté, Centre d'Expertise en Analyse Environnementale du Quebec (CEAEQ), 2700 rue Einstein, Complexe scientifique (bur. B2.320), Division de biologie et microbiologie (DBM), Quebec QC G1P 3W8
(CEAEQ is a subsidiary of MELCC = Ministere de l'Environnement et de la lutte contre les changements climatiques)
Tel: 418-643-1301 x 243; Email: mireille.ratte@environnement.gouv.qc.ca; Ship To Email: dbm@environnement.gouv.qc.ca</t>
  </si>
  <si>
    <t>Attn: Comptes Payables, Centre d'Expertise en Analyse Environnementale du Quebec, Complexe scientifique, 2700 rue Einstein, Quebec, QC G1P 3W8; Email: ceaeq.admin@environnement.gouv.qc.ca</t>
  </si>
  <si>
    <t>Ship via Purolator Express; usually arrives next day but can sometimes take 2 days to arrive (10:30AM service doesn't speed up delivery) 
Uses a PO#; provide taxonomic certificates
Send invoice to Comptes Payables at: ceaeq.admin@environnement.gouv.qc.ca</t>
  </si>
  <si>
    <t>1056-001</t>
  </si>
  <si>
    <t>1037-006</t>
  </si>
  <si>
    <t>1037-005</t>
  </si>
  <si>
    <t>1082-001</t>
  </si>
  <si>
    <t>Maude Pomerleau, Institut National de la Recherche Scientifique, Eau Terre Environnement (INRS- ETE), 490 rue de la Couronne, Quebec, QC G1K 9A9 
Tel: 418-654-3682 ; Email: Maude.Pomerleau@inrs.ca
FOR: Naila Barbosa da Costa (Postdoc; Supervisor: Jerome Comte); Tel: Cell: 450-626-8553; Email: naila.costa@inrs.ca
(INRS is part of Universite du Quebec)</t>
  </si>
  <si>
    <t>1062-002</t>
  </si>
  <si>
    <t>1054-003</t>
  </si>
  <si>
    <t>Oyeboade (Oye) Adebayo</t>
  </si>
  <si>
    <t>1080-001</t>
  </si>
  <si>
    <t>1031-002</t>
  </si>
  <si>
    <t>1061-001</t>
  </si>
  <si>
    <t>1035-002</t>
  </si>
  <si>
    <t>25 Willcocks Street</t>
  </si>
  <si>
    <t>EEB Reception, ESC3055</t>
  </si>
  <si>
    <t>416-978-7660</t>
  </si>
  <si>
    <t>Rowan Sage, University of Toronto, Earth Science Centre, EEB Reception, ESC3055, 25 Willcocks Street, Toronto ON M5S 3B2
Tel: 416-978-7660; Email: r.sage@utoronto.ca</t>
  </si>
  <si>
    <t>Pick up or ship via Purolator/FedEx!
Reference Rowan Sage and "EEB 268 plant diversity course" on invoice
Email invoice to Robbie Brar/Rowan Sage at: eeb.reception@utoronto.ca</t>
  </si>
  <si>
    <t>1012-002</t>
  </si>
  <si>
    <t>1054-004</t>
  </si>
  <si>
    <t>1069-001</t>
  </si>
  <si>
    <t>Toronto (but Trevor changed it to Scarborough)</t>
  </si>
  <si>
    <t>Marc Cadotte, University of Toronto Scarborough, Department of Biological Sciences, 1265 Military Trail, Toronto ON  M1C 1A4
Tel: 416-208-5105; Email: marc.cadotte@utoronto.ca (Ship To Email: chemstores@utsc.utoronto.ca)
FOR: Shabnam Tejani (Supervisor: Marc Cadotte); Email: shabnam.tejani@mail.utoronto.ca</t>
  </si>
  <si>
    <t>Shane MacLeod</t>
  </si>
  <si>
    <t>Science Department Head/Physics Teacher; Works with Ian Alford-Archibald</t>
  </si>
  <si>
    <t>902-464-2457x4001211</t>
  </si>
  <si>
    <t>macleodg@hrce.ca</t>
  </si>
  <si>
    <t>1073-001</t>
  </si>
  <si>
    <t>Associate Professor - Biology</t>
  </si>
  <si>
    <t>Chem Bldg/Dock 11/Rm 003</t>
  </si>
  <si>
    <t>SciStores, CHB-CHEM</t>
  </si>
  <si>
    <t>519-661-3935</t>
  </si>
  <si>
    <t>Sheila Macfie (Associate Professor - Biology), Western University, Science Stores, Chemistry Building, Dock 11, Rm 003, ShipTo Address Code: CHB-CHEM, 1151 Richmond Street, London, ON  N6A 5B7
Tel: 519-661-2111 x 86487; Fax: 519-661-3935; Email: smacfie@uwo.ca
(Shipping Attn: Sheila Macfie (P.O. #: xxxxxx))
(Purchaser: Monica Chirigel (Tel: 519-661-2111 x 82168; Email: mklein8@uwo.ca) OR Yuhua Chen (Tel: 519-661-2168 x 82168; Email: ychen375@uwo.ca); Science Stores Email: chemstor@uwo.ca)</t>
  </si>
  <si>
    <t>PO invoice = email invoice to Accounts Payable at: apinvoice@uwo.ca  for Sheila Macfie (Biology)</t>
  </si>
  <si>
    <t>Simon Maturana</t>
  </si>
  <si>
    <t>MSc student; Supervisor: Dr. Sheila Macfie</t>
  </si>
  <si>
    <t>647-550-9863</t>
  </si>
  <si>
    <t>smatura@uwo.ca</t>
  </si>
  <si>
    <t>Sheila Macfie (Associate Professor - Biology), Western University, Science Stores, Chemistry Building, Dock 11, Rm 003, ShipTo Address Code: CHB-CHEM, 1151 Richmond Street, London, ON  N6A 5B7
Tel: 519-661-2111 x 86487; Fax: 519-661-3935; Email: smacfie@uwo.ca
FOR: Simon Maturana; Tel: 647-550-9863; Email: smatura@uwo.ca
(Shipping Attn: Sheila Macfie (P.O. #: xxxxxx))
(Purchaser: Monica Chirigel (Tel: 519-661-2111 x 82168; Email: mklein8@uwo.ca) OR Yuhua Chen (Tel: 519-661-2168 x 82168; Email: ychen375@uwo.ca); Science Stores Email: chemstor@uwo.ca)</t>
  </si>
  <si>
    <t>PO invoice = email invoice to Accounts Payable at: apinvoice@uwo.ca for Sheila Macfie/Simon Maturana (Biology)</t>
  </si>
  <si>
    <t>1075-001</t>
  </si>
  <si>
    <t>1076-001</t>
  </si>
  <si>
    <t>1042-002</t>
  </si>
  <si>
    <t>Vichaya</t>
  </si>
  <si>
    <t>Bioassay Lab Manager</t>
  </si>
  <si>
    <t>403-220-3043</t>
  </si>
  <si>
    <t>vcharoen@ucalgary.ca</t>
  </si>
  <si>
    <t>Viviana Astudillo-Clavijo</t>
  </si>
  <si>
    <t>Viviana</t>
  </si>
  <si>
    <t>Lab Technician, Teaching Labs (Supervisor: Rowan Sage)</t>
  </si>
  <si>
    <t>viviana.astudillo@utoronto.ca</t>
  </si>
  <si>
    <t>Rowan Sage/Viviana Astudillo-Clavijo, University of Toronto, 25 Harbord Street, Department of Ecology &amp; Evolutionary Biology (EEB), Ramsay Wright Building?, RW137?, Toronto ON M5S 3G5
Tel: 416-978-7660; Email: r.sage@utoronto.ca
SHIP TO CSB reception at: University of Toronto, 25 Harbord Street, Room 401, Department of Ecology &amp; Evolutionary Biology (EEB), Toronto, ON  M5S 3G5
OR EEB reception at: University of Toronto, Earth Science Centre, EEB Reception, ESC3055, 25 Willcocks Street, Toronto ON M5S 3B2</t>
  </si>
  <si>
    <r>
      <rPr>
        <b/>
        <sz val="10"/>
        <color rgb="FFFF0000"/>
        <rFont val="Arial"/>
        <family val="2"/>
      </rPr>
      <t>Pick up or ship via Purolator/FedEx!
Reference Rowan Sage and "EEB268 plant diversity course" on invoice
Email invoice to Robbie Brar/Viviana Astudillo-Clavijo at: e</t>
    </r>
    <r>
      <rPr>
        <b/>
        <sz val="10"/>
        <color indexed="10"/>
        <rFont val="Arial"/>
        <family val="2"/>
      </rPr>
      <t>eb.reception@utoronto.ca</t>
    </r>
  </si>
  <si>
    <t>1033-003</t>
  </si>
  <si>
    <t>519-824-4120 x53652</t>
  </si>
  <si>
    <t>wpearson@uoguelph.ca</t>
  </si>
  <si>
    <t>Wendy Pearson (Associate Professor), University of Guelph, Department of Animal Biosciences, 50 Stone Road East, Guelph, ON  N1G 2W1
Tel: 519-824-4120 x53652; Email: wpearson@uoguelph.ca</t>
  </si>
  <si>
    <t>Accounts Payable, University of Guelph, 50 Stone Road E, Guelph ON N1G 2W1; Email: acctspay@uoguelph.ca (Purchaser?)
OR
Selected BioProducts Inc., 127 Seventh Concession, Harley, ON, N0E 1E0; Tel: 519-837-7898; Email: ralph@horseherbs.com (Note: Although Wendy's student Nadia is a PhD student at U of Guelph, her workshop training was being paid by Ralph Robinson, owner of Selected Bioproducts Inc./Herbs for Horses; Website: https://www.horseherbs.com/.)</t>
  </si>
  <si>
    <t>email invoice to Accounts Payable at: acctspay@uoguelph.ca and reference the purchaser, department, and PO #
OR
small company w/o funding and student is at U of Guelph so offered mid-way price between CA and external midway
email invoice to Ralph Robinson at: ralph@horseherbs.com
remember to charge 13% HST for the workshop!</t>
  </si>
  <si>
    <t>103794
OR
110688</t>
  </si>
  <si>
    <t>1079-001</t>
  </si>
  <si>
    <t>Xuexiu Chang, University of Windsor, Great Lakes Institute for Environmental Research (GLIER), Room 131, c/o Shipping and Receiving, 2601 Union Street, Windsor, ON  N9B 3P4
Tel: 519-253-3000 x4843; Email: xuexiu.chang@uwindsor.ca</t>
  </si>
  <si>
    <t>1081-001</t>
  </si>
  <si>
    <t>1005-002</t>
  </si>
  <si>
    <t>Beria Lima de Rodriguez, Bureau Veritas Laboratories, 889 Montee de Liesse, Ville Saint-Laurent, QC  H4T 1P5
Tel: 514-448-9001; Fax: 514-448-9199; Email: beria.limaderodriguez@bureauveritas.com
(Director: Asif Alli - contact him at 514-347-5900 or asif.alli@bureauveritas.com for administrative services such as PO#)
(Orders placed by Purchasing agents when using a PO #: Eden-Grace Valenzuela (Tel: 514-448-9001 x 6223; Email: EValenzuela@maxxam.ca) or Voula (Stavroula) Koumoutsakis (Tel: 514 448 9001 x 7066219; Email: stavroula.koumoutsakis@bureauveritas.com) or Sonia Jimenez (Tel: 514-448-9001 x 7066449; Email: canadaprocurement@bureauveritas.com) or Ankitesh Kumar Singh; Email: ankitesh-kumar.singh@bureauveritas.com or Drishti Singh; Email: drishti.singh@bureauveritas.com)</t>
  </si>
  <si>
    <t>Ship via Purolator Express; usually arrives next day but can sometimes take 2 days to arrive (10:30AM service doesn't speed up delivery) 
Email invoice to Accounts Payable at: AP.865.INV.SUBMIT@bureauveritas.com (for Chelsea Blake (Quebec City Lab); Purchaser: Ankitesh Kumar Singh; Email: ankitesh-kumar.singh@bureauveritas.com)</t>
  </si>
  <si>
    <t>1086-001</t>
  </si>
  <si>
    <t>Rassim</t>
  </si>
  <si>
    <t>Assistant Professor</t>
  </si>
  <si>
    <t>Concordia U</t>
  </si>
  <si>
    <t>7141 Sherbrooke St. W</t>
  </si>
  <si>
    <t>Biology, SP_445.05</t>
  </si>
  <si>
    <t>H4B 1R6</t>
  </si>
  <si>
    <t>438-455-2499</t>
  </si>
  <si>
    <t>rassim.khelifa@concordia.ca</t>
  </si>
  <si>
    <t>Rassim Khelifa (Assistant Professor), Concordia University, 7141 Sherbrooke Street West, Biology Department, Room SP_445.05, Montreal, QC  H4B 1R6
Tel: 438-455-2499; Email: rassim.khelifa@concordia.ca</t>
  </si>
  <si>
    <t>Concordia University, Accounts Payable, 1455 de Maisonneuve Blvd W, Montreal, QC  H3G 1M8; Email: poinvoices@concordia.ca</t>
  </si>
  <si>
    <t>1033-004</t>
  </si>
  <si>
    <t>PhD, Assistant Professor</t>
  </si>
  <si>
    <t>Integrative Bio, SSC 2408</t>
  </si>
  <si>
    <t>519-824-4120 x55820
Cell: 604-355-0653</t>
  </si>
  <si>
    <t>joey.bernhardt@uoguelph.ca</t>
  </si>
  <si>
    <t>Joey Bernhardt (PhD, Assistant Professor), University of Guelph, College of Biological Science (CBS), Integrative Biology, Summerlee Science Complex Room 2408 (SSC 2408), 50 Stone Road East, Guelph ON  N1G 2W1
Tel: 519-824-4120 x55820; Cell: 604-355-0653; Email: joey.bernhardt@uoguelph.ca</t>
  </si>
  <si>
    <t>Accounts Payable, University of Guelph, 50 Stone Road E, Guelph ON N1G 2W1; Email: acctspay@uoguelph.ca (College of Biological Science, Purchasing Manager: Nora Teri, Tel: 519-824-4120 x52774, Personal Email: nteri@uoguelph.ca; Other Purchasers: Russell Hamley; Email: cbsclerk@uoguelph.ca)</t>
  </si>
  <si>
    <t>Ijeoma Nwafor</t>
  </si>
  <si>
    <t>Ijeoma</t>
  </si>
  <si>
    <t>Supervisor: Joey Bernhardt</t>
  </si>
  <si>
    <t>inwafor@uoguelph.ca</t>
  </si>
  <si>
    <t>Joey Bernhardt (PhD, Assistant Professor), University of Guelph, College of Biological Science (CBS), Integrative Biology, Summerlee Science Complex Room 2408 (SSC 2408), 50 Stone Road East, Guelph ON  N1G 2W1
Tel: 519-824-4120 x55820; Cell: 604-355-0653; Email: joey.bernhardt@uoguelph.ca
FOR: Ijeoma Nwafor (Supervisor: Joey Bernhardt); Email: inwafor@uoguelph.ca</t>
  </si>
  <si>
    <t>Lison Hache</t>
  </si>
  <si>
    <t>Senior Laboratory Technologist</t>
  </si>
  <si>
    <t>506-800-2079
Cell: 506-252-1971</t>
  </si>
  <si>
    <t>Lison.Hache@ec.gc.ca</t>
  </si>
  <si>
    <t>To: Charles (Chuck) Hopper (Physical Scientist &amp; Acting Toxicology Supervisor), Environment and Climate Change Canada (ECCC), Atlantic Laboratory for Environmental Testing (ALET), Atlantic Environmental Science Centre (AESC), Toxicology Lab, 443 Universite Avenue, Moncton, NB  E1A 3E9
Tel: 506-800-1784; Fax: 506-851-6608; Email: charles.hopper@ec.gc.ca
FOR: Lison Hache (Senior Laboratory Technologist); Tel: 506-800-2079; Cell: 506-252-1971; Email: Lison.Hache@ec.gc.ca</t>
  </si>
  <si>
    <t>Ran Yang</t>
  </si>
  <si>
    <t>Ran</t>
  </si>
  <si>
    <t>Visiting Scholar; Supervisor: Xuexiu Chang</t>
  </si>
  <si>
    <t>for GLIER Rm 249B</t>
  </si>
  <si>
    <t>ranyang@uwindsor.ca</t>
  </si>
  <si>
    <t xml:space="preserve">To: Mary Lou Scratch (Secretary to the Executive Director), University of Windsor, Great Lakes Institute for Environmental Research (GLIER), Room 247A/249B, c/o Shipping and Receiving, 2601 Union Street, Windsor, ON  N9B 3P4
Tel: 519-253-3000 x2732; Fax: 519-971-3616; Email: mscratch@uwindsor.ca
FOR: Ran Yang (Visiting Scholar; Email: ranyang@uwindsor.ca); Supervisor: Xuexiu Chang (Email: xuexiu.chang@uwindsor.ca) </t>
  </si>
  <si>
    <t>1007-002</t>
  </si>
  <si>
    <t>514-723-0858 x222</t>
  </si>
  <si>
    <t xml:space="preserve">Jweaver@isotope.com </t>
  </si>
  <si>
    <t>Caroline Araguas, Cambridge Isotope Laboratories Canada, 331 Rue Deslauriers, St-Laurent, QC  H4N 1W2; Tel: 514-723-0858 x225, Fax: 514-723-2275, Email: caroline.a@isotopecanada.com</t>
  </si>
  <si>
    <t>ship cryovials collect via FedEx First Overnight (FedEx account #179186187); charge a $5 Handling fee for collect shipment
email invoice to Caroline Araguas at: caroline.a@isotopecanada.com
NOTE: email address will need to be changed for next year to caraguas@isotope.com!</t>
  </si>
  <si>
    <t>Sandra Renaud</t>
  </si>
  <si>
    <t>Supervisor: James Weaver</t>
  </si>
  <si>
    <t>srenaud@isotope.com</t>
  </si>
  <si>
    <t>Kim Racine, Institut National de la Recherche Scientifique, Eau Terre Environnement (INRS- ETE), 490 rue de la Couronne, Quebec, QC G1K 9A9
Tel: 418-654-3766; Email: Kim.Racine@inrs.ca
FOR: Flavie Desreac (Supervisor: Claude Fortin); Tel: 418-654-3761; Email: Flavie.DESREAC@inrs.ca
(INRS is part of Universite du Quebec)</t>
  </si>
  <si>
    <t>Malihe (Mali) Mehdizadeh Allaf</t>
  </si>
  <si>
    <t>Research Officer; Supervisor: Hassan Peerhossaini</t>
  </si>
  <si>
    <t>519-661-2038</t>
  </si>
  <si>
    <t>Professor Emeritus</t>
  </si>
  <si>
    <t>Malihe Mehdizadeh Allaf (Supervisor: Hassan Peerhossaini), Western University, Department of Civil and Environmental Engineering, Engineering Stores, Thompson Eng Bldg, Dock 59, Room 40, ShipTo Address Code: TEB-ENGSTR, 1151 Richmond Street, London ON  N6A 5B9
Tel: 519-661-2038; Email: mmehdiz@uwo.ca
FOR: Hassan Peerhossain (Tel: 519-661-2111 x 80319; Email: hpeerhos@uwo.ca) &amp; Reza Saifi (Cell: 226-559-2474; Email: rsaifi@uwo.ca)</t>
  </si>
  <si>
    <t>1073-003</t>
  </si>
  <si>
    <t>519-661-2111 x84455</t>
  </si>
  <si>
    <t>Fax: 519-661-3020
Alternate Email: christopher.degroot@uwo.ca</t>
  </si>
  <si>
    <t>cdegroo5@uwo.ca</t>
  </si>
  <si>
    <t>1042-003</t>
  </si>
  <si>
    <t>Guido</t>
  </si>
  <si>
    <t>3330 Hospital Dr NW</t>
  </si>
  <si>
    <t>Cumming School of Medicine</t>
  </si>
  <si>
    <t>T2N 4N1</t>
  </si>
  <si>
    <t>403-210-3923</t>
  </si>
  <si>
    <t>vanmarle@ucalgary.ca</t>
  </si>
  <si>
    <t>Guido van Marle (Professor), University of Calgary, Cumming School of Medicine, 3330 Hospital Dr NW, Calgary, AB  T2N 4N1
Tel: 403-210-3923; Email: vanmarle@ucalgary.ca
Purchaser at MindFuel (Science Alberta Foundation), Project Phoenix R&amp;D: Izzy Ward; Tel: 403-915-1661; Email: phoenixabr2024@gmail.com</t>
  </si>
  <si>
    <t>The MindFuel Foundation, 3512 33 Street NW, Suite 260, Calgary, AB  T2L 2A6; Website: www.mindfuel.ca; Email: finance@mindfuel.ca (Contact name: Freeda Mulenga (Director, Finance and Administration); Tel: 403-220-0077; Email: fmulenga@mindfuel.ca)</t>
  </si>
  <si>
    <t>Ship via Purolator Express
Izzy Ward, MindFuel - Project Phoenix R&amp;D, paid for this order!
Email invoice to Accounts Payable at: finance@mindfuel.ca for Izzy Ward (Mindfuel)/Guido van Marle (U Calgary)</t>
  </si>
  <si>
    <t>DATE OF REQUEST</t>
  </si>
  <si>
    <t>Customer ID #</t>
  </si>
  <si>
    <t>Primary End-User
(Principal Investigator)</t>
  </si>
  <si>
    <t>Type of Concentrates/
Stocks/Plates</t>
  </si>
  <si>
    <t>Price for Concentrates/
Stocks/Plates</t>
  </si>
  <si>
    <t>W-2103</t>
  </si>
  <si>
    <t>37 (liquid x2)</t>
  </si>
  <si>
    <t>culture @ $260</t>
  </si>
  <si>
    <t>P.O. #: 2223-149AB</t>
  </si>
  <si>
    <t>21732403 / Purolator #333917914132</t>
  </si>
  <si>
    <r>
      <t xml:space="preserve">shipment cost $29.67 via Purolator according to Unit4, so charged accordingly
email invoice to Accounts Payable at: accounting@nautilusenvironmental.ca
</t>
    </r>
    <r>
      <rPr>
        <b/>
        <strike/>
        <sz val="10"/>
        <color rgb="FFFF0000"/>
        <rFont val="Arial"/>
        <family val="2"/>
      </rPr>
      <t>email invoice to Accounts Payable at: abaccounts@nautilusenvironmental.ca</t>
    </r>
  </si>
  <si>
    <t>W-2104</t>
  </si>
  <si>
    <t>37 (liquid); 500 mL BBM medium</t>
  </si>
  <si>
    <t>culture @ $200; medium @ $40</t>
  </si>
  <si>
    <t>P.O. #: 2223-086PG</t>
  </si>
  <si>
    <t>21810463 / Purolator #333930992305</t>
  </si>
  <si>
    <t>shipment cost $7.17 via Purolator = good! 
email invoice to Terry Carter at: tcarter@aquatox.ca with Attn: Martina Rendas
Purchaser: Martina Rendas</t>
  </si>
  <si>
    <t>W-2105</t>
  </si>
  <si>
    <t>10 (liquid)</t>
  </si>
  <si>
    <t>culture @ $120</t>
  </si>
  <si>
    <t>P.O. #: P0036774</t>
  </si>
  <si>
    <t>21865398 / Purolator #333939847419</t>
  </si>
  <si>
    <r>
      <t xml:space="preserve">shipment cost $6.58 via Purolator according to Unit4…good
email invoice to Purchasing Services at: Accountspayable@trentu.ca (using a PO)
</t>
    </r>
    <r>
      <rPr>
        <b/>
        <strike/>
        <sz val="10"/>
        <color rgb="FFFF0000"/>
        <rFont val="Arial"/>
        <family val="2"/>
      </rPr>
      <t>email invoice to Purchasing Services for Sarah D'Amario &amp; Paul Frost at: Accountspayable@trentu.ca (usually doesn't use a PO, so request forwarding of invoice to Sarah D'Amario (Biology) for processing)</t>
    </r>
  </si>
  <si>
    <t>W-2106</t>
  </si>
  <si>
    <t>715/CCMP1319 (liquid); 500 mL sterile f/2 [ ]</t>
  </si>
  <si>
    <t>culture @ $120 (extra 15 mL of 715 at no extra charge); sterile f/2 [ ] @ $165 (enough to prepare 50L of f/2)</t>
  </si>
  <si>
    <t>21798201 / Purolator #333928895239</t>
  </si>
  <si>
    <t>provide taxonomic certificates
shipment cost $30.33 via Purolator according to Unit4…charged accordingly
email invoice to Megan Bauer at: megan.bauer@canada.ca</t>
  </si>
  <si>
    <t>W-2107</t>
  </si>
  <si>
    <t>37, 90</t>
  </si>
  <si>
    <t>100, 100</t>
  </si>
  <si>
    <t>37, 90 (liquid x100 mL)</t>
  </si>
  <si>
    <t>cultures @ $340 x2</t>
  </si>
  <si>
    <t>P.O. #: ALIT011223</t>
  </si>
  <si>
    <t>21866408 / Purolator #333939844697</t>
  </si>
  <si>
    <t>provide taxonomic certificates
shipment cost $30.33 via Purolator; charged accordingly
email invoice to Accounts Payable at: accountspayable@avalonlaboratories.ca</t>
  </si>
  <si>
    <t>W-2108</t>
  </si>
  <si>
    <t>490 (liquid)</t>
  </si>
  <si>
    <r>
      <t xml:space="preserve">culture @ </t>
    </r>
    <r>
      <rPr>
        <strike/>
        <sz val="10"/>
        <rFont val="Arial"/>
        <family val="2"/>
      </rPr>
      <t>$200</t>
    </r>
    <r>
      <rPr>
        <sz val="10"/>
        <rFont val="Arial"/>
        <family val="2"/>
      </rPr>
      <t xml:space="preserve"> $50 (provided 75% discount since cultures arrived in okay rather than good condition; even though they revived, customer decided not to use them)</t>
    </r>
  </si>
  <si>
    <t>P.O. #: 2223-197BC</t>
  </si>
  <si>
    <t>21864647 / Purolator #333939841503</t>
  </si>
  <si>
    <r>
      <t xml:space="preserve">provide taxonomic certificates
shipment cost $29.67 via Purolator…charged accordingly
email invoice to Accounts Payable at: accounting@nautilusenvironmental.ca
</t>
    </r>
    <r>
      <rPr>
        <b/>
        <strike/>
        <sz val="10"/>
        <color rgb="FFFF0000"/>
        <rFont val="Arial"/>
        <family val="2"/>
      </rPr>
      <t>email invoice to Accounts Payable at: bcinfo@nautilusenvironmental.ca</t>
    </r>
  </si>
  <si>
    <t>W-2109</t>
  </si>
  <si>
    <t>37 (liquid x2 @ 45 mL each)</t>
  </si>
  <si>
    <t>cultures @ $340</t>
  </si>
  <si>
    <t>21877924 /
FedEx Intl Prior #393814540230</t>
  </si>
  <si>
    <t>provide taxonomic certificates
use UW FedEx account ($62.25) + round up to nearest $5 increment + $20 Handling
use "Lab algal cultures; research; non-haz." wording on shipping request
email invoice to Accounts Payable or Michael Chanov at: midatlanticap@eaest.com</t>
  </si>
  <si>
    <t>W-2110</t>
  </si>
  <si>
    <t>internal debit memo given to Kim Cuddington on Apr 3/23; returned on Apr 3/23; given to Lucy Satora on Apr 6/23; credited to our account on Apr 12/23</t>
  </si>
  <si>
    <t>W-2111</t>
  </si>
  <si>
    <t>266 (liquid + slant)</t>
  </si>
  <si>
    <t>culture @ $200; culture @ $60</t>
  </si>
  <si>
    <t>21924859 / Purolator #333950140868</t>
  </si>
  <si>
    <t>provide taxonomic certificates; request shipping via Purolator
shipment cost $26.69 via Purolator as per Unit4...okay
email invoice to Janetta Fraser at: office@harrisindustrial.ca</t>
  </si>
  <si>
    <t>W-2112</t>
  </si>
  <si>
    <t>95, 469</t>
  </si>
  <si>
    <t>95, 469 (liquid); 1000 mL sterile MAM [ ]</t>
  </si>
  <si>
    <t>cultures @ $120 x2; sterile MAM [ ] @ $80 (enough to prepare 10L of MAM)</t>
  </si>
  <si>
    <t>22005933 / Purolator #333962891367</t>
  </si>
  <si>
    <t>shipment cost $6.47 via Purolator as per Unit4
email invoice to Frederic Ors at: orsfred@gmail.com</t>
  </si>
  <si>
    <t>W-2113</t>
  </si>
  <si>
    <t>490 (liquid x2)</t>
  </si>
  <si>
    <t>cultures @ $160</t>
  </si>
  <si>
    <t>Timothy Tse - CC</t>
  </si>
  <si>
    <t>22004314 / Purolator #333962883679</t>
  </si>
  <si>
    <t>provide taxonomic certificates
used to ship collect via FedEx account #131473486 (charge a $5 Handling fee) but shipped prepaid via Purolator this time ($25.49)
may or may not need to obtain a PO# (if paying by credit card, use "Timothy Tse - CC")
email invoice to accountspayable@src.sk.ca with request to forward it to Timothy Tse (Timothy.Tse@src.sk.ca) for credit card payment</t>
  </si>
  <si>
    <t>W-2114</t>
  </si>
  <si>
    <t>420 (liquid x 30 mL); 1L f/2 medium</t>
  </si>
  <si>
    <t>culture @ $160; medium @ $65</t>
  </si>
  <si>
    <t>22005765 / Purolator #333962881145</t>
  </si>
  <si>
    <t>shipment cost $6.52 via Purolator
invoices are emailed to Kathy Greaves at: greaves@mcmaster.ca for Attn: Jon Stone (LSB-327)</t>
  </si>
  <si>
    <t>Price Increases for all orders starting Jan 30/23!</t>
  </si>
  <si>
    <t>W-2115</t>
  </si>
  <si>
    <t>1000 mL sterile f/2 [ ]</t>
  </si>
  <si>
    <t>sterile f/2 [ ] @ $365 (enough to prepare 100L of f/2); $10 for extra containers (split [ ] into 4 x 250 mL volumes)</t>
  </si>
  <si>
    <t>22004173 / Purolator #333962878554</t>
  </si>
  <si>
    <t>shipment cost $5.40 via Purolator 
email invoice to Accounts Payable at: abaccounts@nautilusenvironmental.ca
put note in footer "Non-PO invoice: please forward to Adam Wartman (awartman@aquatox.ca)"</t>
  </si>
  <si>
    <t>552, 562</t>
  </si>
  <si>
    <t>552, 562 (liquid)</t>
  </si>
  <si>
    <t>22204201 / Purolator #333994845910</t>
  </si>
  <si>
    <t>1st shipment = shipped via Purolator; cost $30.65 according to 2Ship and $29.67 according to Unit4 (S&amp;H calculated using 2Ship estimate)
2nd shipment = shipped via Purolator; cost $30.65 according to 2Ship and $29.67 according to Unit4 (S&amp;H calculated using 2Ship estimate)
email invoice to Katherine Raes (Toxicology Centre) at: connectionpoint@usask.ca</t>
  </si>
  <si>
    <t>552 (liquid)</t>
  </si>
  <si>
    <t>replacement culture free-of-charge</t>
  </si>
  <si>
    <t>22573586 / Purolator #334052955492</t>
  </si>
  <si>
    <t>W-2117</t>
  </si>
  <si>
    <t>532 (liquid - 2x15mL)</t>
  </si>
  <si>
    <t>cultures @ $175</t>
  </si>
  <si>
    <t>Houda Hanana - GAC</t>
  </si>
  <si>
    <t>22243505 / Purolator #334001121410</t>
  </si>
  <si>
    <t>shipping cost $6.47 via Purolator
email invoice to Attn: Houda Hanana (DRCA Montreal) at: drcafagroupe-acrdfagroup@ec.gc.ca; add foonote "Please forward invoice to Houda Hanana (Houda.Hanana@ec.gc.ca) for credit card payment"</t>
  </si>
  <si>
    <t>W-2118</t>
  </si>
  <si>
    <t>5, 90</t>
  </si>
  <si>
    <t>5, 90 (liquid x30mL); 1L BBM medium</t>
  </si>
  <si>
    <t>cultures @ $175 x2; medium @ $65</t>
  </si>
  <si>
    <t>22192314 / Purolator #333992848643</t>
  </si>
  <si>
    <r>
      <t xml:space="preserve">shipment cost $6.52 via Purolator according to Unit4…good
email invoice to Vaughn Mangal (vmangal@brocku.ca) for credit card payment at: brockap@brocku.ca (Brock AP accepts non-PO invoices)
</t>
    </r>
    <r>
      <rPr>
        <b/>
        <strike/>
        <sz val="10"/>
        <color rgb="FFFF0000"/>
        <rFont val="Arial"/>
        <family val="2"/>
      </rPr>
      <t>also note: Workday Name: ??, Hierarchy: ??, Fund: ??, Cost Centre: ????</t>
    </r>
  </si>
  <si>
    <t>W-2119</t>
  </si>
  <si>
    <t>22192680 /
FedEx Intl Prior #395167685577</t>
  </si>
  <si>
    <t>provide taxonomic certificates
use UW FedEx account ($60.48) + round up to nearest $5 increment + $25 Handling
use "Live cell cultures; research; non-haz." or "Lab algal cultures; research; non-haz." wording on shipping request
email invoice to Accounts Payable or Michael Chanov at: midatlanticap@eaest.com</t>
  </si>
  <si>
    <t>W-2120</t>
  </si>
  <si>
    <t>162 (liquid x30mL)</t>
  </si>
  <si>
    <t>culture @ $220 (discounted price mid-way between CA and CC)</t>
  </si>
  <si>
    <t>22373807 /
Purolator #334022123148</t>
  </si>
  <si>
    <t>shipped via Purolator; cost $33.57 according to 2Ship and $30.34 according to Unit4
small start-up company w/o funding so offered mid-way price between CA and CC
email invoice to Towsif Ahmed at: finance@cytochrome.org</t>
  </si>
  <si>
    <t>W-2121</t>
  </si>
  <si>
    <t>690 (liquid); 10 mL non-sterile f/2 [ ]</t>
  </si>
  <si>
    <t>culture @ $135; non-sterile f/2 [ ] @ $30 (enough to prepare 1L of f/2)</t>
  </si>
  <si>
    <t>22308139 /
Purolator #334011557132</t>
  </si>
  <si>
    <t>shipment cost $25.49 via Purolator according to Unit4…charged accordingly
email invoice to Nicole Webster (CSRB, Biology) at: connectionpoint@usask.ca with request to forward it to Nicole Webster (nicole.webster@usask.ca)</t>
  </si>
  <si>
    <t>W-2122</t>
  </si>
  <si>
    <t>BG-11 [ ], f/2 [ ]</t>
  </si>
  <si>
    <t>2550, 500</t>
  </si>
  <si>
    <t>2550 mL sterile BG-11 [ ] (2500 mL [ ] + 50 mL Stock 7), 500 mL sterile f/2 [ ]</t>
  </si>
  <si>
    <t>sterile BG-11 [ ] @ $180 (enough to prepare 50L of BG-11 medium), sterile f/2 [ ] @ $180 (enough to prepare 50L of f/2 medium)</t>
  </si>
  <si>
    <t>22255155 /
Purolator #334002784992</t>
  </si>
  <si>
    <t>specify NSR; shipment cost $7.05 via Purolator according to Unit4…good
email invoice to Brandon Jaunky at: Brandon.jaunky@gmail.com</t>
  </si>
  <si>
    <t>W-2123</t>
  </si>
  <si>
    <t>P.O. #: 205476</t>
  </si>
  <si>
    <t>22243424 /
Purolator #334001124620</t>
  </si>
  <si>
    <t>provide taxonomic certificates
shipment cost $5.89 via Purolator according to Unit4
email invoice to Accounts Payable at: payables@agatlabs.com</t>
  </si>
  <si>
    <t>W-2124</t>
  </si>
  <si>
    <t>sterile f/2 [ ] @ $500 (enough to prepare 200L of f/2); $10 for extra containers (split [ ] into 4 x 500 mL volumes)</t>
  </si>
  <si>
    <t>22319769 /
Purolator #334013858108</t>
  </si>
  <si>
    <t>shipment cost $6.58 via Purolator = good! 
email invoice to Attn: Adam Wartman (awartman@aquatox.ca) at: accounting@nautilusenvironmental.ca</t>
  </si>
  <si>
    <t>W-2125</t>
  </si>
  <si>
    <t>P.O. #: 38702436</t>
  </si>
  <si>
    <t>22320760 /
Purolator #334013872422</t>
  </si>
  <si>
    <t>shipping cost $6.47 via Purolator…good!
email invoice to Accounts Payable at: Accounts.Payable@bvlabs.com (for Chelsea Blake (Quebec City Lab)
Purchaser: Sonia Jimenez (Tel: 514-448-9001 x 7066449; Email: Sonia.Jimenez@bureauveritas.com)</t>
  </si>
  <si>
    <t>W-2126</t>
  </si>
  <si>
    <t>P.O. #: 38702657</t>
  </si>
  <si>
    <t>22372815 /
Purolator #334022117116</t>
  </si>
  <si>
    <t>shipping cost $7.05 via Purolator…good!
email invoice to Accounts Payable at: Accounts.Payable@bvlabs.com (for Aurelie Lebel (St Laurent-Montreal Ecotox)
Purchaser: Sonia Jimenez (Tel: 514-448-9001 x 7066449; Email: Sonia.Jimenez@bureauveritas.com)</t>
  </si>
  <si>
    <t>W-2127</t>
  </si>
  <si>
    <t>22386218 /
FedEx Intl Prior #396032482733</t>
  </si>
  <si>
    <t>provide taxonomic certificates
use UW FedEx account ($60.86) + round up to nearest $5 increment + $25 Handling
use "Live cell cultures; research; non-haz." or "Lab algal cultures; research; non-haz." wording on shipping request
email invoice to Accounts Payable or Michael Chanov at: midatlanticap@eaest.com</t>
  </si>
  <si>
    <t>W-2128</t>
  </si>
  <si>
    <t>300 (liquid)</t>
  </si>
  <si>
    <t>VAT: ES-G58022849</t>
  </si>
  <si>
    <t>22374311 /
FedEx Intl Prior #395977271675</t>
  </si>
  <si>
    <t>use UW FedEx account ($73.14 + $25.64 = $98.78) + round up to nearest $5 increment + $25 Handling (but accidentally quoted $20 Handling so charged $20 this time!)
Spanish Customs requires a Sanitary Certificate and can take an extra week to clear the shipment...that may be the additional $25.64 FedEx charge!
email invoice to Xavier Ortiz Almirall (xavier.ortiz@iqs.url.edu) at: administracio@iqs.edu
VAT: ES-G58022849 (include VAT# as external reference on the invoice)
(Note for W-2128 Mar 23: Spanish Customs took an extra week to clear the shipment. Despite this, CPCC 300 arrived in surprisingly good condition.)</t>
  </si>
  <si>
    <t>W-2129</t>
  </si>
  <si>
    <t>102 (liquid)</t>
  </si>
  <si>
    <t>culture @ $100 (but accidentally billed $90 for old culture pricing)</t>
  </si>
  <si>
    <t>picked up by BL</t>
  </si>
  <si>
    <t>internal debit memo given to Jenine McCutcheon on Apr 3/23; returned on Apr 6/23; given to Lucy Satora on Apr 6/23; credited to our account on Apr 12/23</t>
  </si>
  <si>
    <t>W-2130</t>
  </si>
  <si>
    <t>37, 89, 160</t>
  </si>
  <si>
    <t>37, 89, 160 (liquid x15 mL)</t>
  </si>
  <si>
    <t>cultures @ $135 x3 (extra 7 mL of 160 at no extra charge)</t>
  </si>
  <si>
    <t>P.O. #: 0000111478</t>
  </si>
  <si>
    <t>22589350 /
Purolator #334055171352</t>
  </si>
  <si>
    <t>Requires a quote and PO
shipped via Purolator; cost $6.08 according to 2Ship and $5.89 according to revised Unit4 entries. However, initial entry in Unit4 was $41.89 so submitted a ticket to UW Finance and charged $30 on the invoice since that was max S&amp;H fee estimate on the quote and needed to invoice before the entry was corrected.
email invoice to Comptes Payables at: cap@inrs.ca</t>
  </si>
  <si>
    <t>W-2131</t>
  </si>
  <si>
    <t>2-day prorated workshop x 1 person</t>
  </si>
  <si>
    <t>workshop @ $910 + tax ($535 (Thurs) + $375 (Fri) = (8h (Thurs) + 4h (Fri) + 4h prep/cleanup (2h/day)) x 1st person (reduced price of $53.50/h since affiliated with U of Guelph)</t>
  </si>
  <si>
    <t>Mar 30/23 &amp; Mar 31/23</t>
  </si>
  <si>
    <t>Ralph Robinson, Selected BioProducts Inc., paid for this order!
small company w/o funding and student is at U of Guelph so offered mid-way price between CA and external midway
email invoice to Ralph Robinson at: ralph@horseherbs.com
remember to charge 13% HST for the workshop!</t>
  </si>
  <si>
    <t>W-2132</t>
  </si>
  <si>
    <t>Elyse Batista</t>
  </si>
  <si>
    <t>chamber rental @ $30/month from May 1/21 to Apr 30/22 (minus 2 months when was out-of-service)</t>
  </si>
  <si>
    <t>internal debit memo given to Monica Emelko on Mar 29/23; returned on Apr 4/23; given to Lucy Satora on Apr 6/23; credited to our account on Apr 12/23</t>
  </si>
  <si>
    <t>W-2133</t>
  </si>
  <si>
    <t>90 (liquid x45mL); 1L BBM medium</t>
  </si>
  <si>
    <t>culture @ $195; medium @ $65</t>
  </si>
  <si>
    <t>P.O. #: P1109096</t>
  </si>
  <si>
    <t>22588303 /
Purolator #334055177482</t>
  </si>
  <si>
    <t>Requires a PO#!
shipped via Purolator next day delivery ($6.47)…good!
email invoice to Accounts Payable at: accountspayable@mcgill.ca for Audrey Moores-Francois/Ruby Ziruo Liu</t>
  </si>
  <si>
    <t>W-2134</t>
  </si>
  <si>
    <t>90, 420, 714, 715</t>
  </si>
  <si>
    <t>30, 30, 15, 15</t>
  </si>
  <si>
    <t>90 &amp; 420 (liquid: 2x15mL); 714 &amp; 715 (liquid: 1x15mL); 500 mL sterile f/2 [ ]</t>
  </si>
  <si>
    <t>cultures @ $135 x2 (extra 15 mL of 714 &amp; 715 at no extra charge); cultures @ $175 x2; sterile f/2 [ ] @ $180 (enough to prepare 50L of f/2)</t>
  </si>
  <si>
    <t>22729426 / Purolator #334077793530</t>
  </si>
  <si>
    <r>
      <t xml:space="preserve">provide taxonomic certificates
email invoice to Megan Bauer at: megan.bauer@canada.ca
</t>
    </r>
    <r>
      <rPr>
        <b/>
        <sz val="10"/>
        <color rgb="FFFF00FF"/>
        <rFont val="Arial"/>
        <family val="2"/>
      </rPr>
      <t>= payment not received until 2023-2024 fiscal year</t>
    </r>
  </si>
  <si>
    <t>W-2135</t>
  </si>
  <si>
    <t>669, 710 (liquid)</t>
  </si>
  <si>
    <t>22783756 / Purolator #334086697813</t>
  </si>
  <si>
    <r>
      <t xml:space="preserve">email invoice to Jillian Thompson-Anderson at: water.invoices@hamilton.ca
</t>
    </r>
    <r>
      <rPr>
        <b/>
        <sz val="10"/>
        <color rgb="FFFF00FF"/>
        <rFont val="Arial"/>
        <family val="2"/>
      </rPr>
      <t>= payment not received until 2023-2024 fiscal year</t>
    </r>
  </si>
  <si>
    <t>W-2136</t>
  </si>
  <si>
    <t>102 (liquid); 255 mL sterile BG-11 [ ] (250 mL [ ] + 5 mL Stock 7)</t>
  </si>
  <si>
    <t>culture @ $135; non-sterile BG-11 [ ] @ $45 (enough to prepare 5L of BG-11 medium)</t>
  </si>
  <si>
    <t>22730464 / Purolator #334077790668</t>
  </si>
  <si>
    <r>
      <t xml:space="preserve">email invoice to Mihai Baetu at: mihai.baetu@utoronto.ca
</t>
    </r>
    <r>
      <rPr>
        <b/>
        <sz val="10"/>
        <color rgb="FFFF00FF"/>
        <rFont val="Arial"/>
        <family val="2"/>
      </rPr>
      <t>= payment not received until 2023-2024 fiscal year</t>
    </r>
  </si>
  <si>
    <t>W-2137</t>
  </si>
  <si>
    <t>Emily Hallett, Christophe Langevin</t>
  </si>
  <si>
    <t>BG-11 [ ], 3N BBM [ ], WC [ ]</t>
  </si>
  <si>
    <t>1020, 420, 500</t>
  </si>
  <si>
    <t>1020 mL sterile BG-11 [ ] (1000 mL [ ] + 20 mL Stock 7); 420 mL sterile 3N BBM [ ] w vit (400 mL [ ] + 20 mL Stock 5); 500 mL sterile WC [ ] (400 mL primary [ ] + 100 mL secondary [ ])</t>
  </si>
  <si>
    <t>sterile BG-11 [ ] @ $125 (enough to prepare 20L of BG-11 medium); sterile 3N BBM [ ] @ $125 (enough to prepare 20L of 3N BBM medium), sterile WC [ ] @ $125 (enough to prepare 20L of WC)</t>
  </si>
  <si>
    <t>P.O. #: 124604</t>
  </si>
  <si>
    <t>22782972 / Purolator #334086737122</t>
  </si>
  <si>
    <r>
      <t xml:space="preserve">email invoice to Comptes Payables at: comptesapayer@adm.inrs.ca
</t>
    </r>
    <r>
      <rPr>
        <b/>
        <sz val="10"/>
        <color rgb="FFFF00FF"/>
        <rFont val="Arial"/>
        <family val="2"/>
      </rPr>
      <t>= payment not received until 2023-2024 fiscal year</t>
    </r>
  </si>
  <si>
    <t>W-2138</t>
  </si>
  <si>
    <t>715 (liquid: 30 mL split into 2x15mL)</t>
  </si>
  <si>
    <t>culture @ $175 (extra 28 mL of 715 at no extra charge)</t>
  </si>
  <si>
    <t>22855188 / Purolator #334098451779</t>
  </si>
  <si>
    <t>provide taxonomic certificates
email invoice to Megan Bauer at: Megan.Bauer@ec.gc.ca</t>
  </si>
  <si>
    <t>W-2139</t>
  </si>
  <si>
    <t>102 (liquid); 1L BG-11 medium</t>
  </si>
  <si>
    <t>culture @ $100; medium @ $55</t>
  </si>
  <si>
    <t>internal debit memo given to Jenine McCutcheon on Sep 5/23; returned on Sep 7/23; given to Lucy Satora on Sep 8/23; credited to our account on Sep 26/23</t>
  </si>
  <si>
    <t>W-2140
(order cancelled)</t>
  </si>
  <si>
    <t>W-2141</t>
  </si>
  <si>
    <t>22933814 /
FedEx Intl Prior #398379020630</t>
  </si>
  <si>
    <t>provide taxonomic certificates
use UW FedEx account + round up to nearest $5 increment + $25 Handling
use "Live cell cultures; research; non-haz." or "Lab algal cultures; research; non-haz." wording on shipping request
email invoice to Accounts Payable or Michael Chanov at: midatlanticap@eaest.com</t>
  </si>
  <si>
    <t>W-2142</t>
  </si>
  <si>
    <t>BG-11 stocks</t>
  </si>
  <si>
    <t>900 mL sterile BG-11 stock solutions 1-9 (500 mL of BG-11 Stock 1 + 50 mL each of BG-11 Stocks 2 - 9)</t>
  </si>
  <si>
    <t>sterile BG-11 stock solutions @ $280 (enough to prepare 50L of BG-11 medium): 6 hours x $40/h + $40 filtration consumables</t>
  </si>
  <si>
    <t>picked up by IMP</t>
  </si>
  <si>
    <t>internal debit memo given to Jozef Nissimov on Sep 5/23; returned on Sep 5/23; given to Lucy Satora on Sep 8/23; credited to our account on Sep 26/23</t>
  </si>
  <si>
    <t>W-2143</t>
  </si>
  <si>
    <t>266, 552</t>
  </si>
  <si>
    <t>266, 552 (liquid); 1L CHU-10 medium; 110 mL non-sterile BBM [ ] w vit (100 mL [ ] + 10 mL Stock 5)</t>
  </si>
  <si>
    <t>cultures @ $200 x2; medium @ $80; non-sterile BBM [ ] @ $90 (enough to prepare 10L of BBM medium)</t>
  </si>
  <si>
    <t>22997513 / Purolator #334121696077</t>
  </si>
  <si>
    <t>provide taxonomic certificates; request shipping via Purolator
email invoice to Janetta Fraser at: office@harrisindustrial.ca</t>
  </si>
  <si>
    <t>W-2144</t>
  </si>
  <si>
    <t>37, 266 (liquid x45 mL)</t>
  </si>
  <si>
    <t>cultures @ $290 x2</t>
  </si>
  <si>
    <t>P.O. #: 2262</t>
  </si>
  <si>
    <t>22996894 / Purolator #334121719770</t>
  </si>
  <si>
    <t>Provide taxonomic certificates; uses a P.O. # most of the time
Note: they may pick up their samples at the Purolator office
Email invoice to Accounts Payable at: orders@testmark.ca
Purchaser: Kamran Mansoor</t>
  </si>
  <si>
    <t>W-2145</t>
  </si>
  <si>
    <t>5, 90 (liquid)</t>
  </si>
  <si>
    <t>P.O. #: P0156699</t>
  </si>
  <si>
    <t>picked up by JF</t>
  </si>
  <si>
    <t>W-2146</t>
  </si>
  <si>
    <t>P.O. #: 2223-245PE</t>
  </si>
  <si>
    <t>22995149 / Purolator #334121699543</t>
  </si>
  <si>
    <t>ship via Purolator
provide taxonomic certificates; uses a P.O. #
email invoice to Accounts Payable at: accounting@nautilusenvironmental.ca</t>
  </si>
  <si>
    <t>W-2147</t>
  </si>
  <si>
    <t>37 (liquid x100 mL)</t>
  </si>
  <si>
    <t>culture @ $230</t>
  </si>
  <si>
    <t>23062825 / Purolator Collect #334131071311</t>
  </si>
  <si>
    <t>ship collect via Purolator using account #0518413; charge $5 Handling fee
provide taxonomic certificates
invoices are currently being mailed via Canada Post</t>
  </si>
  <si>
    <t>W-2148</t>
  </si>
  <si>
    <t>23061243 / Purolator #334131077763</t>
  </si>
  <si>
    <t>ship via Purolator 
email invoice to Accounts Payable at: abaccounts@nautilusenvironmental.ca
put note in footer "Non-PO invoice: please forward to Adam Wartman (awartman@aquatox.ca)"</t>
  </si>
  <si>
    <t>W-2149</t>
  </si>
  <si>
    <t>consultation re professional contacts in GTA</t>
  </si>
  <si>
    <t>consultation 1h @ $60/h</t>
  </si>
  <si>
    <t>Ship to Azimian residence in Maple ON
Email invoice to Leila Azimian at: Leilaazimian1@gmail.com
(Leila was affiliated with Western University (supervisor: Amarjeet Bassi) but paying out-of-pocket for personal consultation (I think she is finished her degree)</t>
  </si>
  <si>
    <t>W-2150</t>
  </si>
  <si>
    <t>632 (liquid x100 mL); 1L 3N BBM medium; 1050 mL sterile 3N BBM [ ] (1000 mL [ ] + 50 mL Stock 5)</t>
  </si>
  <si>
    <t>culture @ $230; medium @ $65; sterile 3N BBM [ ] @ $180 (enough to prepare 50L of 3N BBM medium)</t>
  </si>
  <si>
    <t>23263985 / Purolator #334165615645</t>
  </si>
  <si>
    <t>Ship via Purolator (other couriers sometimes have difficulty with delivery!)
Email invoices to Julia Barnes at: julia.barnes@forces.gc.ca
Purchaser: Julia Barnes</t>
  </si>
  <si>
    <t>W-2151</t>
  </si>
  <si>
    <t>1L WC medium (pH adjusted to 6.5)</t>
  </si>
  <si>
    <t>23262751 / Purolator #334167819898</t>
  </si>
  <si>
    <t>W-2152</t>
  </si>
  <si>
    <t>medium @ $80; non-sterile CHU-10 [ ] @ $90 (enough to prepare 10L of CHU-10 medium)</t>
  </si>
  <si>
    <t>23276331 / Purolator #334167822850</t>
  </si>
  <si>
    <t>W-2153</t>
  </si>
  <si>
    <t>310 (slant x2)</t>
  </si>
  <si>
    <t>P.O. #: 055233</t>
  </si>
  <si>
    <t>23262388 / 
FedEx Intl Prior #780067794021</t>
  </si>
  <si>
    <t>Ship collect via FedEx International Priority using account #1063-9444-0 (=$20 Handling)
use "Lab cell cultures; research; non-haz." wording on shipping request
Also note that they use an external broker (Compass Forwarding), so always cc John Scully Shipping/Receiving Agent (jscully@smithers.com) with the tracking # information!
They use a PO#. Email invoice to Accounts Payable at: whm-ap@smithers.com</t>
  </si>
  <si>
    <t>W-2154
 (Part I)</t>
  </si>
  <si>
    <t>15, 15, 15, 15, 15</t>
  </si>
  <si>
    <t>102, 105, 461, 501, 669 (liquid)</t>
  </si>
  <si>
    <t>cultures @ $125 x12 (regular price = $135; discounted by ~10% for large quantity discount)</t>
  </si>
  <si>
    <t>P.O. #: P1133519</t>
  </si>
  <si>
    <t>23395122 / Purolator #334187699106</t>
  </si>
  <si>
    <t>Split order into multiple shipments as per customer request
Ship to Attn: Luisa Sabaz; Tel: 514-398-5740; Email: luisa.sabaz@mcgill.ca
Requires a PO# from McGill Marketplace
email invoice to Accounts Payable at: accountspayable@mcgill.ca for Sabrina Therrien/Graham Bell</t>
  </si>
  <si>
    <t>W-2154
 (Part II)</t>
  </si>
  <si>
    <t>31, 267, 424, 542</t>
  </si>
  <si>
    <t>15, 15, 15, 15</t>
  </si>
  <si>
    <t>31, 267, 424, 542 (liquid)</t>
  </si>
  <si>
    <t>23453605 / Purolator #334199015325</t>
  </si>
  <si>
    <t>W-2154
 (Part III)</t>
  </si>
  <si>
    <t>65, 397, 607</t>
  </si>
  <si>
    <t>65, 397, 607 (liquid)</t>
  </si>
  <si>
    <t>23614534 / Purolator #334221145454</t>
  </si>
  <si>
    <t>W-2155</t>
  </si>
  <si>
    <t>P.O. #: CA0152836764-2
(ECMX-66)</t>
  </si>
  <si>
    <t>23354336 / Purolator #334180707609</t>
  </si>
  <si>
    <t xml:space="preserve">provide taxonomic certificates
Email invoice to Accounts Payable at APCanada@eurofins.com
Purchaser: Eva Maraj </t>
  </si>
  <si>
    <t>W-2156</t>
  </si>
  <si>
    <t>37, 90 (liquid)</t>
  </si>
  <si>
    <t>LVPO#: SES19-2023RP</t>
  </si>
  <si>
    <t>picked up by RP</t>
  </si>
  <si>
    <t>email invoice to Accounts Payable at: acctspay@uoguelph.ca and reference the purchaser (Izabella Onik), department (SES), and PO # (SES19-2023RP)</t>
  </si>
  <si>
    <t>W-2157</t>
  </si>
  <si>
    <t>243 (liquid - 500 mL split into 20x25 mL)</t>
  </si>
  <si>
    <t>culture @ $320 plus $60 (=1 hour of my time to split into 20 centrifuge tubes) (extra 3mL per tube at no additional cost)</t>
  </si>
  <si>
    <t>P.O. #: DPES2842</t>
  </si>
  <si>
    <t>23749565 / Purolator #334243732651</t>
  </si>
  <si>
    <t>Use a PO and email invoices to Accounts Payable at: chemstores@utsc.utoronto.ca</t>
  </si>
  <si>
    <t>W-2158</t>
  </si>
  <si>
    <t>Maude Pomerleau, Naila Barbosa da Costa</t>
  </si>
  <si>
    <t>BG-11 w/o NO3 [ ], Z8 stocks</t>
  </si>
  <si>
    <t>220, 310</t>
  </si>
  <si>
    <t>220 mL sterile BG-11 w/o NO3 [ ] (100 mL [ ] + 100 mL Stock 1 + 10 mL Stock 4  + 10 mL Stock 7); 310 mL sterile Z8 stock solutions (100 mL Stock I + 100 mL Stock II + 100 mL Stock III  + 10 mL Stock IV)</t>
  </si>
  <si>
    <t>sterile BG-11 w/o NO3 [ ] @ $90 (enough to prepare 10L of BG-11 w/o NO3); sterile Z8 stock solutions at $200 ($60/h x 3h + $20 filtration equipment)</t>
  </si>
  <si>
    <t>P.O. #: 0000112999</t>
  </si>
  <si>
    <t>23502702 / Purolator #334207986582</t>
  </si>
  <si>
    <t>W-2159</t>
  </si>
  <si>
    <t>50, 417, 471</t>
  </si>
  <si>
    <t>BG-11, CHU-10, f/2</t>
  </si>
  <si>
    <t>50, 417, 471 (liquid); 4L BG-11 medium; 4L CHU-10 medium; 4L f/2 medium</t>
  </si>
  <si>
    <t>cultures @ $135 x3; medium @ $60 x12</t>
  </si>
  <si>
    <t>23737386 / Purolator #334241366585 &amp; 334241366593</t>
  </si>
  <si>
    <r>
      <t xml:space="preserve">Shipped as two boxes (Note: Purolator billed both boxes together under the first tracking #; FedEx typically bills them separately as 2 separate shipments!)
Invoices are currently being mailed via Canada Post to the Royalmount office (Unit4 ID 107425) for credit card payment (Attn: Marie-Josée Lorrain; Marie-Josee.Lorrain@cnrc-nrc.gc.ca)
</t>
    </r>
    <r>
      <rPr>
        <b/>
        <strike/>
        <sz val="10"/>
        <color rgb="FFFF0000"/>
        <rFont val="Arial"/>
        <family val="2"/>
      </rPr>
      <t>Alternatively, if using a PO, then most invoices go directly to the main Ottawa AP office (Unit4 ID 103482) with Attn: Accounts Payable/Comptes Payables at: nrc.invoice-facture.cnrc@nrc-cnrc.gc.ca</t>
    </r>
  </si>
  <si>
    <t>W-2160</t>
  </si>
  <si>
    <t>422 (500 mL); 64, 67, 95, 124, 158, 169, 243, 365, 422, 446, 690, 692, 712 (25 mL = 10+10+5mL)</t>
  </si>
  <si>
    <t>culture @ $290 ($320 + 10% discount); cultures @ $160 x13 ($175 + 10% discount)</t>
  </si>
  <si>
    <t>reference EEB 268 on invoice
email invoice to Robbie Brar/Rosa Di Leo at: eeb.reception@utoronto.ca
Notes: CPCC 64 &amp; CPCC 67 prepared Jul 4/23 (did not top up in Aug) - timing fine; CPCC 422 prepared Jul 4/23 &amp; scaled up plus small volume on Aug 11/23 - could have been a week later to preserve more colonies; CPCC 169 &amp; CPCC 712 prepared Jul 21/23 - pretty good (a week earlier would have been better); CPCC 95 &amp; CPCC 365 &amp; CPCC 158 prepared Jul 24/23 &amp; Jul 25/23 - very good; CPCC 690 &amp; CPCC 692 prepared Aug 1/23 - pretty good (a week or two later would have been better for CPCC 690); CPCC 124 &amp; CPCC 243 &amp; CPCC 446 prepared Aug 11/23 - good for CPCC 124 &amp; CPCC 243 (a week earlier may have been better for CPCC 446).</t>
  </si>
  <si>
    <t>W-2161</t>
  </si>
  <si>
    <t>culture @ $135 (extra 15 mL of 715 at no extra charge); sterile f/2 [ ] @ $180 (enough to prepare 50L of f/2)</t>
  </si>
  <si>
    <t>23514862 / Purolator #334210246479</t>
  </si>
  <si>
    <t>W-2162</t>
  </si>
  <si>
    <t>23502369 / Purolator #334207991525</t>
  </si>
  <si>
    <t>W-2163</t>
  </si>
  <si>
    <t>23614331 /
FedEx Intl Prior #781608737202</t>
  </si>
  <si>
    <t>W-2164</t>
  </si>
  <si>
    <t>Safe-deposit</t>
  </si>
  <si>
    <t>P.O. #: W7563</t>
  </si>
  <si>
    <t>email invoice to Caroline Araguas at: caroline.a@isotopecanada.com
Purchaser: Caroline Araguas</t>
  </si>
  <si>
    <t>W-2165</t>
  </si>
  <si>
    <t>90, 266</t>
  </si>
  <si>
    <t>culture @ $115 (includes 50% discount since she is paying out-of-pocket and was fine with older subcultures that could be mixed)</t>
  </si>
  <si>
    <t>23502968 / Purolator #334207989156</t>
  </si>
  <si>
    <t>W-2166</t>
  </si>
  <si>
    <t>300, 633</t>
  </si>
  <si>
    <t>300, 633 (liquid); 51 mL sterile BG-11 [ ] (50 mL [ ] + 1 mL Stock 7)</t>
  </si>
  <si>
    <t>cultures @ $135 x2; sterile [ ] @ $0 (enough to prepare 1L of BG-11 medium: free-of-charge since very old (Sep 11/14))</t>
  </si>
  <si>
    <t>P.O. #: P1137046</t>
  </si>
  <si>
    <t>23803210 / Purolator #334252577674</t>
  </si>
  <si>
    <t>Ship to Attn: Patrick Lypaczewski; Tel: 514-291-8432; Email: patrick.lypaczewski@mcgill.ca
Requires a PO# from McGill Marketplace
email invoice to Accounts Payable at: accountspayable@mcgill.ca for Patrick Lypaczewski/Nicolas Tromas</t>
  </si>
  <si>
    <t>W-2167</t>
  </si>
  <si>
    <t>178, 669, 544, 545</t>
  </si>
  <si>
    <t>30, 30, 30, 30</t>
  </si>
  <si>
    <t>178, 669, 544, 545 (liquid x30 mL)</t>
  </si>
  <si>
    <t>cultures @ $175 x4</t>
  </si>
  <si>
    <t>Sep 14/23</t>
  </si>
  <si>
    <t>email invoice to Robbie Brar/Dongling Zhao at: eeb.reception@utoronto.ca
Put " BIO220" in the Ref line and footnote indicating that "Charges are for course BIO220 (eutrophication exercise)"</t>
  </si>
  <si>
    <t>W-2168</t>
  </si>
  <si>
    <t>maintenance of 2 NRC strains (CCMP1680, CCMP708)</t>
  </si>
  <si>
    <t>consultation: maintenance (topup) on Jul 20/23 @ $60/h (x0.5h); discard costs (examination/discards/email) on Dec 7/23 @ $60/h (x0.5h)</t>
  </si>
  <si>
    <t>Jul 20/23 &amp; Dec 7/23</t>
  </si>
  <si>
    <t>picked up by KT</t>
  </si>
  <si>
    <t>provided nonprofit pricing since still affiliated with UWaterloo
CCMP1680: maintenance = Jul 20/23; discard = Dec 7/23
CCMP708: discard = Dec 7/23
email invoice to Katie Thomas at: info@bluelionlabs.com</t>
  </si>
  <si>
    <t>W-2169
(Part I)</t>
  </si>
  <si>
    <t>37, 67, 508, 669</t>
  </si>
  <si>
    <t>BBM [ ], BG-11 [ ], MAM [ ]</t>
  </si>
  <si>
    <t>110, 255, 500</t>
  </si>
  <si>
    <t>37, 67, 508, 669 (liquid); 110 mL sterile BBM [ ] w/o vit (100 mL [ ] + 10 mL Stock 5); 255 mL sterile BG-11 [ ] (250 mL [ ] + 5 mL Stock 7); 500 mL sterile MAM [ ]</t>
  </si>
  <si>
    <t>cultures @ $135 x4; sterile [ ] @ $90 (enough to prepare 10L of BBM medium); sterile [ ] @ $60 (enough to prepare 5L of BG-11 medium); sterile [ ] @ $60 (enough to prepare 5L of MAM medium)</t>
  </si>
  <si>
    <t>23734021 / Purolator #334241357998</t>
  </si>
  <si>
    <t>Split order into two shipments as per customer request
Email invoice to accountspayable@concordia.ab.ca with request to forward it to Devin Hughes (devin.hughes@concordia.ab.ca) for credit card payment</t>
  </si>
  <si>
    <t>95, 158, 431</t>
  </si>
  <si>
    <t>95, 158, 431 (liquid)</t>
  </si>
  <si>
    <t>cultures @ $135 x3</t>
  </si>
  <si>
    <t>23856074 / Purolator #334261293198</t>
  </si>
  <si>
    <t>W-2170</t>
  </si>
  <si>
    <t>internal debit memo given to Kim Cuddington on Sep 5/23; returned on Sep 8/23; given to Lucy Satora on Sep 8/23; credited to our account on Sep 26/23</t>
  </si>
  <si>
    <t>W-2171</t>
  </si>
  <si>
    <t>90, 420</t>
  </si>
  <si>
    <t>90 &amp; 420 (liquid: 2x15mL)</t>
  </si>
  <si>
    <t>23678787 / Purolator #334231932545</t>
  </si>
  <si>
    <t>W-2172</t>
  </si>
  <si>
    <t>715 (liquid); 1000 mL sterile f/2 [ ]</t>
  </si>
  <si>
    <t>culture @ $200 (extra 14 mL of 715 at no extra charge); sterile f/2 [ ] @ $365 (enough to prepare 100L of f/2); $10 for extra containers (split [ ] into 4 x 250 mL volumes)</t>
  </si>
  <si>
    <t>picked up by AW</t>
  </si>
  <si>
    <r>
      <t xml:space="preserve">Provide taxonomic certificates; picked up at UWaterloo </t>
    </r>
    <r>
      <rPr>
        <b/>
        <strike/>
        <sz val="10"/>
        <color rgb="FFFF0000"/>
        <rFont val="Arial"/>
        <family val="2"/>
      </rPr>
      <t>or shipped via Purolator</t>
    </r>
    <r>
      <rPr>
        <b/>
        <sz val="10"/>
        <color rgb="FFFF0000"/>
        <rFont val="Arial"/>
        <family val="2"/>
      </rPr>
      <t xml:space="preserve">
Email invoice to Accounts Payable at: abaccounts@nautilusenvironmental.ca
Put note in footer "Non-PO invoice: please forward to Victoria Carleton (vcarleton@aquatox.ca) &amp; Adam Wartman (awartman@aquatox.ca)"</t>
    </r>
  </si>
  <si>
    <t>W-2173</t>
  </si>
  <si>
    <t>1020 mL sterile BG-11 [ ] (1000 mL [ ] + 20 mL Stock 7)</t>
  </si>
  <si>
    <t>sterile [ ] @ $125 (enough to prepare 20L of BG-11 medium)</t>
  </si>
  <si>
    <t>email invoice to Accounts Payable at: acctspay@uoguelph.ca and reference the purchaser (Attn: Shermin Karedia), department (CBS), and PO # (CBS4104SK)
This PO has a max value of $500, keep using it for their next orders (expires Aug 1/24)!
(W-2173 = $135; total to date = $135; amount remaining on this PO = $365)</t>
  </si>
  <si>
    <t>W-2174</t>
  </si>
  <si>
    <t>23856140 / Purolator #334261296027</t>
  </si>
  <si>
    <t>ship via Purolator
email invoice to Katherine Raes (Toxicology Centre) at: connectionpoint@usask.ca</t>
  </si>
  <si>
    <t>W-2175</t>
  </si>
  <si>
    <t>89 (liquid)</t>
  </si>
  <si>
    <t>P.O. #: 2223-321PE</t>
  </si>
  <si>
    <t>23790608 / Purolator #334250356444</t>
  </si>
  <si>
    <t>W-2176</t>
  </si>
  <si>
    <t>490 (liquid x3)</t>
  </si>
  <si>
    <t>P.O. #: 211718</t>
  </si>
  <si>
    <t>23789521 / Purolator Express 10:30AM #334250361600</t>
  </si>
  <si>
    <t>Provide taxonomic certificates; Ship via Purolator Express 10:30AM
Email invoice to Accounts Payable at: payables@agatlabs.com</t>
  </si>
  <si>
    <t>W-2177</t>
  </si>
  <si>
    <t>P.O. #: 38710657</t>
  </si>
  <si>
    <t>23790696 / Purolator Express 10:30AM #334250372805</t>
  </si>
  <si>
    <t>shipped via Purolator Express 10:30AM but it still took 2 days to arrive...try again next time?
email invoice to Accounts Payable at: Accounts.Payable@bvlabs.com (for Chelsea Blake (Quebec City Lab)
Purchaser: Ankitesh Kumar Singh; Email: ankitesh-kumar.singh@bureauveritas.com)</t>
  </si>
  <si>
    <t>W-2178
(Part I)</t>
  </si>
  <si>
    <t>90 (liquid)</t>
  </si>
  <si>
    <t>culture @ $60 (50% discount for old culture)</t>
  </si>
  <si>
    <t>picked up by AE</t>
  </si>
  <si>
    <t>Email invoice to Adham Elmalky at: aelmalky@uwaterloo.ca (although Adham attends UWaterloo, he requested that all invoices go to him directly rather than through an internal chargeback)</t>
  </si>
  <si>
    <t>W-2178
(Part II)</t>
  </si>
  <si>
    <t>consultation re low cost growth of algae setup</t>
  </si>
  <si>
    <t>consultation fee @ $50/h x 2 hours</t>
  </si>
  <si>
    <t>W-2179</t>
  </si>
  <si>
    <t>500 mL sterile f/2 [ ]</t>
  </si>
  <si>
    <t>sterile f/2 [ ] @ $180 (enough to prepare 50L of f/2)</t>
  </si>
  <si>
    <t>23789420 / Purolator #334250368050</t>
  </si>
  <si>
    <t>W-2180</t>
  </si>
  <si>
    <t>124 (liquid)</t>
  </si>
  <si>
    <t>23867603 / Purolator #334263632377</t>
  </si>
  <si>
    <t>W-2181
(Part I)</t>
  </si>
  <si>
    <t>culture @ $175</t>
  </si>
  <si>
    <t>24081034 / Purolator #334296675211</t>
  </si>
  <si>
    <t>W-2181
(Part II)</t>
  </si>
  <si>
    <t>25315019 / Purolator #334488583694</t>
  </si>
  <si>
    <t>W-2182</t>
  </si>
  <si>
    <t>5000 mL non-sterile MAM [ ]</t>
  </si>
  <si>
    <t>non-sterile MAM [ ] @ $140 (enough to prepare 50L of MAM)</t>
  </si>
  <si>
    <t>23867213 / Purolator #334263628680</t>
  </si>
  <si>
    <t>if shipping via Purolator, just use Express service, not Express 10:30AM (receiver location is not in a Purolator premium service point)
email invoice to Frederic Ors at: orsfred@gmail.com</t>
  </si>
  <si>
    <t>W-2183</t>
  </si>
  <si>
    <t>492 (liquid @3x25 mL)</t>
  </si>
  <si>
    <t>cultures @ $290</t>
  </si>
  <si>
    <t>P.O. #: 2634</t>
  </si>
  <si>
    <t>23944484 / Purolator #334274981250</t>
  </si>
  <si>
    <t>provide taxonomic certificates; uses a P.O. # most of the time
Note: they may pick up their samples at the Purolator office
email invoice to Accounts Payable at: orders@testmark.ca
Purchaser: Kamran Mansoor</t>
  </si>
  <si>
    <t>W-2184</t>
  </si>
  <si>
    <t>55 mL sterile BBM [ ] w vit (50 mL [ ] + 5 mL Stock 5)</t>
  </si>
  <si>
    <t>P.O. #: P1143058</t>
  </si>
  <si>
    <t>23869477 / Purolator #334263637046</t>
  </si>
  <si>
    <t>Ship via Purolator Express. Requires a PO# through McGill Marketplace!
email invoice to Accounts Payable at: accountspayable@mcgill.ca for Saji George/Ruby Ziruo Liu</t>
  </si>
  <si>
    <t>W-2185</t>
  </si>
  <si>
    <t>24007301 / FedEx Intl Prior #783351315598</t>
  </si>
  <si>
    <t>W-2186</t>
  </si>
  <si>
    <t>90 (liquid x45mL); 550 mL sterile BBM [ ] w vit (500 mL [ ] + 50 mL Stock 5)</t>
  </si>
  <si>
    <r>
      <t xml:space="preserve">culture @ $180; sterile [ ] @ $165 (enough to prepare 50L of BBM medium) </t>
    </r>
    <r>
      <rPr>
        <sz val="10"/>
        <color rgb="FFFF0000"/>
        <rFont val="Arial"/>
        <family val="2"/>
      </rPr>
      <t>(OUCH…accidentally quoted last year's pricing!)</t>
    </r>
  </si>
  <si>
    <t>23944602 / Purolator #334274991507</t>
  </si>
  <si>
    <t>may or may not use a PO; specify full name, York email address, and department of PI: "Non-PO invoice: Raymond Kwong (rwmkwong@yorku.ca) - Biology"
email invoice to Accounts Payable at: vendorinvoices@yorku.ca</t>
  </si>
  <si>
    <t>W-2187</t>
  </si>
  <si>
    <t>Kim Racine, Flavie Desreac</t>
  </si>
  <si>
    <t>32, 90</t>
  </si>
  <si>
    <t>32, 90 (liquid x15 mL)</t>
  </si>
  <si>
    <t>P.O. #: 0000113560</t>
  </si>
  <si>
    <t>24157161 / Purolator #334308533135</t>
  </si>
  <si>
    <t>Requires a quote and PO
ship via Purolator
email invoice to Comptes Payables at: cap@inrs.ca</t>
  </si>
  <si>
    <t>W-2188</t>
  </si>
  <si>
    <t>23957252 / Purolator #334277184472</t>
  </si>
  <si>
    <r>
      <t xml:space="preserve">Provide taxonomic certificates; </t>
    </r>
    <r>
      <rPr>
        <b/>
        <strike/>
        <sz val="10"/>
        <color rgb="FFFF0000"/>
        <rFont val="Arial"/>
        <family val="2"/>
      </rPr>
      <t xml:space="preserve">picked up at UWaterloo or </t>
    </r>
    <r>
      <rPr>
        <b/>
        <sz val="10"/>
        <color rgb="FFFF0000"/>
        <rFont val="Arial"/>
        <family val="2"/>
      </rPr>
      <t>shipped via Purolator
Email invoice to Accounts Payable at: abaccounts@nautilusenvironmental.ca
Put note in footer "Non-PO invoice: please forward to Victoria Carleton (vcarleton@aquatox.ca) &amp; Adam Wartman (awartman@aquatox.ca)"</t>
    </r>
  </si>
  <si>
    <t>W-2189</t>
  </si>
  <si>
    <t>24079282 / Purolator #334296679544</t>
  </si>
  <si>
    <t>W-2190</t>
  </si>
  <si>
    <t>37 (slant)</t>
  </si>
  <si>
    <t>P.O. #: CA0153057366
(ECSX-12)</t>
  </si>
  <si>
    <t>24064664 / Purolator #334294452423</t>
  </si>
  <si>
    <t xml:space="preserve">provide taxonomic certificates
email invoice to Accounts Payable at APCanada@eurofins.com
Purchaser: Eva Maraj </t>
  </si>
  <si>
    <t>W-2191</t>
  </si>
  <si>
    <t>P.O. #: 7544-23-132</t>
  </si>
  <si>
    <t>24066006 / Purolator #334294455368</t>
  </si>
  <si>
    <t>provide taxonomic certificate
send invoice to Comptes Payables at: Facturation.CEAEQ@environnement.gouv.qc.ca</t>
  </si>
  <si>
    <t>W-2192</t>
  </si>
  <si>
    <t>37, 160</t>
  </si>
  <si>
    <t>90, 90</t>
  </si>
  <si>
    <t>37 (x6), 160 (x6) (liquid)</t>
  </si>
  <si>
    <t>cultures @$200 x2; cultures @ $50 x10
(volume discount of $10 for each subsequent tube)</t>
  </si>
  <si>
    <t>P.O. #: ALS228117</t>
  </si>
  <si>
    <t>24156100 / Purolator #334308633257</t>
  </si>
  <si>
    <t>send taxonomic certificates
email invoice to Accounts Payable at: acctspayable.canusa@alsglobal.com
Purchaser: Amber Chang</t>
  </si>
  <si>
    <t>W-2193
(Part I)</t>
  </si>
  <si>
    <t>583, 721</t>
  </si>
  <si>
    <t>583, 721 (liquid) (dispensed into 2 tubes each)</t>
  </si>
  <si>
    <t>cultures @ $125 x13 (regular price = $135; discounted by ~10% for large quantity discount) (Note: cyst stage of 93 provided at no extra charge)</t>
  </si>
  <si>
    <t>24023071 / Purolator #334287138799</t>
  </si>
  <si>
    <t>Split order into multiple shipments as per customer request
Ship on Wednesdays via Purolator Express 10:30AM to Attn: Alexei Guerra
email invoice to Frederique Collin Delagrave at: frederique.collin.delagrave@umontreal.ca for Alexei Guerra/Naila Barbosa da Costa</t>
  </si>
  <si>
    <t>W-2193
(Part II)</t>
  </si>
  <si>
    <t>24095175 / Purolator #334299041486</t>
  </si>
  <si>
    <t>W-2193
(Part III)</t>
  </si>
  <si>
    <t>65, 397, 442, 449 (liquid) (dispensed into 2 tubes each)</t>
  </si>
  <si>
    <t>24173059 / Purolator #334310984250</t>
  </si>
  <si>
    <t>W-2193
(Part IV)</t>
  </si>
  <si>
    <t>95, 336</t>
  </si>
  <si>
    <t>95, 336 (liquid) (dispensed into 2 tubes each)</t>
  </si>
  <si>
    <t>24245132 / Purolator #334322899009</t>
  </si>
  <si>
    <t>W-2194</t>
  </si>
  <si>
    <t>5, 37, 90, 669</t>
  </si>
  <si>
    <t>5, 37, 90, 669 (liquid); 4L BBM medium; 220 mL sterile BBM [ ] w vit (200 mL [ ] + 20 mL Stock 5)</t>
  </si>
  <si>
    <t>cultures @ $135 x4; medium @ $60 x4; sterile [ ] @ $125 (enough to prepare 20L of BBM medium)</t>
  </si>
  <si>
    <t>W-2195</t>
  </si>
  <si>
    <t>255 mL sterile BG-11 [ ] (250 mL [ ] + 5 mL Stock 7)</t>
  </si>
  <si>
    <t>non-sterile BG-11 [ ] @ $45 (enough to prepare 5L of BG-11 medium)</t>
  </si>
  <si>
    <t>24078643 / Purolator #334296685038</t>
  </si>
  <si>
    <t>may or may not use a PO#
email invoice to Amy Yeung at: amy.yeung@utoronto.ca
(Note: Stephanie Melo will be new contact for future orders)</t>
  </si>
  <si>
    <t>W-2196</t>
  </si>
  <si>
    <t>cultures @ $100 x2</t>
  </si>
  <si>
    <t>internal debit memo given to Jozef Nissimov on Dec 14/23; returned on Dec 14/23; given to Lucy Satora on Jan 02/24; credited to our account on Jan 26/24</t>
  </si>
  <si>
    <t>W-2197</t>
  </si>
  <si>
    <t>121 (liquid)</t>
  </si>
  <si>
    <t>24526768 / FedEx Intl Prior #785109767442</t>
  </si>
  <si>
    <t>use UW FedEx account + round up to nearest $5 increment + $25 Handling
Routes through Memphis TN, then Anchorage AK. Shipped Monday; arrived Friday PM (but FedEx website not updated until the following Monday AM)
email invoice to Noriko Nakamura at: noriko.nakamura@imat.or.jp</t>
  </si>
  <si>
    <t>W-2198</t>
  </si>
  <si>
    <t>37 (liquid: 3x15 mL)</t>
  </si>
  <si>
    <t>culture @ $290</t>
  </si>
  <si>
    <t>P.O. #: 2324-018AB</t>
  </si>
  <si>
    <t>24219399 / Purolator #334318119297</t>
  </si>
  <si>
    <t>W-2199</t>
  </si>
  <si>
    <t>safe-deposit @ $150 x5 for April 1, 2023 - March 31, 2024; reduced transfer frequency</t>
  </si>
  <si>
    <t>Invoice for Year 1 of 3 (EC FY 22/23 retroactive; CPCC FY 23/24 proactive)
(This payment will be good until Mar 31, 2024! Year 1 of 3: invoice due Sep 29/23; Year 2 of 3: invoice due Mar 31/24; Year 3 of 3: invoice due Mar 31/25)
email invoice to Manjari Balakrishnan at: manjari.balakrishnan@ec.gc.ca for Attn: Manjari Balakrishnan/Steve Marks</t>
  </si>
  <si>
    <t>W-2200</t>
  </si>
  <si>
    <t>64, 507</t>
  </si>
  <si>
    <t>64, 507 (liquid); non-sterile WC [ ] (200 mL primary [ ] + 50 mL secondary [ ])</t>
  </si>
  <si>
    <t>culture @ $135; CPCC 507 did not grow but they did not want a replacement so no charge; non-sterile WC [ ] @ $65 (enough to prepare 10L of WC)</t>
  </si>
  <si>
    <t>24391796 / Purolator #334331611163</t>
  </si>
  <si>
    <t>shipped via Purolator Express 10:30AM
email invoices to Attn: Daniel Lefebvre (lefebvre@queensu.ca) at: biology@queensu.ca</t>
  </si>
  <si>
    <t>W-2201</t>
  </si>
  <si>
    <t>P.O. #: 2324-027BC</t>
  </si>
  <si>
    <t>24153562 / Purolator #334308629917</t>
  </si>
  <si>
    <t>provide taxonomic certificates
email invoice to Accounts Payable at: accounting@nautilusenvironmental.ca</t>
  </si>
  <si>
    <t>W-2202</t>
  </si>
  <si>
    <t>37 (liquid x45 mL)</t>
  </si>
  <si>
    <t>24219203 / Purolator #334318122515</t>
  </si>
  <si>
    <t>W-2203</t>
  </si>
  <si>
    <t>Taylor Lynn Virgin, Elyse Batista</t>
  </si>
  <si>
    <t>Z8</t>
  </si>
  <si>
    <t>Z8 stocks</t>
  </si>
  <si>
    <t>1L Z8 medium; 5 mL non-sterile Z8 Stock 4</t>
  </si>
  <si>
    <t>medium @ $55; non-sterile stock sol'n @ $1/mL x 5mL</t>
  </si>
  <si>
    <t>picked up by TLV</t>
  </si>
  <si>
    <t>internal debit memo given to Elyse Batista/Monica Emelko on Nov 07/23; returned on Nov 14/23; given to Lucy Satora on Jan 02/24; credited to our account on Jan 26/24</t>
  </si>
  <si>
    <t>W-2204</t>
  </si>
  <si>
    <t>24372955 / Purolator #334329459203</t>
  </si>
  <si>
    <r>
      <t xml:space="preserve">Provide taxonomic certificates; </t>
    </r>
    <r>
      <rPr>
        <b/>
        <strike/>
        <sz val="10"/>
        <color rgb="FFFF0000"/>
        <rFont val="Arial"/>
        <family val="2"/>
      </rPr>
      <t xml:space="preserve">picked up at UWaterloo or </t>
    </r>
    <r>
      <rPr>
        <b/>
        <sz val="10"/>
        <color rgb="FFFF0000"/>
        <rFont val="Arial"/>
        <family val="2"/>
      </rPr>
      <t>shipped via Purolator
Email invoice to Attn: Adam Wartman (awartman@aquatox.ca) at: accounting@nautilusenvironmental.ca</t>
    </r>
  </si>
  <si>
    <t>W-2205</t>
  </si>
  <si>
    <t>715/CCMP1319 (liquid: 2x15mL); 500 mL sterile f/2 [ ]</t>
  </si>
  <si>
    <t>culture @ $175 (extra 30 mL of 715 at no extra charge); sterile f/2 [ ] @ $180 (enough to prepare 50L of f/2)</t>
  </si>
  <si>
    <t>24392246 / Purolator #334331621501</t>
  </si>
  <si>
    <t>W-2206</t>
  </si>
  <si>
    <t>37, 67, 552</t>
  </si>
  <si>
    <t>37 (slant); 67, 552 (liquid)</t>
  </si>
  <si>
    <t>cultures @ $200 x3</t>
  </si>
  <si>
    <t>24543928 / FedEx Intl Prior #785167365030</t>
  </si>
  <si>
    <r>
      <t>Provide taxonomic certificates
Use UW FedEx account &amp; round up to nearest $5 increment + $25 Handling</t>
    </r>
    <r>
      <rPr>
        <b/>
        <strike/>
        <sz val="10"/>
        <color indexed="10"/>
        <rFont val="Arial"/>
        <family val="2"/>
      </rPr>
      <t xml:space="preserve"> OR send collect with FedEx account # 134739452 for both shipping and Customs?</t>
    </r>
    <r>
      <rPr>
        <b/>
        <sz val="10"/>
        <color indexed="10"/>
        <rFont val="Arial"/>
        <family val="2"/>
      </rPr>
      <t xml:space="preserve">
Use "Live cell cultures; research; non-haz." or "Lab algal cultures; research; non-haz." wording on shipping request
Email invoice to Mike Schuettpelz at: Michael.Schuettpelz@as.eurofinsus.com
Notify Mike Schuettpelz after invoice has been issued</t>
    </r>
  </si>
  <si>
    <t>W-2207</t>
  </si>
  <si>
    <t>64, 299, 300, 426, 427, 507, 543, 544, 632, 702, 704, 736, 746</t>
  </si>
  <si>
    <t>30, 30, 30, 30, 30, 30, 30, 30, 30, 30, 30, 30, 30</t>
  </si>
  <si>
    <t>3N BBM, WC, Z8</t>
  </si>
  <si>
    <t>1, 1, 1</t>
  </si>
  <si>
    <t>64, 299, 300, 426, 427, 507, 543, 544, 632, 702, 704, 736, 746 (liquid x30mL); 1L 3N BBM medium; 1L WC medium; 1L Z8 medium</t>
  </si>
  <si>
    <t>cultures @ $160 x13 (regular price = $175; discounted by ~10% for large quantity discount); medium @ $65 x3 (Note: CPCC 702 didn't acclimate but didn't need to provide a discount as per Katrin…this helps offset the extra shipping cost.)</t>
  </si>
  <si>
    <t>Contract # 4534900313 / BwDLZ München</t>
  </si>
  <si>
    <t>25843821 / FedEx Intl Prior #271430300695</t>
  </si>
  <si>
    <t>W-2208</t>
  </si>
  <si>
    <t xml:space="preserve">$475/day x 1st person + $237.50/day x 2nd person </t>
  </si>
  <si>
    <t>Oct 25/23 &amp; Oct 26/23</t>
  </si>
  <si>
    <t>remember to charge 13% HST for the workshop!
email invoice to Gauri Prabhakar at: gauri.prabhakar@NRCan-RNCan.gc.ca</t>
  </si>
  <si>
    <t>W-2209
(Part I)</t>
  </si>
  <si>
    <t>418, 419</t>
  </si>
  <si>
    <t>418, 419 (liquid x 2x15mL = 1x15mL in BBM &amp; 1x15 mL in CHU-10)</t>
  </si>
  <si>
    <t>24928699 / Purolator #334417553305</t>
  </si>
  <si>
    <t>W-2209
(Part II)</t>
  </si>
  <si>
    <t>BBM stocks, CHU-10 stocks</t>
  </si>
  <si>
    <t>197, 185</t>
  </si>
  <si>
    <t>non-sterile BBM stock solutions (197 mL); non-sterile CHU-10 stock solutions (185 mL)</t>
  </si>
  <si>
    <t>picked up by ES &amp; GP</t>
  </si>
  <si>
    <t>W-2210</t>
  </si>
  <si>
    <t>1L EC Hoaglands medium</t>
  </si>
  <si>
    <t>medium @ $80</t>
  </si>
  <si>
    <t>P.O. #: 1234</t>
  </si>
  <si>
    <t>24765680 / Purolator #334389720015</t>
  </si>
  <si>
    <t>W-2211</t>
  </si>
  <si>
    <t>24748994 / Purolator #334387209599</t>
  </si>
  <si>
    <t>W-2212</t>
  </si>
  <si>
    <t>750, 750, 750, 750</t>
  </si>
  <si>
    <t>178, 669, 544, 545 (liquid = 375 mL x 2 for a total of 750 mL each)</t>
  </si>
  <si>
    <t>cultures @ $345 x4 (dispense into 2 x 500 mL jar) (Note: 1 jar of CPCC 545 turned yellow several days later but they were able to conduct both labs with just the remaining jar; offered discount but Dongling declined.)</t>
  </si>
  <si>
    <t>Prepared ~90-100 mL volumes Nov 3/23; ~300 mL volumes Dec 1/23; ~750 mL volumes Dec 20/23
email invoice to Robbie Brar/Dongling Zhao at: eeb.reception@utoronto.ca
Put footnote indicating that "Charges are for course BIO220 (eutrophication exercise)"</t>
  </si>
  <si>
    <t>W-2213</t>
  </si>
  <si>
    <t>P.O. #: DS-058104</t>
  </si>
  <si>
    <t>24826551 / Purolator #334399122459</t>
  </si>
  <si>
    <t>ship via Purolator Express (took 2 days to arrive…there isn't any next day delivery)
email invoice to Comptes payables at: factures@uqar.ca</t>
  </si>
  <si>
    <t>W-2214</t>
  </si>
  <si>
    <t>420 (liquid x30mL)</t>
  </si>
  <si>
    <t>24749109 / Purolator #334387205605</t>
  </si>
  <si>
    <t>ship via Purolator Express
invoices are emailed to Attn: Jon Stone (jstoner@mcmaster.ca; LSB-327) at: biology2@mcmaster.ca</t>
  </si>
  <si>
    <t>W-2215</t>
  </si>
  <si>
    <t>220 mL sterile BBM [ ] w vit (200 mL [ ] + 20 mL Stock 5)</t>
  </si>
  <si>
    <t>sterile [ ] @ $125 (enough to prepare 20L of BBM medium)</t>
  </si>
  <si>
    <t>24765951 / Purolator #334389728042</t>
  </si>
  <si>
    <t>pick up or ship via Purolator/FedEx!
reference Carlos Cruz and EEB240 on invoice
email invoice to Robbie Brar/Carlos Cruz at: eeb.reception@utoronto.ca</t>
  </si>
  <si>
    <t>W-2216</t>
  </si>
  <si>
    <t>11 (liquid - 2x15mL)</t>
  </si>
  <si>
    <t>24966363 / FedEx Intl Prior #787016113150</t>
  </si>
  <si>
    <t>W-2217</t>
  </si>
  <si>
    <t>508 (liquid x45mL); 2L BBM medium</t>
  </si>
  <si>
    <t>culture @ $100 (~50% discount for high school student); medium @ $65 x2</t>
  </si>
  <si>
    <t>24928043 / Purolator #334417550228</t>
  </si>
  <si>
    <t>W-2218</t>
  </si>
  <si>
    <t>24899120 / Purolator #334412087820</t>
  </si>
  <si>
    <t>ship via Purolator Express
email invoice to Katherine Raes (Toxicology Centre) at: connectionpoint@usask.ca</t>
  </si>
  <si>
    <t>W-2219</t>
  </si>
  <si>
    <t>162, 432</t>
  </si>
  <si>
    <t>162, 432 (liquid x30mL)</t>
  </si>
  <si>
    <t>24826856 / Purolator #334399126575</t>
  </si>
  <si>
    <t>ship via Purolator Express 10:30AM (took 2 days to arrive…there isn't any next day delivery, therefore, not worth paying for the earlier service to this location!)
email invoice to AP at: DFO.invoicing-facturation.MPO@canada.ca (Attn: AP Coder Kathy Verreault (Kathy.Verreault@dfo-mpo.gc.ca))</t>
  </si>
  <si>
    <t>W-2220</t>
  </si>
  <si>
    <t>300, 544</t>
  </si>
  <si>
    <t>300, 544 (liquid x30 mL); 4L BG-11 medium</t>
  </si>
  <si>
    <t>cultures @ $175 x2; medium @ $60 x4</t>
  </si>
  <si>
    <t>24899595 / Purolator #334412102041</t>
  </si>
  <si>
    <t>ship via Purolator Express
invoices are currently being mailed via Canada Post to Attn: Brenda Veinot (Applied Research) (Brenda.Veinot@nscc.ca)</t>
  </si>
  <si>
    <t>W-2221</t>
  </si>
  <si>
    <t>37 (liquid x30mL); 6L BBM medium</t>
  </si>
  <si>
    <t>culture @ $175; media @$60 x6</t>
  </si>
  <si>
    <t>P.O. #: BON232400826</t>
  </si>
  <si>
    <t>25003224 / Purolator #334434178656</t>
  </si>
  <si>
    <t>uses a PO#; ship via Purolator Express
email invoice to Comptes Payables at: finances@cshawi.ca</t>
  </si>
  <si>
    <t>W-2222</t>
  </si>
  <si>
    <t>24899346 / Purolator #334412097605</t>
  </si>
  <si>
    <t>provide taxonomic certificates
ship via Purolator Express
email invoice to Megan Bauer at: Megan.Bauer@ec.gc.ca</t>
  </si>
  <si>
    <t>W-2223</t>
  </si>
  <si>
    <t>P.O. #: 865078-231204-PH</t>
  </si>
  <si>
    <t>25150825 / FedEx COLLECT #787892854337</t>
  </si>
  <si>
    <t>shipment sent collect via FedEx #112280820 as per client request (charge $5 Handling)
email invoice to Accounts Payable at: AP.865.INV.SUBMIT@bureauveritas.com
Reference Pam Howes/Donald Lai (Burnaby Ecotox Group) &amp; PO if provided
Also added footer: "Purchase Order prepared by Iliana Portelles Serrano; Email: Iliana.portelles-serrano@bureauveritas.com"</t>
  </si>
  <si>
    <t>W-2224</t>
  </si>
  <si>
    <t>37, 89</t>
  </si>
  <si>
    <t>37, 89 (liquid x45mL)</t>
  </si>
  <si>
    <t>cultures @ $195 x2</t>
  </si>
  <si>
    <t>25227524 / Purolator #334473044132</t>
  </si>
  <si>
    <t>W-2225</t>
  </si>
  <si>
    <t>243 (liquid x45mL); non-sterile BBM stock solutions</t>
  </si>
  <si>
    <t>culture @ $100 (half-price for high school student); non-sterile BBM stock solutions @ $140 (enough to prepare 50L of BBM medium with modifications)</t>
  </si>
  <si>
    <t>24928191 / Purolator #334417558189</t>
  </si>
  <si>
    <t>ship via Purolator Express; label as NSR
email invoice to Munir Boodhwani at: mboodhwani@gmail.com</t>
  </si>
  <si>
    <t>W-2226</t>
  </si>
  <si>
    <t>90 (liquid x45mL); 110 mL sterile BBM [ ] w vit (100 mL [ ] + 10 mL Stock 5)</t>
  </si>
  <si>
    <t>culture @ $195; sterile [ ] @ $90 (enough to prepare 10L of BBM medium)</t>
  </si>
  <si>
    <t>24966952 / Purolator #334427927697</t>
  </si>
  <si>
    <t>ship via Purolator Express
email invoice to Accounts Payable at: payments@fanshawec.ca with Attn: Kris James (kjames2@FanshaweC.ca)</t>
  </si>
  <si>
    <t>W-2227</t>
  </si>
  <si>
    <t>2-day workshop x 1 person</t>
  </si>
  <si>
    <t>$475/day x 1st person</t>
  </si>
  <si>
    <t>Nov 23/23 &amp; Nov 24/23</t>
  </si>
  <si>
    <t>remember to charge 13% HST for the workshop!
email invoice to Cassandra Lofranco at: Cassandra.Lofranco@ontario.ca</t>
  </si>
  <si>
    <t>W-2228</t>
  </si>
  <si>
    <t>medium @ $75 x3</t>
  </si>
  <si>
    <t>25003432 / Purolator #334434175223</t>
  </si>
  <si>
    <t>W-2229</t>
  </si>
  <si>
    <t>310, 490</t>
  </si>
  <si>
    <t>310, 490 (x2 slants)</t>
  </si>
  <si>
    <t>cultures @ $260 x2</t>
  </si>
  <si>
    <t>P.O. #: 2023-500481</t>
  </si>
  <si>
    <t>25049232 / FedEx Intl Prior #787434005127</t>
  </si>
  <si>
    <t>uses a PO #; provide taxonomic certificates
use UW FedEx account + round up to nearest $5 increment + $25 Handling
email invoice to Accounts Payable at: rechnung@hyg.de
Purchaser: Marus Ernst</t>
  </si>
  <si>
    <t>W-2230</t>
  </si>
  <si>
    <t>5100 mL sterile BG-11 [ ] (5000 mL [ ] + 100 mL Stock 7)</t>
  </si>
  <si>
    <t>sterile BG-11 [ ] @ $185 (enough to prepare 100L of BG-11)</t>
  </si>
  <si>
    <t>W-2231</t>
  </si>
  <si>
    <t>sterile f/2 [ ] @ $500 (enough to prepare 200L of f/2); $25 for extra containers (split [ ] into 8 x 250 mL volumes)</t>
  </si>
  <si>
    <t>25149052 / Purolator #334459288026</t>
  </si>
  <si>
    <t>ship via Purolator Express
email invoice to Accounts Payable at: abaccounts@nautilusenvironmental.ca
Put note in footer "Non-PO invoice: please forward to Victoria Carleton (vcarleton@aquatox.ca) &amp; Adam Wartman (awartman@aquatox.ca)"</t>
  </si>
  <si>
    <t>W-2232</t>
  </si>
  <si>
    <t>200 mL sterile CHU-10 [ ] (90 mL [ ] + 100 mL Stock 1 + 10 mL Stock 5)</t>
  </si>
  <si>
    <t>sterile [ ] @ $90 (enough to prepare 10L of CHU-10 medium)</t>
  </si>
  <si>
    <t>charge $10 for delivery to U of Guelph
email invoice to Accounts Payable at: acctspay@uoguelph.ca and reference the purchaser (Attn: Shermin Karedia), department (CBS), and PO # (CBS4104SK)
This PO has a max value of $500, keep using it for their next orders (expires Aug 1/24)!
(W-2173 = $135; W-2232 = $100; total to date = $235; amount remaining on this PO = $265)</t>
  </si>
  <si>
    <t>W-2233</t>
  </si>
  <si>
    <t>37 (liquid); 20 small BBM+org plates</t>
  </si>
  <si>
    <t>culture @ $200; small plates @ $3 x20</t>
  </si>
  <si>
    <t>P.O. #: 2324-079PE</t>
  </si>
  <si>
    <t>25315126 / Purolator #334488570170</t>
  </si>
  <si>
    <t>ship via Purolator
email invoice to Accounts Payable/Katherine Martens at: abaccounts@nautilusenvironmental.ca</t>
  </si>
  <si>
    <t>W-2234</t>
  </si>
  <si>
    <t>492 (slant x4)</t>
  </si>
  <si>
    <t>cultures @ $230</t>
  </si>
  <si>
    <t>25314322 / Purolator #334488580559</t>
  </si>
  <si>
    <t>ship via Purolator Express (Purolator is both quicker and cheaper than UPS)
shipment cost $29.67 via Purolator (1 day!) according to Agile (charged $35) in 2024
shipment cost $29.67 via Purolator (1 day!) according to Agile (charged $30) in 2023
shipment cost $15.23 via Purolator (1 day!) according to Agile (charged $25) in 2022
shipment cost $29.93 via Purolator (1 day!) according to Agile (charged $30) in 2021
shipment cost $29.75 via Purolator (1 day!) according to Agile (charged $30) in 2020
shipment cost $48.75 via UPS (2 days) according to Agile (charged $50) in 2019
shipment cost $27.13 via Purolator (2 days) according to Agile (charged $30) in 2018
email invoice to Accounts Payable at: payables@portagecollege.ca; add note indicating that it needs to be approved by Shun Li (for the Ecology lab Lemna order) or Mandy Batke-Lwanga (Interim Coordinator for University Transfer program) or Al Bertchi (Environmental Technologist Diploma Program Coordinator)</t>
  </si>
  <si>
    <t>W-2235</t>
  </si>
  <si>
    <t>25213259 / Purolator #334470555874</t>
  </si>
  <si>
    <t>W-2236</t>
  </si>
  <si>
    <t>5 (liquid)</t>
  </si>
  <si>
    <t>25212438 / Purolator #334470548705</t>
  </si>
  <si>
    <t>ship via Purolator Express
email invoice to: finance.botany@ubc.ca and reference "Botany Accounts Payable"</t>
  </si>
  <si>
    <t>Shipped via Purolator Express 10:30AM in order to beat the snowstorm
Email invoice to Accounts Payable at: Accounts.Payable@bvlabs.com (for Beria Lima de Rodriguez (Saint-Laurent Lab)
Purchasers: Stavroula Koumoutsakis &amp; Ankitesh Kumar Singh</t>
  </si>
  <si>
    <t>ship via Purolator Express
email invoice to Accounts Payable at: abaccounts@nautilusenvironmental.ca
Purchaser: Martina Rendas</t>
  </si>
  <si>
    <t>Shipped via Purolator Express 12PM and it arrived next day!
Provide taxonomic certificates
Email invoice to Accounts Payable at APCanada@eurofins.com
Purchaser: Eva Maraj</t>
  </si>
  <si>
    <t>Deconstructed EC Hoaglands medium (2L Milli-Q H2O plus enough EC Hoaglands stocks/organics to prepare 2L of EC Hoagland's medium)</t>
  </si>
  <si>
    <t>W-2245A</t>
  </si>
  <si>
    <t>requested on Jan 8/24
split 50/50 between Kirsten Muller (W-2245A) &amp; Monica Emelko (W-2245B)
internal debit memo given to Kirsten Muller on Apr 02/24; returned on Apr 03/24; given to Lucy Satora on Apr 12/24; credited to our account on Apr 16/24</t>
  </si>
  <si>
    <t>W-2245B</t>
  </si>
  <si>
    <t>requested on Jan 8/24
split 50/50 between Kirsten Muller (W-2245A) &amp; Monica Emelko (W-2245B)
internal debit memo given to Monica Emelko on Apr 02/24; returned on Apr 11/24; given to Lucy Satora on Apr 12/24; credited to our account on Apr 16/24</t>
  </si>
  <si>
    <t>714, 715</t>
  </si>
  <si>
    <t>Uses a PO
Email invoice to Accounts Payable at: accounting@huntsmanmarine.ca and reference Ellen Fanning (Need to request that UWaterloo Finance unpark this customer before use and then notify them when they can park them again.)</t>
  </si>
  <si>
    <t>Price Increases for all orders starting Feb 2/24!</t>
  </si>
  <si>
    <t>552 (liquid x100mL); 2L CHU-10 medium</t>
  </si>
  <si>
    <t>W-2253
(Part I)</t>
  </si>
  <si>
    <t>W-2253
(Part II)</t>
  </si>
  <si>
    <t>W-2253
(Part III)</t>
  </si>
  <si>
    <t>W-2253
(Part IV)</t>
  </si>
  <si>
    <t>W-2253
(Part V)</t>
  </si>
  <si>
    <t>David Depew - AC</t>
  </si>
  <si>
    <r>
      <t xml:space="preserve">Ship via Purolator Express
Email invoice to Accounts Payable at: servicesfadrhebh-wherdfaservices@ec.gc.ca with Attn: David Depew (David.Depew@canada.ca) and External Ref "David Depew - AC"
</t>
    </r>
    <r>
      <rPr>
        <b/>
        <sz val="10"/>
        <color rgb="FFFF00FF"/>
        <rFont val="Arial"/>
        <family val="2"/>
      </rPr>
      <t>= payment not received until 2024-2025 fiscal year</t>
    </r>
  </si>
  <si>
    <t>Oyeboade (Oye) Adebayo, Ruchita Solanki</t>
  </si>
  <si>
    <t>15, 15, 15, 15, 15, 15</t>
  </si>
  <si>
    <r>
      <t xml:space="preserve">ship via Purolator Express
email invoice to Comptes Payables at: comptesapayer@adm.inrs.ca
</t>
    </r>
    <r>
      <rPr>
        <b/>
        <sz val="10"/>
        <color rgb="FFFF00FF"/>
        <rFont val="Arial"/>
        <family val="2"/>
      </rPr>
      <t>= payment not received until 2024-2025 fiscal year</t>
    </r>
  </si>
  <si>
    <t>W-2266
(Part I)</t>
  </si>
  <si>
    <t>W-2266
(Part II)</t>
  </si>
  <si>
    <t>LVPO#:
SES107-2024MI</t>
  </si>
  <si>
    <r>
      <t xml:space="preserve">ship via Purolator Express (arrived next day!)
provide taxonomic certificate
send invoice to Comptes Payables at: ceaeq.admin@environnement.gouv.qc.ca
</t>
    </r>
    <r>
      <rPr>
        <b/>
        <sz val="10"/>
        <color rgb="FFFF00FF"/>
        <rFont val="Arial"/>
        <family val="2"/>
      </rPr>
      <t>= payment not received until 2024-2025 fiscal year</t>
    </r>
  </si>
  <si>
    <t>26480757 / Purolator Express #334675053295</t>
  </si>
  <si>
    <r>
      <t xml:space="preserve">ship via Purolator Express…delivery took 2 days instead of the usual 1 day!
email invoice to: accountspayable@mun.ca (Attn: Derek Burton (engrpurchasing@mun.ca))
</t>
    </r>
    <r>
      <rPr>
        <b/>
        <sz val="10"/>
        <color rgb="FFFF00FF"/>
        <rFont val="Arial"/>
        <family val="2"/>
      </rPr>
      <t>= payment not received until 2024-2025 fiscal year</t>
    </r>
  </si>
  <si>
    <t>W-2277
(Part I)</t>
  </si>
  <si>
    <t>W-2277
(Part II)</t>
  </si>
  <si>
    <t>W-2277
(Part III)</t>
  </si>
  <si>
    <t>1L BG-11 medium</t>
  </si>
  <si>
    <t>medium @ $55</t>
  </si>
  <si>
    <t>picked up by SB</t>
  </si>
  <si>
    <t>W-2277
(Part IV)</t>
  </si>
  <si>
    <t>2L BG-11 medium</t>
  </si>
  <si>
    <t>medium @ $55 x2</t>
  </si>
  <si>
    <t>W-2277
(Part V)</t>
  </si>
  <si>
    <t>3L BG-11 medium</t>
  </si>
  <si>
    <t>medium @ $50 x3</t>
  </si>
  <si>
    <t>W-2278
(Part I)</t>
  </si>
  <si>
    <t>36, 37, 138, 141, 244, 282, 431</t>
  </si>
  <si>
    <t>15, 15, 15, 15, 15, 15, 15</t>
  </si>
  <si>
    <t>36, 37, 138, 141, 244, 282, 431 (liquid)</t>
  </si>
  <si>
    <t>cultures @ $135 x7 (regular price = $150; discounted by 10% for large quantity discount)</t>
  </si>
  <si>
    <t>D.P.O. #: 206667</t>
  </si>
  <si>
    <t>26636651 / Purolator Express #334700013876</t>
  </si>
  <si>
    <t>W-2278
(Part II)</t>
  </si>
  <si>
    <t>15, 0, 15</t>
  </si>
  <si>
    <r>
      <t xml:space="preserve">169, </t>
    </r>
    <r>
      <rPr>
        <strike/>
        <sz val="10"/>
        <rFont val="Arial"/>
        <family val="2"/>
      </rPr>
      <t>358</t>
    </r>
    <r>
      <rPr>
        <sz val="10"/>
        <rFont val="Arial"/>
        <family val="2"/>
      </rPr>
      <t>, 716 (liquid)</t>
    </r>
  </si>
  <si>
    <t>cultures @ $135 x2 (regular price = $150; discounted by 10% for large quantity discount) (NOTE: order for 358 cancelled @ no charge due to poor growth)</t>
  </si>
  <si>
    <t>sterile f/2 [ ] @ $520 (enough to prepare 200L of f/2); $25 for extra containers (split [ ] into 8 x 250 mL volumes); accidentally overcharged by $25. will provide $25 deduction on next order!</t>
  </si>
  <si>
    <r>
      <t xml:space="preserve">Ship via Purolator Express
Email invoice to Accounts Payable at: abaccounts@nautilusenvironmental.ca
Attn: Adam Wartman (awartman@aquatox.ca)
External reference "Non-PO invoice: Adam Wartman - Guelph"
Accidentally billed extra $25 on this invoice so will deduct $25 from their next order!
</t>
    </r>
    <r>
      <rPr>
        <b/>
        <sz val="10"/>
        <color rgb="FFFF00FF"/>
        <rFont val="Arial"/>
        <family val="2"/>
      </rPr>
      <t>= payment not received until 2024-2025 fiscal year</t>
    </r>
  </si>
  <si>
    <t>sterile BG-11 [ ] @ $420 (enough to prepare 250L of BG-11 medium)</t>
  </si>
  <si>
    <r>
      <t xml:space="preserve">NOTE: actual prep time &amp; supply cost is significantly higher than $420…need to bill ~ double next time! Customer allowed me to bill full $80 S&amp;H fee to help recoup costs
Uses a PO #
Email invoice to Accounts Payable at: apinvoices@uwindsor.ca
</t>
    </r>
    <r>
      <rPr>
        <b/>
        <sz val="10"/>
        <color rgb="FFFF00FF"/>
        <rFont val="Arial"/>
        <family val="2"/>
      </rPr>
      <t>= payment not received until 2024-2025 fiscal year</t>
    </r>
  </si>
  <si>
    <t>W-2281
(Part I)</t>
  </si>
  <si>
    <t>BBM, CHU-10, f/2, HSM</t>
  </si>
  <si>
    <t>4, 4, 4, 4</t>
  </si>
  <si>
    <t>37, 50, 85, 417 (liquid); 4L BBM medium; 4L CHU-10 medium; 4L f/2 medium; 4L HSM medium</t>
  </si>
  <si>
    <t>cultures @ $150 x4; medium @ $60 x16</t>
  </si>
  <si>
    <t>26698052 / Purolator Express #334709903044 &amp; 334709903051</t>
  </si>
  <si>
    <t>Part I shipped as 2 boxes; Part II shipped as 1 box (Note: Purolator billed both boxes together under the first tracking #; FedEx typically bills them separately as 2 separate shipments!)
Invoices are currently being mailed via Canada Post to the Royalmount office (Unit4 ID 107425) for credit card payment (Attn: Marie-Josée Lorrain; Marie-Josee.Lorrain@cnrc-nrc.gc.ca)
Alternatively, if using a PO, then most invoices go directly to the main Ottawa AP office (Unit4 ID 103482) with Attn: Accounts Payable/Comptes Payables at: nrc.invoice-facture.cnrc@nrc-cnrc.gc.ca</t>
  </si>
  <si>
    <t>W-2281
(Part II)</t>
  </si>
  <si>
    <t>471 (liquid); 4L BG-11 medium</t>
  </si>
  <si>
    <t>culture @ $150; medium @ $60 x4</t>
  </si>
  <si>
    <t>26867644 / Purolator Express #334736125785</t>
  </si>
  <si>
    <t>26713220 / Purolator Express #334712512055</t>
  </si>
  <si>
    <r>
      <t xml:space="preserve">email invoice to Jillian Thompson-Anderson at: water.invoices@hamilton.ca
</t>
    </r>
    <r>
      <rPr>
        <b/>
        <sz val="10"/>
        <color rgb="FFFF00FF"/>
        <rFont val="Arial"/>
        <family val="2"/>
      </rPr>
      <t>= payment not received until 2024-2025 fiscal year</t>
    </r>
  </si>
  <si>
    <t>culture @ $150 (extra 14 mL of 715 at no extra charge)</t>
  </si>
  <si>
    <r>
      <t xml:space="preserve">provide taxonomic certificates
email invoice to Megan Bauer at: megan.bauer@ec.gc.ca
</t>
    </r>
    <r>
      <rPr>
        <b/>
        <sz val="10"/>
        <color rgb="FFFF00FF"/>
        <rFont val="Arial"/>
        <family val="2"/>
      </rPr>
      <t>= payment not received until 2024-2025 fiscal year</t>
    </r>
  </si>
  <si>
    <r>
      <t xml:space="preserve">Ship via Purolator Express; usually arrives next day but can sometimes take 2 days to arrive (10:30AM service doesn't speed up delivery) 
Email invoice to Accounts Payable at: Accounts.Payable@bvlabs.com (for Chelsea Blake (Quebec City Lab)
Purchaser: Ankitesh Kumar Singh; Email: ankitesh-kumar.singh@bureauveritas.com)
</t>
    </r>
    <r>
      <rPr>
        <b/>
        <sz val="10"/>
        <color rgb="FFFF00FF"/>
        <rFont val="Arial"/>
        <family val="2"/>
      </rPr>
      <t>= payment not received until 2024-2025 fiscal year</t>
    </r>
  </si>
  <si>
    <t>26616160 / Purolator Express #334697501651</t>
  </si>
  <si>
    <t>sterile BG-11 stock solutions @ $260 (enough to prepare 10L of BG-11 medium): 4 hours x $60/h + $20 filtration consumables</t>
  </si>
  <si>
    <t>P.O. #: 0001445384</t>
  </si>
  <si>
    <t>26694764 / Purolator Express #334709909496</t>
  </si>
  <si>
    <t>Time tracking: filtering/labelling = 2.5h on May 8/24 + dishes = 0.75h on May 9/24
Ship via Purolator Express
Email invoice to Comptes Payables at: BC_payable@sf.ulaval.ca</t>
  </si>
  <si>
    <t>W-2287
(Part I)</t>
  </si>
  <si>
    <t>26855451 / Purolator Express #334733519295</t>
  </si>
  <si>
    <t>Part II added Jun 6/24
Ship via Purolator Express
May or may not use a PO
Email invoice to Purchasing Services at: Accountspayable@trentu.ca (specify "Attn: Purchasing Services for Huy Dang" when they don't use a PO)</t>
  </si>
  <si>
    <t>W-2287
(Part II)</t>
  </si>
  <si>
    <t>532 (liquid x30mL - split into 2x15 mL)</t>
  </si>
  <si>
    <t>27236399 / Purolator Express #334795725384</t>
  </si>
  <si>
    <t>26786889 / Purolator Express #334723015866</t>
  </si>
  <si>
    <t>W-2289</t>
  </si>
  <si>
    <t>consultation for filtration, wet weights, dry weights</t>
  </si>
  <si>
    <t>consultation @ $175 ($50/h x 3.5h - no charge for initial 0.25h)</t>
  </si>
  <si>
    <t>Time tracking: Chemstores &amp; dilution prep &amp; wet weights = 2h on May 6/24; dishes = 0.75h on May 8/24; dry weights = 0.25h x 4 days on May 7/24+May 8/24+May 9/24+May 10/24 (minus initial 0.25h). Also provided several hours of email advice free-of-charge.
Email invoice to Adham Elmalky at: aelmalky@uwaterloo.ca (although Adham attends UWaterloo, he requested that all invoices go to him directly rather than through an internal chargeback)</t>
  </si>
  <si>
    <t>W-2290
(Part I)</t>
  </si>
  <si>
    <t>300 (liquid x1L)</t>
  </si>
  <si>
    <t>culture @ $415</t>
  </si>
  <si>
    <t>P.O. #: 0001085761</t>
  </si>
  <si>
    <t>27236734 / Purolator Express #334795734139</t>
  </si>
  <si>
    <t>W-2290
(Part II)</t>
  </si>
  <si>
    <t>27251887 / Purolator Express #334798244433</t>
  </si>
  <si>
    <t>W-2291</t>
  </si>
  <si>
    <t>552 (liquid x2)</t>
  </si>
  <si>
    <t>26713029 / FedEx Intl Prior #274653656875</t>
  </si>
  <si>
    <r>
      <t>Provide taxonomic certificates
Use UW FedEx account &amp; round up to nearest $5 increment + $25 Handling</t>
    </r>
    <r>
      <rPr>
        <b/>
        <strike/>
        <sz val="10"/>
        <color rgb="FFFF0000"/>
        <rFont val="Arial"/>
        <family val="2"/>
      </rPr>
      <t xml:space="preserve"> OR send collect with FedEx account # 134739452 for both shipping and Customs?</t>
    </r>
    <r>
      <rPr>
        <b/>
        <sz val="10"/>
        <color rgb="FFFF0000"/>
        <rFont val="Arial"/>
        <family val="2"/>
      </rPr>
      <t xml:space="preserve">
Use "Live cell cultures; research; non-haz." or "Lab algal cultures; research; non-haz." wording on shipping request
Email invoice to Mike Schuettpelz at: Michael.Schuettpelz@as.eurofinsus.com
Notify Mike Schuettpelz after invoice has been issued</t>
    </r>
  </si>
  <si>
    <t>W-2292
(Part I)</t>
  </si>
  <si>
    <t>4L EC Hoaglands medium</t>
  </si>
  <si>
    <t>LVPO#: SES4-2024RP</t>
  </si>
  <si>
    <t>W-2292 Part I delivered with W-2253 Part III, therefore, no Handling fee
W-2292 Part II delivered with W-2253 Part IV, therefore, no Handling fee
Email invoice to Accounts Payable at: acctspay@uoguelph.ca and reference the purchaser (Izabella Onik), department (SES), and PO # (SES4-2024RP)</t>
  </si>
  <si>
    <t>W-2292
(Part II)</t>
  </si>
  <si>
    <t>medium @ $60 x1</t>
  </si>
  <si>
    <t>W-2293</t>
  </si>
  <si>
    <t>420, 715</t>
  </si>
  <si>
    <t>30, 15</t>
  </si>
  <si>
    <t>420 (liquid: 2x15mL); 715 (liquid: 1x15mL); 500 mL sterile f/2 [ ]</t>
  </si>
  <si>
    <t>culture @ $195; culture @ $150 (extra 16 mL of 715 at no extra charge); sterile f/2 [ ] @ $210 (enough to prepare 50L of f/2)</t>
  </si>
  <si>
    <t>26785203 / Purolator Express #334723020577</t>
  </si>
  <si>
    <t>W-2294</t>
  </si>
  <si>
    <t>90 (liquid x 100 mL)</t>
  </si>
  <si>
    <t>culture @ $300 (mid-way external pricing)</t>
  </si>
  <si>
    <t>26784976 / Purolator Express #334723010529</t>
  </si>
  <si>
    <t>Residential address but does not require NSR designation
Small start-up company so offer mid-way external pricing
Email invoice to Stan Pankratz at: stan.pankratz@rainforestalgae.ca</t>
  </si>
  <si>
    <t>W-2295
(Part I)</t>
  </si>
  <si>
    <t>picked up by ES</t>
  </si>
  <si>
    <t>W-2295
(Part II)</t>
  </si>
  <si>
    <t>67 (liquid x5 mL) in BG-11 w/o NO3 medium</t>
  </si>
  <si>
    <t>W-2295
(Part III)</t>
  </si>
  <si>
    <t>W-2296</t>
  </si>
  <si>
    <t>90 (slant)</t>
  </si>
  <si>
    <t>26855275 / Purolator Express #334733516275</t>
  </si>
  <si>
    <t>W-2297</t>
  </si>
  <si>
    <t>P.O. #: P0416582</t>
  </si>
  <si>
    <t>26955408 / Purolator Express #334751217467</t>
  </si>
  <si>
    <t>W-2298</t>
  </si>
  <si>
    <t>P.O. #: 48708401</t>
  </si>
  <si>
    <t>26955486 / Purolator Express #334751219018</t>
  </si>
  <si>
    <t>W-2299</t>
  </si>
  <si>
    <t>37 (liquid x6)</t>
  </si>
  <si>
    <t>culture @ $150; cultures @ $35 x5 (volume discount of $10 for each subsequent tube)</t>
  </si>
  <si>
    <t>27026745 / Purolator Express #334761186223</t>
  </si>
  <si>
    <t>Ship via Purolator Express
Provide taxonomic certificate
Email invoice to Christina Heise at: Christina.Heise@ec.gc.ca</t>
  </si>
  <si>
    <t>W-2300</t>
  </si>
  <si>
    <t>sterile f/2 [ ] @ $520 (enough to prepare 200L of f/2); $25 for extra containers (split [ ] into 8 x 250 mL volumes); subtract $25 for accidental overcharge</t>
  </si>
  <si>
    <t>27004164 / Purolator Express #334758713815</t>
  </si>
  <si>
    <t>Ship via Purolator Express
Email invoice to Accounts Payable at: abaccounts@nautilusenvironmental.ca
Attn: Adam Wartman (awartman@aquatox.ca)
External reference "Non-PO invoice: Adam Wartman - Guelph"
Accidentally billed extra $25 on W-2279 invoice so deducted $25 from this order!</t>
  </si>
  <si>
    <t>W-2301</t>
  </si>
  <si>
    <t>399, 490</t>
  </si>
  <si>
    <t>399, 490 (liquid: 4x25 mL tubes each)</t>
  </si>
  <si>
    <t>cultures @ $255 x2</t>
  </si>
  <si>
    <t>27172557 / Purolator Express #334785468565</t>
  </si>
  <si>
    <t>W-2302</t>
  </si>
  <si>
    <t>27004758 / Purolator Express #334758716958</t>
  </si>
  <si>
    <t>Provide taxonomic certificates; ship via Purolator Express
Email invoice to Janetta Fraser at: office@harrisindustrial.ca</t>
  </si>
  <si>
    <t>P.O. #: 7544-24-061 (June)</t>
  </si>
  <si>
    <t>27021231 / Purolator Express #334761182735</t>
  </si>
  <si>
    <t>P.O. #: 7544-24-062 (July)</t>
  </si>
  <si>
    <t>27331294 / Purolator Express #334810689318</t>
  </si>
  <si>
    <t>W-2305</t>
  </si>
  <si>
    <t>P.O. #: 7544-24-063 (August)</t>
  </si>
  <si>
    <t>W-2306</t>
  </si>
  <si>
    <t>2L EC Hoaglands w/o organics</t>
  </si>
  <si>
    <t>W-2307</t>
  </si>
  <si>
    <t>243 (liquid)</t>
  </si>
  <si>
    <t>LVPO#: L1757RM</t>
  </si>
  <si>
    <t>picked up by JB</t>
  </si>
  <si>
    <t>W-2308</t>
  </si>
  <si>
    <t>P.O. #: CA0153749925
(EDFX-57)</t>
  </si>
  <si>
    <t>27171797 / Purolator Express #334785476311</t>
  </si>
  <si>
    <t>Provide taxonomic certificates
Purchaser = Eva Maraj
Email invoice to Accounts Payable at APCanada@eurofins.com</t>
  </si>
  <si>
    <t>W-2309</t>
  </si>
  <si>
    <t>1100 mL sterile BBM [ ] w vit (1000 mL [ ] + 100 mL Stock 5)</t>
  </si>
  <si>
    <t>sterile BBM [ ] @ $285 (enough to prepare 100L of BBM)</t>
  </si>
  <si>
    <t>P.O. #: 22279</t>
  </si>
  <si>
    <t>27159724 / Purolator Express #334783300943</t>
  </si>
  <si>
    <t>W-2310</t>
  </si>
  <si>
    <t>45, 15</t>
  </si>
  <si>
    <t>90 (liquid: 3x15mL) &amp; 715 (liquid: 1x15mL)</t>
  </si>
  <si>
    <t>culture @ $220; culture @ $150 (extra 15 mL of 715 at no extra charge)</t>
  </si>
  <si>
    <t>27159576 / Purolator Express #334783299152</t>
  </si>
  <si>
    <t>W-2311</t>
  </si>
  <si>
    <t>64, 67, 95, 124, 158, 169, 243, 365, 422, 446, 690, 692, 712 (25 mL = 10+10+5mL each); 422 (500 mL)</t>
  </si>
  <si>
    <t>W-2312A</t>
  </si>
  <si>
    <t>562 (liquid x30mL: split into 2x15 mL volumes)</t>
  </si>
  <si>
    <t>cultures @ $195</t>
  </si>
  <si>
    <t>27396223 / Purolator Express #334819936421</t>
  </si>
  <si>
    <t>Email invoice to Katherine Raes (Toxicology Centre) at: connectionpoint@usask.ca with reference to David Janz &amp; Markus Hecker
Purchaser: Katherine Raes</t>
  </si>
  <si>
    <t>W-2312B</t>
  </si>
  <si>
    <t>W-2313</t>
  </si>
  <si>
    <t>90 (liquid); 55 mL sterile BBM [ ] (50 mL [ ] + 5 mL Stock 5)</t>
  </si>
  <si>
    <t>culture @ $150; sterile BBM [ ] @ $70 (enough to prepare 5L of BBM medium)</t>
  </si>
  <si>
    <t>P.O. #: UW1050290 &amp; UW1050291</t>
  </si>
  <si>
    <t>27237871 / Purolator Express #334795721862</t>
  </si>
  <si>
    <t>Uses a PO #; Lines 1 &amp; 2 = P.O. #UW1050290; Line 3 (S&amp;H fee) = P.O. #UW1050291; POs invoiced together as per Rita Cheung (Purchaser)
Email invoice to Accounts Payable at: apinvoices@uwindsor.ca for Xuexiu Chang/Ran Yang (GLIER)</t>
  </si>
  <si>
    <t>W-2314</t>
  </si>
  <si>
    <t>P.O. #: 865078-240626-PH</t>
  </si>
  <si>
    <t>27233712 / FedEx COLLECT #276609417055</t>
  </si>
  <si>
    <t>W-2315</t>
  </si>
  <si>
    <t>P.O. #: 22292</t>
  </si>
  <si>
    <t>27235323 / Purolator Express #334795729949</t>
  </si>
  <si>
    <t>W-2316</t>
  </si>
  <si>
    <t>safe-deposit May '24-Apr'25 (49 x $17.551/year)</t>
  </si>
  <si>
    <t>P.O. #: PO-00001164</t>
  </si>
  <si>
    <t>email invoice to Caroline Araguas (Purchaser) at: caroline.a@isotopecanada.com
NOTE: email address will need to be changed for next year to caraguas@isotope.com!</t>
  </si>
  <si>
    <t>W-2317</t>
  </si>
  <si>
    <t xml:space="preserve">P.O. #: ALS237118 </t>
  </si>
  <si>
    <t>W-2318</t>
  </si>
  <si>
    <t>27470401 / FedEx Intl Prior #277412735998</t>
  </si>
  <si>
    <t>W-2319</t>
  </si>
  <si>
    <t>Hassan Peerhossain, Malihe (Mali) Mehdizadeh Allaf, Reza Saifi</t>
  </si>
  <si>
    <t>532 (liquid x30mL)</t>
  </si>
  <si>
    <t>P.O. #: P0422517</t>
  </si>
  <si>
    <t>W-2320</t>
  </si>
  <si>
    <t>90 (liquid x30 mL); 2L BBM medium; 1100 mL sterile BBM [ ] w vit (1000 mL [ ] + 100 mL Stock 5)</t>
  </si>
  <si>
    <t>culture @ $195; medium @ $65 x2; sterile BBM [ ] @ $285 (enough to prepare 100L of BBM)</t>
  </si>
  <si>
    <t>27530844 / Purolator Express #334841606968</t>
  </si>
  <si>
    <t>W-2321</t>
  </si>
  <si>
    <t>3L HSM medium</t>
  </si>
  <si>
    <t>P.O. #: P0423296</t>
  </si>
  <si>
    <t>W-2322</t>
  </si>
  <si>
    <t>30, 30, 15, 30</t>
  </si>
  <si>
    <t>714 (liquid: 1x15mL); 90, 420, &amp; 715 (liquid: 2x15mL); 500 mL sterile f/2 [ ]</t>
  </si>
  <si>
    <t>45?</t>
  </si>
  <si>
    <t>W-2323</t>
  </si>
  <si>
    <t>Ship via Purolator Express
Email invoice to Accounts Payable at: abaccounts@nautilusenvironmental.ca
Attn: Adam Wartman (awartman@aquatox.ca)
External reference "Non-PO invoice: Adam Wartman - Guelph"</t>
  </si>
  <si>
    <t>APHA stocks</t>
  </si>
  <si>
    <t>BBM stocks</t>
  </si>
  <si>
    <t>BG-11 w/o NO3 [ ]</t>
  </si>
  <si>
    <t>CHU-10 stocks</t>
  </si>
  <si>
    <t>Hoag w/o org</t>
  </si>
  <si>
    <t>HSM stocks</t>
  </si>
  <si>
    <t>Equipment Rental</t>
  </si>
  <si>
    <t>Shipping &amp; Handling</t>
  </si>
  <si>
    <t>Primary End-User</t>
  </si>
  <si>
    <t>W-2324</t>
  </si>
  <si>
    <t>3L EC Hoaglands w/o organics</t>
  </si>
  <si>
    <t>W-2325</t>
  </si>
  <si>
    <t>Requisition #: KS916</t>
  </si>
  <si>
    <t>27682940 / Purolator Express #334864234755</t>
  </si>
  <si>
    <t>W-2326</t>
  </si>
  <si>
    <t>Charge $5 Handling fee for delivery
Email invoice to Accounts Payable at: acctspay@uoguelph.ca and reference the purchaser (Izabella Onik), department (SES), and PO # (SES28-2024RP)</t>
  </si>
  <si>
    <t>W-2327</t>
  </si>
  <si>
    <t>P.O. #: 7544-24-142 (late August)</t>
  </si>
  <si>
    <t>W-2328
(Part I)</t>
  </si>
  <si>
    <t>Lama Aldamman</t>
  </si>
  <si>
    <t>cultures @ $135 x17 (regular price = $150; discounted by ~10% for large quantity discount) (Note: cyst stage of 93 provided at no extra charge)</t>
  </si>
  <si>
    <t>W-2328
(Part II)</t>
  </si>
  <si>
    <t>30, 15, 15, 15, 15</t>
  </si>
  <si>
    <t>W-2328
(Part III)</t>
  </si>
  <si>
    <t>W-2328
(Part IV)</t>
  </si>
  <si>
    <t>W-2329</t>
  </si>
  <si>
    <t>1025-004</t>
  </si>
  <si>
    <t>Jeslin Wijaya</t>
  </si>
  <si>
    <t>Provide taxonomic certificates
Ship via Purolator Express
Email invoice to Accounts Payable at: accounting@nautilusenvironmental.ca</t>
  </si>
  <si>
    <t>Vichaya Charoensuk (Bioassay Section Head), University of Calgary, Alberta Centre for Toxicology (ACFT), Heritage Medical Research Building (HMRB), HM-B19, 2500 University Drive NW, c/o Shipping &amp; Receiving, Calgary, AB  T2N 1N4
Tel: 403-220-3043; Email: vcharoen@ucalgary.ca
FOR: Birget Moe (PhD, Research Associate); Tel: 780-983-8730; Email: bkmoe@ucalgary.ca
Purchase Order requested by Patricia Parmentier (Administrative Assistant); Tel: 403-220-5511; Cell: 403-617-6362; Fax: 403-270-2964; Email: pparment@ucalgary.ca
Purchaser: Trevor Emmel (Email: tcemmel@ucalgary.ca) &amp; Patricia Parmentier (Email: pparment@ucalgary.ca)</t>
  </si>
  <si>
    <t>Ship via Purolator Express
Email invoice to Accounts Payable at: invoices@ucalgary.ca
Purchaser: Trevor Emmel (tcemmel@ucalgary.ca) &amp; Patricia Parmentier (pparment@ucalgary.ca). Note: also let purchasers know when invoice issued.</t>
  </si>
  <si>
    <r>
      <t xml:space="preserve">Provide taxonomic certificates
Ship via Purolator Express
Email invoice to Accounts Payable at: accounting@nautilusenvironmental.ca
</t>
    </r>
    <r>
      <rPr>
        <b/>
        <strike/>
        <sz val="10"/>
        <color rgb="FFFF0000"/>
        <rFont val="Arial"/>
        <family val="2"/>
      </rPr>
      <t>email invoice to Accounts Payable at: bcinfo@nautilusenvironmental.ca</t>
    </r>
  </si>
  <si>
    <t>Jeslin</t>
  </si>
  <si>
    <t>Supervisor</t>
  </si>
  <si>
    <t>604-420-8773 x7104</t>
  </si>
  <si>
    <t>jeslin@nautilusenvironmental.ca</t>
  </si>
  <si>
    <t>Jeslin Wijaya (Supervisor), Nautilus Environmental Company Inc., 8664 Commerce Court, Burnaby, BC  V5A 4N7
Tel: 604-420-8773 x7104; Email: jeslin@nautilusenvironmental.ca</t>
  </si>
  <si>
    <t>Lama</t>
  </si>
  <si>
    <t>lama.aldamman@umontreal.ca</t>
  </si>
  <si>
    <t>Ship via Purolator Express
They may or may not use a PO#. Email invoice to Accounts Payable at: poinvoices@concordia.ca (Must contain the individual associated with the purchase and PO# (PO is not required for CC payments)); Attn: Rassim Khelifa (rassim.khelifa@concordia.ca)/Biology &amp; Ext Ref: "Rassim Khelifa/Biology (non-PO invoice: CC payment)"</t>
  </si>
  <si>
    <t>Associate Professor - Ecotoxicology</t>
  </si>
  <si>
    <t>Ryan Prosser (Associate Professor - Ecotoxicology), University of Guelph, School of Environmental Sciences, Bovey Building, 50 Stone Road East, Guelph ON  N1G 2W1
Tel: 519-824-4120 x52190; Email: prosserr@uoguelph.ca</t>
  </si>
  <si>
    <t>Ryan Prosser (Associate Professor - Ecotoxicology), University of Guelph, School of Environmental Sciences, Bovey Building, 50 Stone Road East, Guelph ON  N1G 2W1 
Tel: 519-824-4120 x52190; Email: prosserr@uoguelph.ca
FOR: Trinity Fraser Sintic (Supervisor: Ryan Prosser); Email: tfrasers@uoguelph.ca</t>
  </si>
  <si>
    <t>Vichaya Charoensuk (Bioassay Lab Manager), University of Calgary, Alberta Centre for Toxicology (ACFT), Heritage Medical Research Building (HMRB), HM-B19, 2500 University Drive NW, c/o Shipping &amp; Receiving, Calgary, AB  T2N 1N4
Tel: 403-220-3043; Email: vcharoen@ucalgary.ca
FOR: Birget Moe (PhD, Research Associate); Tel: 780-983-8730; Email: bkmoe@ucalgary.ca
Purchase Order requested by Patricia Parmentier (Administrative Assistant); Tel: 403-220-5511; Cell: 403-617-6362; Fax: 403-270-2964; Email: pparment@ucalgary.ca
Purchaser: Trevor Emmel (Email: tcemmel@ucalgary.ca) &amp; Patricia Parmentier (Email: pparment@ucalgary.ca)</t>
  </si>
  <si>
    <t>vcarleton@nautilusenvironmental.ca</t>
  </si>
  <si>
    <t>FORMER CUSTOMERS</t>
  </si>
  <si>
    <r>
      <t xml:space="preserve">provide taxonomic certificates
email invoice to Megan Bauer at: megan.bauer@ec.gc.ca
</t>
    </r>
    <r>
      <rPr>
        <b/>
        <strike/>
        <sz val="10"/>
        <color rgb="FFFF0000"/>
        <rFont val="Arial"/>
        <family val="2"/>
      </rPr>
      <t>email invoice to Paula Jackman at: Paula.Jackman@canada.ca</t>
    </r>
  </si>
  <si>
    <t>BAD DEBT CUSTOMERS!</t>
  </si>
  <si>
    <t>Dean Tsoupeis</t>
  </si>
  <si>
    <t>Bad Debt Customer!</t>
  </si>
  <si>
    <t>Culturing Solutions</t>
  </si>
  <si>
    <t>Ganna Bondarenko</t>
  </si>
  <si>
    <t>Converde Energy Inc.</t>
  </si>
  <si>
    <t>Kim Mi-seong</t>
  </si>
  <si>
    <t>University of Incheon</t>
  </si>
  <si>
    <t>Nguimgou Signing Bienvenu</t>
  </si>
  <si>
    <t>Institut National de la Recherche Scientifique - Universite du Quebec</t>
  </si>
  <si>
    <t>Ruta Jankauskiene</t>
  </si>
  <si>
    <t>Platensis Ltd</t>
  </si>
  <si>
    <t>Shaun Groulx</t>
  </si>
  <si>
    <t>Home Address - Groulx Residence (affiliated with U of Waterloo)</t>
  </si>
  <si>
    <t>Soyeon Choi</t>
  </si>
  <si>
    <t>Incheon National University</t>
  </si>
  <si>
    <t>Taejun Han</t>
  </si>
  <si>
    <t>Tasneem Fatma</t>
  </si>
  <si>
    <t>Jamia Millia Islamia (Central University)</t>
  </si>
  <si>
    <t>Vugar Ismayilov</t>
  </si>
  <si>
    <t>Year</t>
  </si>
  <si>
    <t>Tim Shardlow, Anna Maria Valero</t>
  </si>
  <si>
    <t>Francois Fournier, Elisabeth Wistaff-Lalande</t>
  </si>
  <si>
    <t>Donald Lai, Pam Howes</t>
  </si>
  <si>
    <t>Caroline Leblanc-Houde, Virginie Berube</t>
  </si>
  <si>
    <t>David Haight, Leanne Dumontier</t>
  </si>
  <si>
    <t>Andrew Cameron, Laura Schnell</t>
  </si>
  <si>
    <t>Adam Wartman, Victoria (Tori) Carleton, Shawna Kirkpatrick, Frank Saliani</t>
  </si>
  <si>
    <t>Enumeration</t>
  </si>
  <si>
    <t>Identification</t>
  </si>
  <si>
    <t>Isolation &amp; Purification</t>
  </si>
  <si>
    <r>
      <rPr>
        <sz val="11"/>
        <color rgb="FFFF0000"/>
        <rFont val="Calibri"/>
        <family val="2"/>
        <scheme val="minor"/>
      </rPr>
      <t>**</t>
    </r>
    <r>
      <rPr>
        <sz val="11"/>
        <color theme="1"/>
        <rFont val="Calibri"/>
        <family val="2"/>
        <scheme val="minor"/>
      </rPr>
      <t xml:space="preserve"> More Countries can be entered manually in any row under 'Canada'</t>
    </r>
  </si>
  <si>
    <r>
      <rPr>
        <sz val="11"/>
        <color rgb="FFFF0000"/>
        <rFont val="Calibri"/>
        <family val="2"/>
        <scheme val="minor"/>
      </rPr>
      <t>*</t>
    </r>
    <r>
      <rPr>
        <sz val="11"/>
        <color theme="1"/>
        <rFont val="Calibri"/>
        <family val="2"/>
        <scheme val="minor"/>
      </rPr>
      <t xml:space="preserve"> Please make sure that you only submit date range of 12 months </t>
    </r>
  </si>
  <si>
    <r>
      <rPr>
        <sz val="11"/>
        <color rgb="FFFF0000"/>
        <rFont val="Calibri"/>
        <family val="2"/>
        <scheme val="minor"/>
      </rPr>
      <t>*</t>
    </r>
    <r>
      <rPr>
        <sz val="11"/>
        <color theme="1"/>
        <rFont val="Calibri"/>
        <family val="2"/>
        <scheme val="minor"/>
      </rPr>
      <t xml:space="preserve"> Any range of date can be entered</t>
    </r>
  </si>
  <si>
    <r>
      <t>*</t>
    </r>
    <r>
      <rPr>
        <sz val="11"/>
        <rFont val="Calibri"/>
        <family val="2"/>
        <scheme val="minor"/>
      </rPr>
      <t xml:space="preserve"> Any range of date can be entered</t>
    </r>
  </si>
  <si>
    <r>
      <t xml:space="preserve">      </t>
    </r>
    <r>
      <rPr>
        <sz val="11"/>
        <rFont val="Calibri"/>
        <family val="2"/>
        <scheme val="minor"/>
      </rPr>
      <t>ex.   Date From: 2019-03-1   &amp;  Date To:  2022-04-30</t>
    </r>
  </si>
  <si>
    <r>
      <t>**</t>
    </r>
    <r>
      <rPr>
        <sz val="11"/>
        <rFont val="Calibri"/>
        <family val="2"/>
        <scheme val="minor"/>
      </rPr>
      <t xml:space="preserve"> May not be perfect,  require manual check up for DUPLICATES</t>
    </r>
  </si>
  <si>
    <r>
      <rPr>
        <sz val="11"/>
        <color rgb="FFFF0000"/>
        <rFont val="Calibri"/>
        <family val="2"/>
        <scheme val="minor"/>
      </rPr>
      <t>*</t>
    </r>
    <r>
      <rPr>
        <sz val="11"/>
        <color theme="1"/>
        <rFont val="Calibri"/>
        <family val="2"/>
        <scheme val="minor"/>
      </rPr>
      <t xml:space="preserve"> This Institution Data comes from the 'Users List'. Edit the dates from the 'Users List'</t>
    </r>
  </si>
  <si>
    <r>
      <rPr>
        <sz val="11"/>
        <color rgb="FFFF0000"/>
        <rFont val="Calibri"/>
        <family val="2"/>
        <scheme val="minor"/>
      </rPr>
      <t>***</t>
    </r>
    <r>
      <rPr>
        <sz val="11"/>
        <color theme="1"/>
        <rFont val="Calibri"/>
        <family val="2"/>
        <scheme val="minor"/>
      </rPr>
      <t xml:space="preserve"> Dates selected here are the dates used in the 'Insitution List'</t>
    </r>
  </si>
  <si>
    <r>
      <rPr>
        <sz val="11"/>
        <color rgb="FFFF0000"/>
        <rFont val="Calibri"/>
        <family val="2"/>
        <scheme val="minor"/>
      </rPr>
      <t>**</t>
    </r>
    <r>
      <rPr>
        <sz val="11"/>
        <color theme="1"/>
        <rFont val="Calibri"/>
        <family val="2"/>
        <scheme val="minor"/>
      </rPr>
      <t xml:space="preserve">  More 'ACC #' can be entered manually at anywhere in Row 'A'</t>
    </r>
  </si>
  <si>
    <r>
      <rPr>
        <sz val="11"/>
        <color rgb="FFFF0000"/>
        <rFont val="Calibri"/>
        <family val="2"/>
        <scheme val="minor"/>
      </rPr>
      <t>*</t>
    </r>
    <r>
      <rPr>
        <sz val="11"/>
        <color theme="1"/>
        <rFont val="Calibri"/>
        <family val="2"/>
        <scheme val="minor"/>
      </rPr>
      <t xml:space="preserve"> More 'Media Types' can be entered manually at anywhere in Row 'A'</t>
    </r>
  </si>
  <si>
    <t>Count</t>
  </si>
  <si>
    <t>Waterloo, ON</t>
  </si>
  <si>
    <t>Burnaby, BC</t>
  </si>
  <si>
    <t>Montreal, QC</t>
  </si>
  <si>
    <t>Quebec, QC</t>
  </si>
  <si>
    <t>Guelph, ON</t>
  </si>
  <si>
    <t>St. John’s, NL</t>
  </si>
  <si>
    <t>Puslinch, ON</t>
  </si>
  <si>
    <t>Moncton, NB</t>
  </si>
  <si>
    <t>London, ON</t>
  </si>
  <si>
    <t>Calgary, AB</t>
  </si>
  <si>
    <t>Hunt Valley, MD</t>
  </si>
  <si>
    <t>Winnipeg, MB</t>
  </si>
  <si>
    <t>St-Laurent, QC</t>
  </si>
  <si>
    <t>Saint Andrews, NB</t>
  </si>
  <si>
    <t xml:space="preserve"> Windsor, ON</t>
  </si>
  <si>
    <t>Saskatoon, SK</t>
  </si>
  <si>
    <t>Toronto, ON</t>
  </si>
  <si>
    <t>Waverley, NS</t>
  </si>
  <si>
    <t>Edmonton, AB</t>
  </si>
  <si>
    <t>Saint-Laurent, QC</t>
  </si>
  <si>
    <t>Burlington, ON</t>
  </si>
  <si>
    <t>Easton, MD</t>
  </si>
  <si>
    <t>Dartmouth, NS</t>
  </si>
  <si>
    <t>Peterborough, ON</t>
  </si>
  <si>
    <t>Hamilton, ON</t>
  </si>
  <si>
    <t>Mississauga, ON</t>
  </si>
  <si>
    <t>Laval, QC</t>
  </si>
  <si>
    <t>Mont-joli, QC</t>
  </si>
  <si>
    <t>Garson, ON</t>
  </si>
  <si>
    <t>Lethbridge, AB</t>
  </si>
  <si>
    <t>Regina, SK</t>
  </si>
  <si>
    <t>Waterloo, ON, Canada</t>
  </si>
  <si>
    <t>Montreal, QC, Canada</t>
  </si>
  <si>
    <t>Guelph, ON, Canada</t>
  </si>
  <si>
    <t>St. John’s, NL, Canada</t>
  </si>
  <si>
    <t>London, ON, Canada</t>
  </si>
  <si>
    <t>Calgary, AB, Canada</t>
  </si>
  <si>
    <t>Saint Andrews, NB, Canada</t>
  </si>
  <si>
    <t xml:space="preserve"> Windsor, ON, Canada</t>
  </si>
  <si>
    <t>Saskatoon, SK, Canada</t>
  </si>
  <si>
    <t>Toronto, ON, Canada</t>
  </si>
  <si>
    <t>Dartmouth, NS, Canada</t>
  </si>
  <si>
    <t>Peterborough, ON, Canada</t>
  </si>
  <si>
    <t>Quebec, QC, Canada</t>
  </si>
  <si>
    <t>Mississauga, ON, Canada</t>
  </si>
  <si>
    <t>Burlington, ON, Canada</t>
  </si>
  <si>
    <t>Laval, QC, Canada</t>
  </si>
  <si>
    <t>Lethbridge, AB, Canada</t>
  </si>
  <si>
    <t>Regina, SK, Canada</t>
  </si>
  <si>
    <t>Burnaby, BC, Canada</t>
  </si>
  <si>
    <t>Puslinch, ON, Canada</t>
  </si>
  <si>
    <t>Winnipeg, MB, Canada</t>
  </si>
  <si>
    <t>St-Laurent, QC, Canada</t>
  </si>
  <si>
    <t>Waverley, NS, Canada</t>
  </si>
  <si>
    <t>Saint-Laurent, QC, Canada</t>
  </si>
  <si>
    <t>Garson, ON, Canada</t>
  </si>
  <si>
    <t>Moncton, NB, Canada</t>
  </si>
  <si>
    <t>Edmonton, AB, Canada</t>
  </si>
  <si>
    <t>Hamilton, ON, Canada</t>
  </si>
  <si>
    <t>Mont-joli, QC, Canada</t>
  </si>
  <si>
    <t>Hunt Valley, MD, USA</t>
  </si>
  <si>
    <t>Easton, MD, USA</t>
  </si>
  <si>
    <t>Count + Inception</t>
  </si>
  <si>
    <t xml:space="preserve">              ex. Date From &lt; 2023-05-01 else its empty</t>
  </si>
  <si>
    <r>
      <rPr>
        <sz val="11"/>
        <color rgb="FFFF0000"/>
        <rFont val="Calibri"/>
        <family val="2"/>
        <scheme val="minor"/>
      </rPr>
      <t>***</t>
    </r>
    <r>
      <rPr>
        <sz val="11"/>
        <color theme="1"/>
        <rFont val="Calibri"/>
        <family val="2"/>
        <scheme val="minor"/>
      </rPr>
      <t xml:space="preserve"> Count + Integration Data will appear when:</t>
    </r>
  </si>
  <si>
    <r>
      <rPr>
        <sz val="11"/>
        <color rgb="FFFF0000"/>
        <rFont val="Calibri"/>
        <family val="2"/>
        <scheme val="minor"/>
      </rPr>
      <t>****</t>
    </r>
    <r>
      <rPr>
        <sz val="11"/>
        <color theme="1"/>
        <rFont val="Calibri"/>
        <family val="2"/>
        <scheme val="minor"/>
      </rPr>
      <t xml:space="preserve"> Column G is hidden</t>
    </r>
  </si>
  <si>
    <r>
      <rPr>
        <sz val="11"/>
        <color rgb="FFFF0000"/>
        <rFont val="Calibri"/>
        <family val="2"/>
        <scheme val="minor"/>
      </rPr>
      <t xml:space="preserve">*** </t>
    </r>
    <r>
      <rPr>
        <sz val="11"/>
        <color theme="1"/>
        <rFont val="Calibri"/>
        <family val="2"/>
        <scheme val="minor"/>
      </rPr>
      <t>Only Single Request (MERGED cells)  are counted</t>
    </r>
  </si>
  <si>
    <r>
      <rPr>
        <sz val="11"/>
        <color rgb="FFFF0000"/>
        <rFont val="Calibri"/>
        <family val="2"/>
        <scheme val="minor"/>
      </rPr>
      <t xml:space="preserve">**** </t>
    </r>
    <r>
      <rPr>
        <sz val="11"/>
        <color theme="1"/>
        <rFont val="Calibri"/>
        <family val="2"/>
        <scheme val="minor"/>
      </rPr>
      <t>Only Single Request (MERGED cells)  are counted</t>
    </r>
  </si>
  <si>
    <r>
      <rPr>
        <sz val="11"/>
        <color rgb="FFFF0000"/>
        <rFont val="Calibri"/>
        <family val="2"/>
        <scheme val="minor"/>
      </rPr>
      <t>*</t>
    </r>
    <r>
      <rPr>
        <sz val="11"/>
        <rFont val="Calibri"/>
        <family val="2"/>
        <scheme val="minor"/>
      </rPr>
      <t xml:space="preserve"> Please make sure that you only submit date range of 12 months </t>
    </r>
  </si>
  <si>
    <r>
      <rPr>
        <sz val="11"/>
        <color rgb="FFFF0000"/>
        <rFont val="Calibri"/>
        <family val="2"/>
        <scheme val="minor"/>
      </rPr>
      <t xml:space="preserve">** </t>
    </r>
    <r>
      <rPr>
        <sz val="11"/>
        <color theme="1"/>
        <rFont val="Calibri"/>
        <family val="2"/>
        <scheme val="minor"/>
      </rPr>
      <t>Drop-down list of all the special services are in Orders Page</t>
    </r>
  </si>
  <si>
    <r>
      <rPr>
        <sz val="11"/>
        <color rgb="FFFF0000"/>
        <rFont val="Calibri"/>
        <family val="2"/>
        <scheme val="minor"/>
      </rPr>
      <t>****</t>
    </r>
    <r>
      <rPr>
        <sz val="11"/>
        <rFont val="Calibri"/>
        <family val="2"/>
        <scheme val="minor"/>
      </rPr>
      <t xml:space="preserve"> Order -&gt; Ordered Date  | Invoiced -&gt; Invoiced Date</t>
    </r>
  </si>
  <si>
    <t xml:space="preserve">    Inception Date: Dec 18/86</t>
  </si>
  <si>
    <r>
      <rPr>
        <b/>
        <sz val="11"/>
        <color rgb="FFFF0000"/>
        <rFont val="Calibri"/>
        <family val="2"/>
        <scheme val="minor"/>
      </rPr>
      <t>**</t>
    </r>
    <r>
      <rPr>
        <b/>
        <sz val="11"/>
        <color theme="1"/>
        <rFont val="Calibri"/>
        <family val="2"/>
        <scheme val="minor"/>
      </rPr>
      <t xml:space="preserve"> The 'Usage of CPCC' needs to be entered manually</t>
    </r>
  </si>
  <si>
    <t>Vancouver, BC</t>
  </si>
  <si>
    <t>Lac La Biche, AB</t>
  </si>
  <si>
    <t>Point Edward, ON</t>
  </si>
  <si>
    <t>Etobicoke, ON</t>
  </si>
  <si>
    <t>Ottawa, ON</t>
  </si>
  <si>
    <t>Shawinigan, QC</t>
  </si>
  <si>
    <t>Rimouski, QC</t>
  </si>
  <si>
    <t>Thunder Bay, ON</t>
  </si>
  <si>
    <t>Kingston, ON</t>
  </si>
  <si>
    <t>Hiroshima, HP</t>
  </si>
  <si>
    <t>North York, ON</t>
  </si>
  <si>
    <t>Sainte-Anne-de-Bellevue, QC</t>
  </si>
  <si>
    <t>Ketch Harbour, NS</t>
  </si>
  <si>
    <t xml:space="preserve"> Montreal, QC</t>
  </si>
  <si>
    <t>Maple, ON</t>
  </si>
  <si>
    <t>Wareham, MA</t>
  </si>
  <si>
    <t>Ralston, AB</t>
  </si>
  <si>
    <t>North Vancouver, BC</t>
  </si>
  <si>
    <t>Maude Pomerleau, Maude Pomerleau, Naila Barbosa da Costa</t>
  </si>
  <si>
    <t>Carter Klanderud, Taylor Lynn Virgin, Elyse Batista</t>
  </si>
  <si>
    <t># of
Requests</t>
  </si>
  <si>
    <t xml:space="preserve">     The Number of Users is obtained from the Users List tab</t>
  </si>
  <si>
    <t>Michael (Mike) Phillips, Sonia Evans</t>
  </si>
  <si>
    <t>Vancouver, BC, Canada</t>
  </si>
  <si>
    <t>Lac La Biche, AB, Canada</t>
  </si>
  <si>
    <t>Munir Boodhwani, Aliyan Boodhwani</t>
  </si>
  <si>
    <t>Ottawa, ON, Canada</t>
  </si>
  <si>
    <t>Shawinigan, QC, Canada</t>
  </si>
  <si>
    <t>Adeeb Khawja, Alexander Khawja</t>
  </si>
  <si>
    <t>Rimouski, QC, Canada</t>
  </si>
  <si>
    <t>Thunder Bay, ON, Canada</t>
  </si>
  <si>
    <t>Kingston, ON, Canada</t>
  </si>
  <si>
    <t>Raymond Kwong, Sejal Dave</t>
  </si>
  <si>
    <t>North York, ON, Canada</t>
  </si>
  <si>
    <t>Sainte-Anne-de-Bellevue, QC, Canada</t>
  </si>
  <si>
    <t>Maple, ON, Canada</t>
  </si>
  <si>
    <t>Michael Paterson, Patrique Bulloch</t>
  </si>
  <si>
    <t>Dirk Wallschläger, Jana Farell</t>
  </si>
  <si>
    <t>Saji George, Ruby Ziruo Liu, Graham Bell, Sabrina Therrien, Nicolas Tromas</t>
  </si>
  <si>
    <t>Jerome Comte, Maude Pomerleau, Maude Pomerleau, Naila Barbosa da Costa, Claude Fortin, Kim Racine, Flavie Desreac</t>
  </si>
  <si>
    <t>Point Edward, ON, Canada</t>
  </si>
  <si>
    <t>Kathryn (Katie) Thomas, Jason Deglint</t>
  </si>
  <si>
    <t>Etobicoke, ON, Canada</t>
  </si>
  <si>
    <t>Gauri Prabhakar, Emily Suominen</t>
  </si>
  <si>
    <t xml:space="preserve">Patrick J McGinn, Shabana Bhatti </t>
  </si>
  <si>
    <t>Ketch Harbour, NS, Canada</t>
  </si>
  <si>
    <t>Amanda Weiler, Catherine (Kate) Brown</t>
  </si>
  <si>
    <t>Ralston, AB, Canada</t>
  </si>
  <si>
    <t>North Vancouver, BC, Canada</t>
  </si>
  <si>
    <t>Marie-Josée Lorrain, Sabine Dodard, Sabine Dodard, Manon Sarrazin</t>
  </si>
  <si>
    <t>Severine Le Faucheur, Ophelie Fontaine</t>
  </si>
  <si>
    <t>IA = International Academic</t>
  </si>
  <si>
    <t>TOTAL # OF INTERNATIONAL ACADEMIC INSTITUTION =  1</t>
  </si>
  <si>
    <t>TOTAL # OF IA REQUEST =  1</t>
  </si>
  <si>
    <t>Hiroshima, HP, Japan</t>
  </si>
  <si>
    <t>Wareham, MA, USA</t>
  </si>
  <si>
    <t>Katrin Zwirglmaier, Stephan Motzkus</t>
  </si>
  <si>
    <t>IG = International Government</t>
  </si>
  <si>
    <t>TOTAL # OF INTERNATIONAL GOVERNMENT INSTITUTION =  1</t>
  </si>
  <si>
    <t>TOTAL # OF IG REQUEST =  1</t>
  </si>
  <si>
    <t>Notes:</t>
  </si>
  <si>
    <t>Juttner</t>
  </si>
  <si>
    <t>MAM</t>
  </si>
  <si>
    <t>Specialized</t>
  </si>
  <si>
    <t>Z8 [ ]</t>
  </si>
  <si>
    <t>f/2 stocks</t>
  </si>
  <si>
    <t>W-2341
(2nd shipment)</t>
  </si>
  <si>
    <t>266 (liquid x30 mL) (replacement culture - accidentally sent CPCC 90 instead of CPCC 266!)</t>
  </si>
  <si>
    <t>replacement culture @ $0</t>
  </si>
  <si>
    <t>28286490 / Purolator Express #334953485615</t>
  </si>
  <si>
    <t>W-2341 (1st shipment)</t>
  </si>
  <si>
    <t>37, 266, 492</t>
  </si>
  <si>
    <t>30, 30, 75</t>
  </si>
  <si>
    <t>37, 266 (liquid x30 mL); 492 (liquid @3x25 mL)</t>
  </si>
  <si>
    <t>cultures @ $260 x2; culture @ $290</t>
  </si>
  <si>
    <t>P.O. #: 4278</t>
  </si>
  <si>
    <t>28124283 / Purolator Express #334930416048</t>
  </si>
  <si>
    <t>Accidentally prepared and shipped CPCC 90 instead of CPCC 266...provided replacement culture at no additional charge!
Replacement culture picked up on Tuesday…Purolator, FedEx, and UPS are all closed on September 30! 
Provide taxonomic certificates; uses a P.O. # most of the time
Note: they may pick up their samples at the Purolator office
Email invoice to Accounts Payable at: orders@testmark.ca
Purchaser: Kamran Mansoor</t>
  </si>
  <si>
    <t>W-2342</t>
  </si>
  <si>
    <t>90, 266 (liquid - 2x45mL); 110 mL non-sterile BBM [ ] w vit (100 mL [ ] + 10 mL Stock 5)</t>
  </si>
  <si>
    <t>cultures @ $255 x2; non-sterile BBM [ ] @ $90 (enough to prepare 10L of BBM medium)</t>
  </si>
  <si>
    <t>28124904 / Purolator Express #334930419620</t>
  </si>
  <si>
    <t>W-2343</t>
  </si>
  <si>
    <t>Dec xx or Jan 2?</t>
  </si>
  <si>
    <t>Internal debit memo given to Kim Cuddington on mmm dd/24; returned on mmm dd/24; given to Lucy Satora on mmm dd/24; credited to our account on mmm dd/25</t>
  </si>
  <si>
    <t>W-2344</t>
  </si>
  <si>
    <t>28123658 / Purolator Express #334930422764</t>
  </si>
  <si>
    <t>W-2345</t>
  </si>
  <si>
    <t>2L modified f/2 medium w/o NaHCO3; 50 mL sterile f/2 [ ]</t>
  </si>
  <si>
    <t>medium @ $120 x2 (higher fee for customized medium); sterile f/2 [ ] @ $70 (enough to prepare 50L of f/2 medium)</t>
  </si>
  <si>
    <t>Requisition #: KS940</t>
  </si>
  <si>
    <t>28219568 / Purolator Express #334943962962</t>
  </si>
  <si>
    <t>Ship via Purolator Express…delivery took 2 days instead of the usual 1 day!
Email invoice to: accountspayable@mun.ca (Attn: Derek Burton (engrpurchasing@mun.ca))
Purchaser: Derek Burton</t>
  </si>
  <si>
    <t>W-2346</t>
  </si>
  <si>
    <t>Aishah Iqbal</t>
  </si>
  <si>
    <t>37 (liquid: 2x15 mL)</t>
  </si>
  <si>
    <t>P.O. #: 2425-034AB</t>
  </si>
  <si>
    <t>28286591 / Purolator Express #334953588947</t>
  </si>
  <si>
    <t>Picked up on Tuesday…Purolator, FedEx, and UPS are all closed on September 30! 
Email invoice to Accounts Payable at: accounting@nautilusenvironmental.ca</t>
  </si>
  <si>
    <t>W-2347</t>
  </si>
  <si>
    <t>1087-001</t>
  </si>
  <si>
    <t>Simona Duch</t>
  </si>
  <si>
    <t>2-day workshop x 2 people; plus virtual workshop</t>
  </si>
  <si>
    <t>$700/day x 1st person + $350/day x 2nd person + $150/day x virtual people</t>
  </si>
  <si>
    <t>P.O. #: 24216UW</t>
  </si>
  <si>
    <t>Sep 25/24 &amp; Sep 26/24</t>
  </si>
  <si>
    <t>Remember to charge 13% HST for the workshop!
Email invoice to Accounts Payable at: accountspayable@thorsp.com</t>
  </si>
  <si>
    <t>W-2348</t>
  </si>
  <si>
    <t>P.O. #: 48715785</t>
  </si>
  <si>
    <t>Sep 24/24</t>
  </si>
  <si>
    <t>28219524 / Purolator Express #334943966443</t>
  </si>
  <si>
    <t>Ship via Purolator Express; usually arrives next day but can sometimes take 2 days to arrive (10:30AM service doesn't speed up delivery) 
Email invoice to Accounts Payable at: Accounts.Payable@bvlabs.com (for Chelsea Blake (Quebec City Lab))
Purchaser: Ankitesh Kumar Singh; Email: ankitesh-kumar.singh@bureauveritas.com)</t>
  </si>
  <si>
    <t>W-2349</t>
  </si>
  <si>
    <t>Requisition #: KS942</t>
  </si>
  <si>
    <t>28303271 / Purolator Express #334955952943</t>
  </si>
  <si>
    <t>Ship via Purolator Express…arrived next day but delivery may take 2 days instead of the usual 1 day!
Email invoice to: accountspayable@mun.ca (Attn: Derek Burton (engrpurchasing@mun.ca))</t>
  </si>
  <si>
    <t>W-2350</t>
  </si>
  <si>
    <t>1037-008</t>
  </si>
  <si>
    <t>Chuchi Chen</t>
  </si>
  <si>
    <t>culture @ $100 (cross-appointed with UWaterloo Science Biology)</t>
  </si>
  <si>
    <t>picked up by CC</t>
  </si>
  <si>
    <t>W-2351</t>
  </si>
  <si>
    <t>P.O. #: 7544-24-185</t>
  </si>
  <si>
    <t>28302177 / Purolator Express #334955948677</t>
  </si>
  <si>
    <t>Ship via Purolator Express (arrived next day!)
Provide taxonomic certificate
Email invoice to Comptes Payables at: ceaeq.admin@environnement.gouv.qc.ca</t>
  </si>
  <si>
    <t>W-2352</t>
  </si>
  <si>
    <t>cultures @ $380 x4 (dispense into 2 x 500 mL jar)</t>
  </si>
  <si>
    <t>Jan xx/25?</t>
  </si>
  <si>
    <t>Prepared 1x100 mL volumes Oct 9/24; 1x300 mL volumes Nov 14/24; 3x250 mL volumes Dec xx/24
Email invoice to Robbie Brar/Rosa Di Leo at: eeb.reception@utoronto.ca
Put footnote indicating that "Charges are for course BIO220 (eutrophication exercise)"</t>
  </si>
  <si>
    <t>W-2353</t>
  </si>
  <si>
    <t>28385741 / Purolator #334967001259</t>
  </si>
  <si>
    <t>W-2354</t>
  </si>
  <si>
    <t>28510147/ Purolator Express #334984084049</t>
  </si>
  <si>
    <t>Ship via Purolator Express
Email invoice to Accounts Payable at: abaccounts@nautilusenvironmental.ca
Attn: Adam Wartman (awartman@nautilusenvironmental.ca)
External reference "Non-PO invoice: Adam Wartman - Guelph"</t>
  </si>
  <si>
    <t>W-2355</t>
  </si>
  <si>
    <t>95, 386, 422, 431 (liquid) (dispensed into 2 tubes each)</t>
  </si>
  <si>
    <t>cultures @ $45 x4 (regular price = $150; discounted to provide them with the price difference between 15 and 30 mL volumes since they already ordered these strains with W-2328)</t>
  </si>
  <si>
    <t>P.O. #: BC00267249</t>
  </si>
  <si>
    <t>28823816 / Purolator Express 10:30AM #335026541011</t>
  </si>
  <si>
    <t>Dec 6?</t>
  </si>
  <si>
    <t>W-2356</t>
  </si>
  <si>
    <t>1088-001</t>
  </si>
  <si>
    <t>3L modified BG-11 w/o NO3 medium</t>
  </si>
  <si>
    <t>medium @ $80 x3</t>
  </si>
  <si>
    <t>28580137 / Purolator Express #334992730096</t>
  </si>
  <si>
    <t>111892 </t>
  </si>
  <si>
    <t>Ship via Purolator Express
Email invoice to Paiement/Adrien Rizzi at: a.rizzi@crbinnovations.com</t>
  </si>
  <si>
    <t>W-2357</t>
  </si>
  <si>
    <t>Jason Laurich</t>
  </si>
  <si>
    <t>LVPO#: RFS-CBS-0226-24-I-TD</t>
  </si>
  <si>
    <t>picked up by JL</t>
  </si>
  <si>
    <t>Nov 29?</t>
  </si>
  <si>
    <t>Email invoice to Accounts Payable at: acctspay@uoguelph.ca and reference the purchaser (Tyler Domenico), department (CBS), and LVPO # (RFS-CBS-0226-24-I-TD)</t>
  </si>
  <si>
    <t>W-2358 (Part I)</t>
  </si>
  <si>
    <t>1045-003</t>
  </si>
  <si>
    <t>Kevin Erratt</t>
  </si>
  <si>
    <t>102, 300, 464, 711, 744, 746</t>
  </si>
  <si>
    <t>102, 300, 464, 711, 744, 746 (liquid x15mL)</t>
  </si>
  <si>
    <t>cultures @ $135 x10 (regular price = $150; discounted by ~10% for large quantity discount)</t>
  </si>
  <si>
    <t>D.P.O. #: DPES3358</t>
  </si>
  <si>
    <t>28805537 / Purolator Express #335023678469</t>
  </si>
  <si>
    <t>Use a DPO and email invoices to Accounts Payable at: chemstores@utsc.utoronto.ca</t>
  </si>
  <si>
    <t>W-2358 (Part II)</t>
  </si>
  <si>
    <t>732, 733, 736, 743</t>
  </si>
  <si>
    <t>732, 733, 736, 743 (liquid x15mL)</t>
  </si>
  <si>
    <t>Nov xx?</t>
  </si>
  <si>
    <t>xxxxxxxx / Purolator Express #xxxxxxxxxxxx</t>
  </si>
  <si>
    <t>W-2359</t>
  </si>
  <si>
    <t>1033-005</t>
  </si>
  <si>
    <t>Hannah Lye</t>
  </si>
  <si>
    <t>100 mL non-sterile f/2 vitamins; 100 mL of non-sterile f/2 trace metals</t>
  </si>
  <si>
    <t>non-sterile f/2 vitamins @ $60; non-sterile f/2 trace metals @ $60</t>
  </si>
  <si>
    <t>LVPO#: RFS-CBS-2056-24-M-KG</t>
  </si>
  <si>
    <t>Email invoice to Accounts Payable at: acctspay@uoguelph.ca and reference the purchaser (Attn: Karimat Gbolagade), department (CBS/MCB), and PO # (RFS-CBS-2056-24-M-KG)</t>
  </si>
  <si>
    <t>W-2360</t>
  </si>
  <si>
    <t>P.O. #: 7544-24-209</t>
  </si>
  <si>
    <t>28700135 / Purolator Express #335009316308</t>
  </si>
  <si>
    <t>W-2361</t>
  </si>
  <si>
    <t>30, 15, 15, 15</t>
  </si>
  <si>
    <t>cultures @ $150 x3 (extra 14 mL of 714 &amp; extra 14 mL of 715 at no extra charge); cultures @ $195 x1; sterile f/2 [ ] @ $210 (enough to prepare 50L of f/2 medium)</t>
  </si>
  <si>
    <t>28804054 / Purolator Express #335023687064</t>
  </si>
  <si>
    <t>Dec 5?</t>
  </si>
  <si>
    <t>W-2362</t>
  </si>
  <si>
    <t>715 (liquid x30 mL)</t>
  </si>
  <si>
    <t>cultures @ $260 (extra 30 mL for no extra charge)</t>
  </si>
  <si>
    <t>P.O. #: 865078-241107</t>
  </si>
  <si>
    <t>28923417 / FedEx  COLLECT #281765148768</t>
  </si>
  <si>
    <t>Dec 13?</t>
  </si>
  <si>
    <r>
      <t xml:space="preserve">Shipment sent collect via FedEx #112280820 as per client request (charged $5 Handling)
Email invoice to Accounts Payable at:  AP.865.INV.SUBMIT@bureauveritas.com
Reference Pam Howes/Donald Lai (Burnaby Ecotox Group) &amp; PO if provided
</t>
    </r>
    <r>
      <rPr>
        <b/>
        <strike/>
        <sz val="10"/>
        <color rgb="FFFF0000"/>
        <rFont val="Arial"/>
        <family val="2"/>
      </rPr>
      <t>Also added footer: "Purchase Order prepared by John Phillips; Tel: 604-638-5035; Email: John.PHILLIPS@bvlabs.com"</t>
    </r>
  </si>
  <si>
    <t>W-2363</t>
  </si>
  <si>
    <t>2L f/2 medium; 50 mL sterile f/2 [ ]</t>
  </si>
  <si>
    <t>medium @ $60 x8; sterile f/2 [ ] @ $70 (enough to prepare 50L of f/2 medium)</t>
  </si>
  <si>
    <t>P.O. #: P0214558 (Requisition #: KS989)</t>
  </si>
  <si>
    <t>W-2364</t>
  </si>
  <si>
    <t>Internal debit memo given to Monica Emelko/Fariba Amiri (f3amiri@uwaterloo.ca)/ Steven Ngo (steven.ngo@uwaterloo.ca) on Mmm xx/24; they returned it on Mmm xx/24; given to Lucy Satora on Mmm xx/24; credited to our account on Mmm xx/24</t>
  </si>
  <si>
    <t>Rebecca Hobbs</t>
  </si>
  <si>
    <t>Rebecca</t>
  </si>
  <si>
    <t>Group Leader – Microbiology Lab</t>
  </si>
  <si>
    <t>Thor Specialties, Inc.</t>
  </si>
  <si>
    <t>Thor Specialities</t>
  </si>
  <si>
    <t>50 Waterview Drive</t>
  </si>
  <si>
    <t>Shelton</t>
  </si>
  <si>
    <t>CT</t>
  </si>
  <si>
    <t>06484</t>
  </si>
  <si>
    <t>203-516-6980 x6124</t>
  </si>
  <si>
    <t>rhobbs@thorsp.com</t>
  </si>
  <si>
    <t>Rebecca Hobbs (Group Leader – Microbiology Laboratory), Thor Specialties, Inc., 50 Waterview Drive, Shelton, CT 06484 USA
Tel: 203-516-6980 x 6124; Email: rhobbs@thorsp.com</t>
  </si>
  <si>
    <t>Thor Specialties, Inc., Accounts Payable, 50 Waterview Drive, Shelton, CT 06484 USA; Tel: 203-516-6980; Fax: 203-954-0005; Email: accountspayable@thorsp.com</t>
  </si>
  <si>
    <t>Valerie Ward</t>
  </si>
  <si>
    <t>Valerie</t>
  </si>
  <si>
    <t>Chem Eng, E6 4016</t>
  </si>
  <si>
    <t>519-888-4567 x38625</t>
  </si>
  <si>
    <t>vward@uwaterloo.ca</t>
  </si>
  <si>
    <t>Valerie Ward (Associate Professor), University of Waterloo, Chemical Engineering (cross-appointed with Biology), E6 4016, 200 University Ave W, Waterloo, ON N2L 3G1
Tel: 519-888-4567 x38625; Email: vward@uwaterloo.ca</t>
  </si>
  <si>
    <t>Adrien Rizzi</t>
  </si>
  <si>
    <t>Adrien</t>
  </si>
  <si>
    <t>R&amp;D Director</t>
  </si>
  <si>
    <t>CRB Innovations Inc.</t>
  </si>
  <si>
    <t>CRB Innovations</t>
  </si>
  <si>
    <t>551 chemin de la Tuilerie</t>
  </si>
  <si>
    <t>R&amp;D</t>
  </si>
  <si>
    <t>Westbury</t>
  </si>
  <si>
    <t>J0B 1R0</t>
  </si>
  <si>
    <t>819-919-5756</t>
  </si>
  <si>
    <t>a.rizzi@crbinnovations.com</t>
  </si>
  <si>
    <t>Adrien Rizzi (R&amp;D Director), CRB Innovations Inc., R&amp;D, 551 chemin de la Tuilerie, Westbury, QC  J0B 1R0
Tel: 819-919-5756; Email: a.rizzi@crbinnovations.com</t>
  </si>
  <si>
    <t>CRB Innovations Inc., Paiement, 551 chemin de la Tuilerie, Westbury, QC  J0B 1R0; Contact: Adrien Rizzi (R&amp;D Director); Tel: 819-919-5756; Email: a.rizzi@crbinnovations.com</t>
  </si>
  <si>
    <t>Irena Creed</t>
  </si>
  <si>
    <t>Irena</t>
  </si>
  <si>
    <t>1095 Military Trail</t>
  </si>
  <si>
    <t>IC Loading Dock</t>
  </si>
  <si>
    <t>Env Science &amp; Chemistry</t>
  </si>
  <si>
    <t>Scarborough</t>
  </si>
  <si>
    <t>416-208-5661</t>
  </si>
  <si>
    <t>irena.creed@utoronto.ca</t>
  </si>
  <si>
    <t>Irena Creed, University of Toronto Scarborough, Environmental Science &amp; Chemistry, EV 468, 1095 Military Trail (IC Loading Dock), Scarborough, ON  M1C 1A4
Tel: 416-208-5661; Email: irena.creed@utoronto.ca (Ship To Email: chemstores@utsc.utoronto.ca)</t>
  </si>
  <si>
    <t>Yang Xu</t>
  </si>
  <si>
    <t>Yang</t>
  </si>
  <si>
    <t>Assistant Professor (she/her)</t>
  </si>
  <si>
    <t>Molecular &amp; Cellular Bio</t>
  </si>
  <si>
    <t>office: 519-824-4120 x 54788
cell: 519-760-1068</t>
  </si>
  <si>
    <t>yangxu@uoguelph.ca</t>
  </si>
  <si>
    <t>Yang Xu, University of Guelph, Molecular &amp; Cellular Biology, Summerlee Science Complex (Room 4453 or 4401), 50 Stone Road East (or 488 Gordon Street), Guelph ON  N1G 2W1
Tel: Office: 519-824-4120 x 54788, Cell: 519-760-1068; Email: yangxu@uoguelph.ca
(Purchaser: Agnes Bajkai, Susan Casey, or Karimat Gbolagade)</t>
  </si>
  <si>
    <t>Accounts Payable, University of Guelph, 50 Stone Road E, Guelph ON N1G 2W1; Email: acctspay@uoguelph.ca (Purchasers: Agnes Bajkai, Susan Casey, or Karimat Gbolagade; Department: Molecular &amp; Cellular Biology)</t>
  </si>
  <si>
    <t>W-2365</t>
  </si>
  <si>
    <t>1037-009</t>
  </si>
  <si>
    <t>124, 633, 507, 672, 698</t>
  </si>
  <si>
    <t>7.5, 7.5, 15, 20, 20</t>
  </si>
  <si>
    <t>picked up by HS</t>
  </si>
  <si>
    <t>Apr 1?</t>
  </si>
  <si>
    <t>Heidi Swanson</t>
  </si>
  <si>
    <t>Heidi</t>
  </si>
  <si>
    <t>Associate Professor (WLU) &amp; Adjunct Professor (UWaterloo)</t>
  </si>
  <si>
    <t>heidi.swanson@uwaterloo.ca</t>
  </si>
  <si>
    <t>Heidi Swanson (Adjunct Professor), University of Waterloo, Biology, 200 University Ave W, Waterloo, ON N2L 3G1
Email: heidi.swanson@uwaterloo.ca</t>
  </si>
  <si>
    <t>internal debit memo since she still has grants with Unit4 project #s</t>
  </si>
  <si>
    <t>EA Engineering, Science, and Technology, Inc.</t>
  </si>
  <si>
    <t>W-2169
(Part II)</t>
  </si>
  <si>
    <t>LVPO #: CBS4104SK</t>
  </si>
  <si>
    <t>Outremont</t>
  </si>
  <si>
    <t>93, 288, 365, 386, 431</t>
  </si>
  <si>
    <t>93 (liquid x 30mL: active &amp; cyst), 288, 365, 386, 431 (liquid) (all dispensed into 2 tubes each)</t>
  </si>
  <si>
    <r>
      <t xml:space="preserve">Part I = Sub #1a (~10 into 45 mL) started Feb 8/24; Sub #1b (~50 into 225 mL) started Feb 22/24; Sub #1c (~250 into 850 mL) started Mar 7/24; ready week of Apr 1/24 (~8 wks)
Part II = Sub #2a (~10 into 45 mL) started Feb 22/24; Sub #2b (~50 into 225 mL) started Mar 7/24; Sub #2c (~250 into 850 mL) started Mar 27/24; ready week of Apr 22/24 (~9 wks)
Part III = Sub #3a (~10 into 45 mL) started Mar 7/24; Sub #3b (~50 into 225 mL) started Mar 27/24; Sub #3c (~250 into 850 mL) started Apr 17/24; ready week of May 13/24 (~10 wks)
Part IV = Sub #4a (~10 into 50 mL) started Mar 27/24; Sub #4b (~50 into 225 mL) started Apr 17/24; Sub #4c (~250 into 850 mL) started May 9/24; ready week of Jun 3/24 (~10 wks) but not delivered until week of Jun 11/24
Part V = Sub #5a (~10 into 45 mL) started Apr 17/24; Sub #5b (~50 into 225 mL) started May 9/24; Sub #5c (~250 into 850 mL) started May 29/24; ready week of Jun 24/24 (~10 wks) but not delivered until week of Jul 1/24
email invoice to Accounts Payable at: email invoice toacctspay@uoguelph.ca and reference the purchaser (Izabella Onik or Jean), department (SES), and PO # (SES87-2024RP)
</t>
    </r>
    <r>
      <rPr>
        <b/>
        <sz val="10"/>
        <color rgb="FFFF33CC"/>
        <rFont val="Arial"/>
        <family val="2"/>
      </rPr>
      <t>= payment not received until 2024-2025 fiscal year</t>
    </r>
  </si>
  <si>
    <r>
      <t xml:space="preserve">Internal debit memo given to Kirsten Muller on Sep 3/24; returned on Sep 3/24; given to Lucy Satora on Sep 9/24; credited to our account on Sep 13/24
</t>
    </r>
    <r>
      <rPr>
        <b/>
        <sz val="10"/>
        <color rgb="FFFF00FF"/>
        <rFont val="Arial"/>
        <family val="2"/>
      </rPr>
      <t>= payment not received until 2024-2025 fiscal year</t>
    </r>
  </si>
  <si>
    <r>
      <rPr>
        <sz val="11"/>
        <color rgb="FFFF0000"/>
        <rFont val="Calibri"/>
        <family val="2"/>
        <scheme val="minor"/>
      </rPr>
      <t xml:space="preserve">**** </t>
    </r>
    <r>
      <rPr>
        <sz val="11"/>
        <color theme="1"/>
        <rFont val="Calibri"/>
        <family val="2"/>
        <scheme val="minor"/>
      </rPr>
      <t>X-axis labels are for every other year. Edit chart title manually.</t>
    </r>
  </si>
  <si>
    <t xml:space="preserve">      ex.   Date From: 2019-05-01 &amp; Date To: 2020-04-30</t>
  </si>
  <si>
    <r>
      <rPr>
        <sz val="11"/>
        <color rgb="FFFF0000"/>
        <rFont val="Calibri"/>
        <family val="2"/>
        <scheme val="minor"/>
      </rPr>
      <t xml:space="preserve">* </t>
    </r>
    <r>
      <rPr>
        <b/>
        <sz val="11"/>
        <color theme="1"/>
        <rFont val="Calibri"/>
        <family val="2"/>
        <scheme val="minor"/>
      </rPr>
      <t xml:space="preserve">Please make sure that you only submit date range of 12 months </t>
    </r>
  </si>
  <si>
    <t xml:space="preserve">      ex.   Date From: 2019-05-01   &amp;  Date To:  2020-04-30</t>
  </si>
  <si>
    <t>67, 461, 583, 633, 695, 721</t>
  </si>
  <si>
    <t>635 (liquid x2)</t>
  </si>
  <si>
    <t>Jan xx?</t>
  </si>
  <si>
    <t>Ship via Purolator Express
Email invoice to Attn: Jon Stone (jstoner@mcmaster.ca; LSB-327) at: biology2@mcmaster.ca</t>
  </si>
  <si>
    <r>
      <t xml:space="preserve">124, 633 (liquid x7.5 mL each); </t>
    </r>
    <r>
      <rPr>
        <sz val="10"/>
        <color rgb="FF00B050"/>
        <rFont val="Arial"/>
        <family val="2"/>
      </rPr>
      <t>507</t>
    </r>
    <r>
      <rPr>
        <sz val="10"/>
        <rFont val="Arial"/>
        <family val="2"/>
      </rPr>
      <t xml:space="preserve"> (liquid x15 mL); </t>
    </r>
    <r>
      <rPr>
        <sz val="10"/>
        <color rgb="FF00B050"/>
        <rFont val="Arial"/>
        <family val="2"/>
      </rPr>
      <t>672, 698</t>
    </r>
    <r>
      <rPr>
        <sz val="10"/>
        <rFont val="Arial"/>
        <family val="2"/>
      </rPr>
      <t xml:space="preserve"> (liquid x20 mL each)</t>
    </r>
  </si>
  <si>
    <t>W-2366</t>
  </si>
  <si>
    <t>W-2367</t>
  </si>
  <si>
    <t>W-2368</t>
  </si>
  <si>
    <t>Janetta Fraser, Harris Industrial Testing Service Ltd. (HITS), 21 Old Cobequid Road, Waverley, NS  B2R 1P4
Tel: 902-861-2232; Email: janetta@harrisindustrial.ca
(partially sold to AquaTerra when Carol &amp; Gary Harris retired)</t>
  </si>
  <si>
    <r>
      <t xml:space="preserve">Ship via Purolator Express…delivery took 4 days instead of the usual 1 day!
</t>
    </r>
    <r>
      <rPr>
        <b/>
        <strike/>
        <sz val="10"/>
        <color rgb="FFFF0000"/>
        <rFont val="Arial"/>
        <family val="2"/>
      </rPr>
      <t>Email invoice to: accountspayable@mun.ca (Attn: Arman (engrpurchasing@mun.ca)) &amp; Req # (customer ID 108138)</t>
    </r>
    <r>
      <rPr>
        <b/>
        <sz val="10"/>
        <color rgb="FFFF0000"/>
        <rFont val="Arial"/>
        <family val="2"/>
      </rPr>
      <t xml:space="preserve">
OR
Email invoice to: accountspayable@mun.ca (Attn: Arman (engrpurchasing@mun.ca)) &amp; PO # (customer ID 103401)</t>
    </r>
  </si>
  <si>
    <t>W-2116
(1st shipment)</t>
  </si>
  <si>
    <t>W-2116 (2nd shipment)</t>
  </si>
  <si>
    <t>2024-2025</t>
  </si>
  <si>
    <t>29113946 / Purolator Express #335073255051</t>
  </si>
  <si>
    <t>Jan 3?</t>
  </si>
  <si>
    <t>75?</t>
  </si>
  <si>
    <r>
      <t xml:space="preserve">Part I ordered on Feb 6/24; Part II ordered on Apr 12/24; Part III ordered on May 22/24; Part IV ordered on Jun 5/24; Part V ordered on Jun 25/24
internal debit memo given to Monica Emelko/Fariba Amiri (f3amiri@uwaterloo.ca)/ Steven Ngo (steven.ngo@uwaterloo.ca) on Aug 14/24; they returned it on Aug 14/24; given to Lucy Satora on Sep 3/24; credited to our account on Sep 13/24
</t>
    </r>
    <r>
      <rPr>
        <b/>
        <sz val="10"/>
        <color rgb="FFFF00FF"/>
        <rFont val="Arial"/>
        <family val="2"/>
      </rPr>
      <t>= payment not received until 2024-2025 fiscal year</t>
    </r>
  </si>
  <si>
    <r>
      <t xml:space="preserve">Use a Biology DPO and email invoices to Accounts Payable at: chemstores@utsc.utoronto.ca
(if no PO, request forwarding to purchaser for credit card payment)
</t>
    </r>
    <r>
      <rPr>
        <b/>
        <sz val="10"/>
        <color rgb="FFFF00FF"/>
        <rFont val="Arial"/>
        <family val="2"/>
      </rPr>
      <t>= payment not received until 2024-2025 fiscal year</t>
    </r>
  </si>
  <si>
    <t>27172887 / Purolator Express #334785465355</t>
  </si>
  <si>
    <t>culture @ $195 (major issues with propagation &amp; possible contamination using organic phosphate in HSM medium; will try 532 next; provide a discount for one or both cultures? Discount not necessary - both strains worked this time.)</t>
  </si>
  <si>
    <t>Sub #1 (~50 mL) started May 9/24; Sub #2 (~50 into 225 mL) started May 24/24; Sub #3 (~250 into 850 mL) started Jun 12/24; ready week of Jul 1/24 (~8 wks)
Order was accidentally shipped with just the culture and not the medium; medium was shipped next day for no additional S&amp;H fee (bumped up the first S&amp;H fee to $30)! 
Ship via Purolator Express
Email invoice to Accounts Payable at: invoices@ucalgary.ca
Purchaser: Trevor Emmel (tcemmel@ucalgary.ca) &amp; Patricia Parmentier (pparment@ucalgary.ca). Note: also let purchasers know when invoice issued.</t>
  </si>
  <si>
    <t>67 (liquid x15 mL) in BG-11 w/o NO3 medium</t>
  </si>
  <si>
    <t>W-2295
(Part IV)</t>
  </si>
  <si>
    <t>67 (liquid x5 mL) older culture in regular BG-11 medium</t>
  </si>
  <si>
    <t>culture @ 50% of the UW Science pricing for 45 mL of CPCC 67 in BG-11 w/o NO3 medium (total of 40 mL split into 4 allotments) rounded up to next highest $5 increment</t>
  </si>
  <si>
    <t>Parts II, III &amp; IV added to order on Jul 19/24.
Services provided to another Operating account within Biology, therefore, a supply exchange from ChemStores in the amount of $74.26 was arranged instead.</t>
  </si>
  <si>
    <t>Email invoice to Jamie Campbell (Jamie.Campbell@ec.gc.ca) &amp; Martina Rudy (Martina.Rudy@ec.gc.ca) at: drcafagroupe-acrdfagroup@ec.gc.ca</t>
  </si>
  <si>
    <t>Ship via Purolator Express
Email invoice to Accounts Payable at: Accounts.Payable@bvlabs.com (for Beria Lima de Rodriguez (Saint-Laurent Lab))
(Purchaser: Ankitesh Kumar Singh (ankitesh-kumar.singh@bureauveritas.com)‎)</t>
  </si>
  <si>
    <t>27612658 / Purolator Express #334854263681</t>
  </si>
  <si>
    <t>Internal debit memo given to Kim Cuddington on Aug 13/24; returned on Aug 15/24; given to Lucy Satora on Sep 3/24; credited to our account on Sep 13/24</t>
  </si>
  <si>
    <t>Email invoice to Accounts Payable at: acctspay@uoguelph.ca and reference the purchaser (Russell Hamley), department (CBS), and LVPO # (L1757RM (should be RH but is RM on LVPO…confirmed with Russell that I should use RM instead of RH))</t>
  </si>
  <si>
    <t>cultures @ $175 x13 ($195 + 10% discount); culture @ $310 ($345 + 10% discount)</t>
  </si>
  <si>
    <t>picked up by VAC</t>
  </si>
  <si>
    <t>Pick up or ship via Purolator/FedEx!
Reference Rowan Sage/Carlos Cruz and "EEB268 plant diversity course" on invoice
Email invoice to Robbie Brar/Viviana Astudillo-Clavijo at: eeb.reception@utoronto.ca
Notes: CPCC 64 &amp; CPCC 67 prepared Jun 21/24 (did not top up in Aug) - timing good; CPCC 712 prepared Jun 21/24 - timing good; CPCC 422 prepared Jun 21/24 &amp; scaled up plus small volume on Aug 11/23 - could have been a week later to preserve more colonies; CPCC 169 prepared Jul 19/24 - timing good; CPCC 95 &amp; CPCC 158 &amp; CPCC 365 &amp; CPCC 446 &amp; CPCC 690 &amp; CPCC 692 prepared Jul 23/24 - timing good; CPCC 690 &amp; CPCC 692 prepared Aug 1/23 - timing good; CPCC 124 &amp; CPCC 243 &amp; CPCC 422 prepared Aug 8/24 - timing good.</t>
  </si>
  <si>
    <t>Shipment sent collect via FedEx #112280820 as per client request (charge $5 Handling)
Email invoice to Accounts Payable at: AP.865.INV.SUBMIT@bureauveritas.com
Reference Pam Howes/Donald Lai (Burnaby Ecotox Group) &amp; PO if provided
Also added footer: "Purchase Order prepared by Iliana Portelles Serrano; Email: Iliana.portelles-serrano@bureauveritas.com"</t>
  </si>
  <si>
    <t>Provide taxonomic certificates
Email invoice to Accounts Payable at: acctspayable.canusa@alsglobal.com
Purchaser: Amelie de Champs</t>
  </si>
  <si>
    <t>Provide taxonomic certificates
Use UW FedEx account + round up to nearest $5 increment + $25 Handling
Use "Live cell cultures; research; non-haz." or "Lab algal cultures; research; non-haz." wording on shipping request
Email invoice to Accounts Payable or Michael Chanov at: midatlanticap@eaest.com</t>
  </si>
  <si>
    <t>Shipped with W-2321; S&amp;H fee applied to W-2319
PO invoice = email invoice to Accounts Payable at: apinvoice@uwo.ca for Malihe M. Allaf/Chris Thomas Degroot (MME)</t>
  </si>
  <si>
    <t>Ship via Purolator Express
Izzy Ward, MindFuel - Project Phoenix R&amp;D, paid for this order!
Email invoice to Accounts Payable at: fmulenga@mindfuel.ca for Guido van Marle/Izzy Ward (Reference: Project Phoenix R&amp;D)</t>
  </si>
  <si>
    <t>Shipped with W-2319 so no S&amp;H fee for W-2321
PO invoice = email invoice to Accounts Payable at: apinvoice@uwo.ca for Malihe M. Allaf/Chris Thomas Degroot (MME)</t>
  </si>
  <si>
    <t>27615846 / Purolator Express #334854268094</t>
  </si>
  <si>
    <t>27613136 / Purolator Express #334854259796</t>
  </si>
  <si>
    <t>See W-2319</t>
  </si>
  <si>
    <t>27630891 / Purolator Express #334856728442</t>
  </si>
  <si>
    <t>27612769 / Purolator Express #334854255828</t>
  </si>
  <si>
    <t>culture @ $150 x1 (extra 15 mL of 714 at no extra charge); cultures @ $195 x3 (extra 30 mL of 715 at no extra charge); sterile f/2 [ ] @ $210 (enough to prepare 50L of f/2 medium)</t>
  </si>
  <si>
    <t>Ship via Purolator Express…delivery may take 2 days instead of the usual 1 day!
Email invoice to: accountspayable@mun.ca (Attn: Arman (engrpurchasing@mun.ca))
Purchaser: Arman</t>
  </si>
  <si>
    <t>W-2304</t>
  </si>
  <si>
    <t>W-2303</t>
  </si>
  <si>
    <t>27875044 / Purolator Express #334892229918</t>
  </si>
  <si>
    <t>LVPO#: SES28-2024RP</t>
  </si>
  <si>
    <t>67, 461, 583, 633, 695, 721 (liquid) (dispensed into 2 tubes each) (Note: 67 in BG-11 w/o NO3 medium)</t>
  </si>
  <si>
    <t>65, 397, 422, 449 (liquid) (dispensed into 2 tubes each)</t>
  </si>
  <si>
    <t>P.O. #: BC00264862</t>
  </si>
  <si>
    <t>28051889 / Purolator Express 10:30AM #334919837701</t>
  </si>
  <si>
    <t>28139600 / Purolator Express 10:30AM #334933033097</t>
  </si>
  <si>
    <t>28224835 / Purolator Express 10:30AM #334946491258</t>
  </si>
  <si>
    <t>28324758 / Purolator Express 10:30AM #334958615521</t>
  </si>
  <si>
    <t>P.O. #: 2425-002BC</t>
  </si>
  <si>
    <t>27859419 / Purolator Express #334889558634</t>
  </si>
  <si>
    <t>Accidentally skipped Reference numbers W-2330 to W-2339!</t>
  </si>
  <si>
    <t>W-2340</t>
  </si>
  <si>
    <t>sterile [ ] @ $150 (enough to prepare 20L of BG-11 medium)</t>
  </si>
  <si>
    <t>LVPO#: RFS-CBS-0203-24-I-TD</t>
  </si>
  <si>
    <t>Email invoice to Accounts Payable at: acctspay@uoguelph.ca and reference the purchaser (Attn: Tyler Domenico), department (CBS), and PO # (RFS-CBS-0203-24-I-TD)
This PO has a max value of $1000, keep using it for their next orders (expires Jul 31/25)!
(W-2340 = $160; total to date = $160; amount remaining on this PO = $840)</t>
  </si>
  <si>
    <t>Alexei Guerra (Lab Coordinator, B-1222.1), Université de Montréal, 1375 Avenue Thérèse-Lavoie-Roux, Complexe des sciences, Quai de réception # 1, Departement de sciences biologiques, Outremont, QC  H2V 0B3 
Tel: 514-434-2498 x 1041; Email: alexei.guerra.ordaz@umontreal.ca</t>
  </si>
  <si>
    <r>
      <t xml:space="preserve">Universite de Montreal - Dept de sciences biologiques, Complexe des sciences, 1375 Avenue Therese-Lavoie-Roux, Montreal, QC  H2V 0B3 (Contact: Frederique Collin Delagrave (Technicienne en administration); Tel: 514-343-6111 x1250; Email: frederique.collin.delagrave@umontreal.ca)
</t>
    </r>
    <r>
      <rPr>
        <b/>
        <sz val="10"/>
        <rFont val="Arial"/>
        <family val="2"/>
      </rPr>
      <t>OR if using a PO:</t>
    </r>
    <r>
      <rPr>
        <sz val="10"/>
        <rFont val="Arial"/>
        <family val="2"/>
      </rPr>
      <t xml:space="preserve">
Universite de Montreal - Direction des finances, Secteurs Comptes Fournisseurs, C.P. 6128, Succursale Centre-Ville, Montreal, QC  H3C 3J7; Email: facturefournisseur@fin.umontreal.ca (Questions go to comptesapayer@fin.umontreal.ca)</t>
    </r>
  </si>
  <si>
    <t>Ship on Wednesdays via Purolator Express 10:30AM to Attn: Alexei Guerra
Email invoice to UMontreal Accounts Payable for Alexei Guerra/Lama Aldamman (invoicing details must match the PO exactly!) (Unit4 #111982) OR
Email invoice to Frederique Collin Delagrave at: frederique.collin.delagrave@umontreal.ca for Alexei Guerra/Lama Aldamman (Unit4 #111055)</t>
  </si>
  <si>
    <t>111982
OR
111055</t>
  </si>
  <si>
    <t>Lab Instructor/Chargée de cours</t>
  </si>
  <si>
    <t>Alexei Guerra (Lab Coordinator, B-1222.1), Universite de Montreal, 1375 Avenue Thérèse-Lavoie-Roux, Complexe des sciences, Quai de réception # 1, Departement de sciences biologiques, Outremont, QC  H2V 0B3 
Tel: 514-434-2498 x 1041; Email: alexei.guerra.ordaz@umontreal.ca
FOR: Lama Aldamman (Lab Instructor/Chargée de cours); Email: lama.aldamman@umontreal.ca</t>
  </si>
  <si>
    <r>
      <t xml:space="preserve">CPCC 65, CPCC 386, CPCC 397, CPCC 431, CPCC 583, CPCC 695, CPCC 721 prepared on Aug 15/24 = good
CPCC 695 prepared on Aug 15/24 = okay (could have used a lot more time)
CPCC 67, CPCC 449, CPCC 461, CPCC 633 prepared on Aug 19/24 = good
CPCC 288 prepared on Aug 20/24 = good
CPCC 95 &amp; CPCC 365 prepared from UofT cultures on Aug 28/24 = good
CPCC 422 prepared from UofT cultures on Aug 29/24 = good
CPCC 93, CPCC 336 prepared on Aug 29/24 = good
Split order into multiple shipments (x4) as per customer request
Ship on Wednesdays via Purolator Express 10:30AM to Attn: Alexei Guerra
Email invoice to UMontreal Accounts Payable for Alexei Guerra/Lama Aldamman (invoicing details must match the PO exactly!) (Unit4 #111982) OR
</t>
    </r>
    <r>
      <rPr>
        <b/>
        <strike/>
        <sz val="10"/>
        <color rgb="FFFF0000"/>
        <rFont val="Arial"/>
        <family val="2"/>
      </rPr>
      <t>Email invoice to Frederique Collin Delagrave at: frederique.collin.delagrave@umontreal.ca for Alexei Guerra/Lama Aldamman (Unit4 #111055)</t>
    </r>
  </si>
  <si>
    <r>
      <t xml:space="preserve">Ship via Purolator Express to Azimian Residence
Small start-up company so offered mid-way price between CA and CC
</t>
    </r>
    <r>
      <rPr>
        <b/>
        <strike/>
        <sz val="10"/>
        <color rgb="FFFF0000"/>
        <rFont val="Arial"/>
        <family val="2"/>
      </rPr>
      <t xml:space="preserve">Email invoice to Leila Azimian at: Leilaazimian1@gmail.com (Unit4 ID #110877) </t>
    </r>
    <r>
      <rPr>
        <b/>
        <sz val="10"/>
        <color rgb="FFFF0000"/>
        <rFont val="Arial"/>
        <family val="2"/>
      </rPr>
      <t>OR
Email invoice to Matthew Simon at: msimon@oceanstartupproject.ca (Unit4 ID #111834)</t>
    </r>
  </si>
  <si>
    <t>Cross-appointed with Biology = UWaterloo Faculty of Science pricing
Internal debit memo given to client on mmm dd/yy; they returned it on mmm dd/yy; given to Lucy Satora on mmm dd/yy; credited to our account in mmm yyyy</t>
  </si>
  <si>
    <t>Jan 7?</t>
  </si>
  <si>
    <t>Cheryl Mary Rafuse</t>
  </si>
  <si>
    <t>Cheryl</t>
  </si>
  <si>
    <t>Algal Biologist</t>
  </si>
  <si>
    <t>National Research Council Canada - Halifax</t>
  </si>
  <si>
    <t>NRC Can - Halifax</t>
  </si>
  <si>
    <t>1411 Oxford Street</t>
  </si>
  <si>
    <t>Halifax</t>
  </si>
  <si>
    <t>B3H 3Z1</t>
  </si>
  <si>
    <t>902-426-5972</t>
  </si>
  <si>
    <t>cheryl.rafuse@nrc.gc.ca</t>
  </si>
  <si>
    <t>Cheryl Mary Rafuse (Algal Biologist), National Research Council Canada, 1411 Oxford Street, Halifax, NS  B3H 3Z1
Tel:  902-426-5972; Email:  cheryl.rafuse@nrc.gc.ca</t>
  </si>
  <si>
    <t>National Research Council of Canada, 1200 Montreal Road, M-50, Ottawa, ON  K1A 0R6; Email: nrc.invoice-facture.cnrc@nrc-cnrc.gc.ca</t>
  </si>
  <si>
    <t>email invoice to Accounts Payable at: nrc.invoice-facture.cnrc@nrc-cnrc.gc.ca (use a PO#)</t>
  </si>
  <si>
    <t>Daniel (Dan) Beach</t>
  </si>
  <si>
    <t>Research Officer</t>
  </si>
  <si>
    <t>daniel.beach@nrc.gc.ca</t>
  </si>
  <si>
    <t>Dan Beach (Research Officer), National Research Council Canada, 1411 Oxford Street, Halifax, NS  B3H 3Z1
Tel: 902-426-5972; Email:  daniel.beach@nrc.gc.ca</t>
  </si>
  <si>
    <t>Project with Cheryl Mary Rafuse &amp; Daniel (Dan) Beach @ NRC Can - Halifax
Heidi is adjunct with Biology = UWaterloo Faculty of Science pricing
Internal debit memo given to Heidi Swanson on Mmm xx/24; they returned it on Mmm xx/24; given to Lucy Satora on Mmm xx/24; credited to our account on Mmm xx/24</t>
  </si>
  <si>
    <t>35?</t>
  </si>
  <si>
    <t>29200475 / Purolator Express #335100611086</t>
  </si>
  <si>
    <t>29200820 / Purolator Express #335100667294</t>
  </si>
  <si>
    <t xml:space="preserve">Not automated - Add # of New Users from Usage worksheet then Update formula for Cumulative # of Users manually
**NOTE: somewhere something got missed or inadvertantly added so that the numbers don't quite add up anymore. We chose to continue to use the Cumulative # of users as originally calculated by Judy even though the Annual # of New Users for the period between 1995-1996 and 1996-1997 doesn't make sense. </t>
  </si>
  <si>
    <t>Notes: Update manually from Service Revenue Breakdown spreadsheet</t>
  </si>
  <si>
    <t>Total Revenue from UW Finance (Unit4):</t>
  </si>
  <si>
    <r>
      <rPr>
        <sz val="11"/>
        <color rgb="FFFF0000"/>
        <rFont val="Calibri"/>
        <family val="2"/>
        <scheme val="minor"/>
      </rPr>
      <t>***</t>
    </r>
    <r>
      <rPr>
        <sz val="11"/>
        <rFont val="Calibri"/>
        <family val="2"/>
        <scheme val="minor"/>
      </rPr>
      <t xml:space="preserve"> Special Service Pie Chart: includes all services except Cultures and S&amp;H </t>
    </r>
  </si>
  <si>
    <r>
      <rPr>
        <sz val="11"/>
        <color rgb="FFFF0000"/>
        <rFont val="Calibri"/>
        <family val="2"/>
        <scheme val="minor"/>
      </rPr>
      <t>*****</t>
    </r>
    <r>
      <rPr>
        <sz val="11"/>
        <rFont val="Calibri"/>
        <family val="2"/>
        <scheme val="minor"/>
      </rPr>
      <t xml:space="preserve"> Enter Total Revenue from UW Finance manually from Unit4</t>
    </r>
  </si>
  <si>
    <t>Ship via Purolator Express
Email invoice to: finance.botany@ubc.ca and reference "Botany Accounts Payable (end-user: Michelle Tseng)" (or email to ubc.invoices@ubc.ca as it now reads in the Unit4 Customer database?)</t>
  </si>
  <si>
    <r>
      <t xml:space="preserve">CPCC 95, CPCC 386, CPCC 422, CPCC 431 prepared from UMontreal remainders of cultures prepared for W-2328; Topped up Oct 31/24
Ship on Wednesdays via Purolator Express 10:30AM to Attn: Alexei Guerra
Email invoice to UMontreal Accounts Payable for Alexei Guerra/Lama Aldamman (invoicing details must match the PO exactly!) OR
</t>
    </r>
    <r>
      <rPr>
        <b/>
        <strike/>
        <sz val="10"/>
        <color rgb="FFFF0000"/>
        <rFont val="Arial"/>
        <family val="2"/>
      </rPr>
      <t>Email invoice to Frederique Collin Delagrave at: frederique.collin.delagrave@umontreal.ca for Alexei Guerra/Lama Aldamman</t>
    </r>
  </si>
  <si>
    <t>Outremont, QC</t>
  </si>
  <si>
    <t>715 (liquid: 2x15mL)</t>
  </si>
  <si>
    <t>90, 266 (liquid x50mL each)</t>
  </si>
  <si>
    <t>Houda originally placed this order on May 10/23 but canceled on May 15/23.
Email invoice to Attn: Houda Hanana (DRCA Montreal) at: drcafagroupe-acrdfagroup@ec.gc.ca; add foonote "Please forward invoice to Houda Hanana (Houda.Hanana@ec.gc.ca) for credit card payment"</t>
  </si>
  <si>
    <t>safe-deposit charges for 442, 444,  448, 494, 700</t>
  </si>
  <si>
    <t>169, 716</t>
  </si>
  <si>
    <t>90 (liquid: 2x15mL); 420, 714, 715 (liquid: 1x15mL); 500 mL sterile f/2 [ ]</t>
  </si>
  <si>
    <t># of Strains</t>
  </si>
  <si>
    <t># of Cultures</t>
  </si>
  <si>
    <t>37 (liquid x30mL)</t>
  </si>
  <si>
    <t>P.O. #: BON242500948</t>
  </si>
  <si>
    <t>Uses a PO#; ship via Purolator Express
Email invoice to Comptes Payables at: finances@cshawi.ca</t>
  </si>
  <si>
    <t>7L BBM medium</t>
  </si>
  <si>
    <t>media @$60 x7</t>
  </si>
  <si>
    <t>P.O. #: BON242500949</t>
  </si>
  <si>
    <t>Jan 13?</t>
  </si>
  <si>
    <t>Scott Pierobon</t>
  </si>
  <si>
    <t>1L CHU-10 medium; 200 mL non-sterile CHU-10 [ ] (90 mL [ ] + 100 mL Stock 1 + 10 mL Stock 5)</t>
  </si>
  <si>
    <t xml:space="preserve">    However, needs to be entered identically in both tables &amp;</t>
  </si>
  <si>
    <t xml:space="preserve">    on the Orders worksheet!</t>
  </si>
  <si>
    <t>sterile BBM [ ] @ $60 (enough to prepare 5L of BBM medium)</t>
  </si>
  <si>
    <t>non-sterile BBM stock solutions (enough to prepare 10L of BBM) @ $65; non-sterile CHU-10 stock solutions (enough to prepare 10L of CHU-10) @ $65</t>
  </si>
  <si>
    <t>cultures @ $175 x2 (extra 30 mL of 714 &amp; 715 at no extra charge); sterile f/2 [ ] @ $180 (enough to prepare 50L of f/2)</t>
  </si>
  <si>
    <t>cultures @ $50 x2 (for ID); culture @ $100 (for ID); cultures @ $150 x2 (for NRC &amp; ID including extra 5 mL at no extra charge)</t>
  </si>
  <si>
    <t>Scott</t>
  </si>
  <si>
    <t>W-2371</t>
  </si>
  <si>
    <t>Project Manager</t>
  </si>
  <si>
    <t>awartman@nautilusenvironmental.ca</t>
  </si>
  <si>
    <t>Adam Wartman (Project Manager), Nautilus Environmental Company Inc., B-11 Nicholas Beaver Road, Puslinch ON  N0B 2J0
Tel: 519-763-4412; Cell: 519-716-4019; Fax: 519-763-4419; Email: awartman@nautilusenvironmental.ca (was awartman@aquatox.ca)
ALSO FOR: Victoria Carleton (Project Manager/GLP Coordinator); Tel: 519-763-4412; Fax: 519-763-4419; Email: vcarleton@aquatox.ca
(Lab Manager: Shawna Kirkpatrick, Email: skirkpatrick@aquatox.ca; Purchaser: Martina Rendas, Email: mrendas@aquatox.ca)
(Formerly AquaTox Testing &amp; Consulting Inc.)</t>
  </si>
  <si>
    <r>
      <t xml:space="preserve">Nautilus Environmental - Guelph, B-11 Nicholas Beaver Road, Puslinch ON  N0B 2J0; Tel: 519-763-4412 x304, Fax: 519-763-4419;  Email: accounting@nautilusenvironmental.ca
</t>
    </r>
    <r>
      <rPr>
        <strike/>
        <sz val="10"/>
        <rFont val="Arial"/>
        <family val="2"/>
      </rPr>
      <t>AquaTox Testing &amp; Consulting Inc., B-11 Nicholas Beaver Road, Puslinch ON  N0B 2J0; Tel: 519-763-4412 x304, Fax: 519-763-4419; Email: tcarter@aquatox.ca (email invoice to Terry Carter at: tcarter@aquatox.ca)</t>
    </r>
  </si>
  <si>
    <t>provide taxonomic certificates; picked up at UWaterloo or shipped via Purolator
Email invoice to Accounts Payable at: abaccounts@nautilusenvironmental.ca
Put note in footer ""Non-PO invoice: please forward to Adam Wartman (awartman@aquatox.ca)"</t>
  </si>
  <si>
    <t>Aishah</t>
  </si>
  <si>
    <t>Biologist (Supervisor: Naomi Attril)</t>
  </si>
  <si>
    <t>403-253-7121 x 6106</t>
  </si>
  <si>
    <t>aiqbal@nautilusenvironmental.ca</t>
  </si>
  <si>
    <t>Naomi Attrill, Nautilus Environmental Company Inc., 10823 27th Street SE, Calgary, AB  T2Z 3V9
Tel: 403-253-7121; Fax: 403-252-9363; Email: naomi@nautilusenvironmental.ca
FOR: Aishah Iqbal (Biologist); Tel: 403-253-7121 x 6106; Email: aiqbal@nautilusenvironmental.ca
(Formerly Hydroqual Laboratories Ltd.)</t>
  </si>
  <si>
    <t>University of Western Ontario, Financial Services, Suite 6100, Support Services Building, 1393 Western Rd, London ON  N6G 1G9; Tel: 519-661-2111; Email: apinvoice@uwo.ca (Attn: Accounts Payable or UWO Engineering Stores Purchaser (name and email)</t>
  </si>
  <si>
    <t>Practical work technician</t>
  </si>
  <si>
    <t>internal debit memo given to client on mmm dd/yy; they returned it on mmm dd/yy; given to Lucy Satora on mmm dd/yy; credited to our account in mmm yyyy</t>
  </si>
  <si>
    <t>CEO &amp; Co-Founder of GC Lipid Tech Inc.</t>
  </si>
  <si>
    <t>Manager of Undergraduate Lab Operations</t>
  </si>
  <si>
    <t>Ecotoxicology lab supervisor</t>
  </si>
  <si>
    <t>Malihe Mehdizadeh Allaf (Supervisor: Hassan Peerhossaini), Western University, Department of Civil and Environmental Engineering, Engineering Stores, Thompson Eng Bldg, Dock 59, Room 40, ShipTo Address Code: TEB-ENGSTR, 1151 Richmond Street, London ON  N6A 5B9
Tel: 519-661-2038; Email: mmehdiz@uwo.ca
FOR: Christopher Thomas DeGroot, Department of Mechanical and Materials Engineering (MME) (Tel: 519-661-2111 x 84455; Email: christopher.degroot@uwo.ca) &amp; Hassan Peerhossain (Tel: 519-661-2111 x 80319; Email: hpeerhos@uwo.ca) &amp; Reza Saifi (Cell: 226-559-2474; Email: rsaifi@uwo.ca)</t>
  </si>
  <si>
    <t>Chuchi</t>
  </si>
  <si>
    <t>PhD student; Supervisor: Valerie Ward</t>
  </si>
  <si>
    <t>chuchi.chen@uwaterloo.ca</t>
  </si>
  <si>
    <t>Valerie Ward (Associate Professor), University of Waterloo, Chemical Engineering (cross-appointed with Biology), E6 4016, 200 University Ave W, Waterloo, ON N2L 3G1
Tel: 519-888-4567 x38625; Email: vward@uwaterloo.ca
FOR: Chuchi Chen; Email: chuchi.chen@uwaterloo.ca</t>
  </si>
  <si>
    <t>Research professor</t>
  </si>
  <si>
    <t>Regulatory Toxicology Supervisor</t>
  </si>
  <si>
    <t>Research Scientist</t>
  </si>
  <si>
    <t>lab coordinator</t>
  </si>
  <si>
    <t>internal debit memo given to customer on mmm dd/yy; they returned it on mmm dd/yy; given to Lucy Satora on mmm dd/yy; credited to our account in mmm yyyy</t>
  </si>
  <si>
    <t>Aquatic Toxicology Technologist</t>
  </si>
  <si>
    <t>Supervisor, Biologist (Primary point of contact as of Sep 2024)</t>
  </si>
  <si>
    <t>Ditty Kakkassery, Nautilus Environmental Company Inc., 8664 Commerce Court, Burnaby, BC V5A 4N7
Tel: 604-420-8773 x7101; Fax: 604-357-1361; Email: ditty@nautilusenvironmental.ca
(Alternate designates as of Sep 2024: Tiffany Lam (tlam@nautilusenvironmental.ca), Anqi Yuan (ayuan@nautilusenvironmental.ca), Kiyeon Lee (klee@nautilusenvironmental.ca) - assign customer numbers to them if they ever place an order)</t>
  </si>
  <si>
    <t>CEO of Immunovaccine Inc</t>
  </si>
  <si>
    <t>Hannah</t>
  </si>
  <si>
    <t>MSc student; Supervisor: Yang Xu</t>
  </si>
  <si>
    <t>hlye@uoguelph.ca</t>
  </si>
  <si>
    <t>Hao (Harry) Wu</t>
  </si>
  <si>
    <t>Harry</t>
  </si>
  <si>
    <t>M.Eng. Student; Lidan Tao places his orders</t>
  </si>
  <si>
    <t>Eng &amp; Applied Sci EN1015A</t>
  </si>
  <si>
    <t xml:space="preserve">709-765-2968 </t>
  </si>
  <si>
    <t>hwu23@mun.ca</t>
  </si>
  <si>
    <t>Lidan Tao (Laboratory Instructor), Memorial University of Newfoundland, Faculty of Engineering and Applied Science, Department of Civil Engineering, 240 Prince Phillip Drive, S.J. Carew Building Loading Bay Door #23, Room EN1015A, St. John’s, NL  A1B 3X5 
Tel: 709-864-4497; Email: ltao@mun.ca
FOR: Hao Wu (Harry); Tel: 709-765-2968; Email: hwu23@mun.ca
(Purchaser: Derek Burton or Arman; Email: engrpurchasing@mun.ca)</t>
  </si>
  <si>
    <r>
      <t xml:space="preserve">Memorial University of Newfoundland- Faculty of Engineering &amp; Applied Science, 230 Elizabeth Avenue, St. John's, NL A1B 1T5; Email: accountspayable@mun.ca
</t>
    </r>
    <r>
      <rPr>
        <b/>
        <sz val="10"/>
        <rFont val="Arial"/>
        <family val="2"/>
      </rPr>
      <t>OR (if using a PO):</t>
    </r>
    <r>
      <rPr>
        <sz val="10"/>
        <rFont val="Arial"/>
        <family val="2"/>
      </rPr>
      <t xml:space="preserve">
Memorial University of Newfoundland, Financial and Administrative Services AP, 230 Elizabeth Avenue, PO Box 4200, St. Johns, NL A1C 5S7; Email: accountspayable@mun.ca</t>
    </r>
  </si>
  <si>
    <t>Ship via Purolator Express…delivery may take 2 days instead of the usual 1 day!
Email invoice to: accountspayable@mun.ca (Attn: Arman (engrpurchasing@mun.ca)) &amp; Req # (customer ID 108138)
OR
Email invoice to: accountspayable@mun.ca (Attn: Arman (engrpurchasing@mun.ca)) &amp; PO # (customer ID 103401)</t>
  </si>
  <si>
    <r>
      <t xml:space="preserve">108138
</t>
    </r>
    <r>
      <rPr>
        <b/>
        <sz val="10"/>
        <rFont val="Arial"/>
        <family val="2"/>
      </rPr>
      <t>OR</t>
    </r>
    <r>
      <rPr>
        <sz val="10"/>
        <rFont val="Arial"/>
        <family val="2"/>
      </rPr>
      <t xml:space="preserve">
103401</t>
    </r>
  </si>
  <si>
    <t>Adjunct with Biology = UWaterloo Faculty of Science pricing
Internal debit memo given to client on mmm dd/yy; they returned it on mmm dd/yy; given to Lucy Satora on mmm dd/yy; credited to our account in mmm yyyy</t>
  </si>
  <si>
    <t>Jason</t>
  </si>
  <si>
    <t>Postdoc; Supervisor: Joey Bernhardt</t>
  </si>
  <si>
    <t>jlaurich@uoguelph.ca</t>
  </si>
  <si>
    <t>Joey Bernhardt (PhD, Assistant Professor), University of Guelph, College of Biological Science (CBS), Integrative Biology, Summerlee Science Complex Room 2408 (SSC 2408), 50 Stone Road East, Guelph ON  N1G 2W1
Tel: 519-824-4120 x55820; Cell: 604-355-0653; Email: joey.bernhardt@uoguelph.ca
FOR: Jason Laurich (Postdoc; Supervisor: Joey Bernhardt); Email: jlaurich@uoguelph.ca</t>
  </si>
  <si>
    <t>Accounts Payable, University of Guelph, 50 Stone Road E, Guelph ON N1G 2W1; Email: acctspay@uoguelph.ca (College of Biological Science, Purchasing Manager: Nora Teri, Tel: 519-824-4120 x52774, Personal Email: nteri@uoguelph.ca; Other Purchasers: Russell Hamley, Email: cbsclerk@uoguelph.ca; Tyler Domenico, Email: cbs.rfs@uoguelph.ca)</t>
  </si>
  <si>
    <t>North Rhine-Westphalia (NR)</t>
  </si>
  <si>
    <t>internal debit memo given to Jozef Nissimov on mmm dd/yy; they returned it on mmm dd/yy; given to Lucy Satora on mmm dd/yy; credited to our account in mmm yyyy</t>
  </si>
  <si>
    <t>James Weaver (Plant Manager), Cambridge Isotope Laboratories (CIL) Canada, 331 Rue Deslauriers, Saint-Laurent, QC  H4N 1W2
Tel: 514-723-0858 x222; Email: Jweaver@isotope.com
(Purchaser: Caroline Araguas, Tel: 514-723-0858 x225, Email: caraguas@isotopecanada.com)
(Formerly FESKO Consultants)</t>
  </si>
  <si>
    <t>Laboratory Manager &amp; President</t>
  </si>
  <si>
    <t>Occitanie (xx?)</t>
  </si>
  <si>
    <t>Manager of Plant &amp; Invertebrate Toxicology</t>
  </si>
  <si>
    <t>Laboratory Supervisor</t>
  </si>
  <si>
    <t>Section Coordinator</t>
  </si>
  <si>
    <t>Principal Investigator</t>
  </si>
  <si>
    <t>Bavaria (BY)</t>
  </si>
  <si>
    <t>Researcher</t>
  </si>
  <si>
    <t>Institute of Microalgal Technology (IMAT) - Japan</t>
  </si>
  <si>
    <t>Kenji Iwasaki, Institute of Microalgal Technology (IMAT) - Japan, 6208-1 Nakano, IMAT Fundamental Technology Research Institute, Hiroshima, Hiroshima Prefecture, 725-0301, JP 
Tel: +81846644108; Email: kenji.iwasaki@imat.co.jp
(Note: could use either 'HP' or ISO code '34' in 2Ship but Trevor said it doesn't really matter so used 'HP'. ISO codes found at: https://en.wikipedia.org/wiki/ISO_3166-2:JP#:~:text=The%20first%20part%20is%20JP,alpha%2D2%20code%20of%20Japan)</t>
  </si>
  <si>
    <t>Supervisor: Irena Creed</t>
  </si>
  <si>
    <t>548-788-9007</t>
  </si>
  <si>
    <t>k.erratt@utoronto.ca</t>
  </si>
  <si>
    <t>Kevin Erratt (Supervisor: Irena Creed), University of Toronto Scarborough, Environmental Science &amp; Chemistry, 1095 Military Trail (IC Loading Dock), Scarborough, ON  M1C 1A4
Kevin = Tel: 548-788-9007; Email: k.erratt@utoronto.ca; Irena = Tel: 416-208-5661; Email: irena.creed@utoronto.ca (Ship To Email: chemstores@utsc.utoronto.ca)</t>
  </si>
  <si>
    <t xml:space="preserve">Professional asistant; Supervisor: Claude Fortin
</t>
  </si>
  <si>
    <t>Technician</t>
  </si>
  <si>
    <t>Founder of Bio-Stat-Green Consulting Inc;
Former student at Western U (Supervisor: Amarjeet Bassi)</t>
  </si>
  <si>
    <t>Leila Azimian, Azimian Residence, 204-9901 Keele St, L6A 0A1, Maple, ON (home address)
Cell: 647-763-7351; Email: Leilaazimian1@gmail.com
(Founder of Bio-Stat-Green Consulting Inc; Website: https://bio-stat-green.consulting/)
(Former student at Western U (Former Email: lazimian@uwo.ca); Former Supervisor: Amarjeet Bassi)</t>
  </si>
  <si>
    <t>Leila Azimian, 204, 9901 Keele Street, Maple, ON  L6A 0A1; Email: Leilaazimian1@gmail.com
OR
Ocean Startup Project - NBIF, 110-40 Crowther Lane, Fredericton, NB  E3C 0J1; Tel: 902-314-8288; Email: msimon@oceanstartupproject.ca; Website: https://oceanstartupproject.ca/ (Contact: Matthew Simon, Finance Manager)</t>
  </si>
  <si>
    <t>Ship via Purolator Express
Small start-up company so offered mid-way price between CA and CC
Email invoice to Leila Azimian at: Leilaazimian1@gmail.com
OR
Email invoice to Matthew Simon at: msimon@oceanstartupproject.ca</t>
  </si>
  <si>
    <t>110877
OR
111834</t>
  </si>
  <si>
    <t>Laboratory Instructor</t>
  </si>
  <si>
    <t>Lidan Tao (Laboratory Instructor), Memorial University of Newfoundland, Faculty of Engineering and Applied Science, Department of Civil Engineering, 240 Prince Phillip Drive, S.J. Carew Building Loading Bay Door #23, Room EN1015A, St. John’s, NL  A1B 3X5 
Tel: 709-864-4497; Email: ltao@mun.ca
(Purchaser: Derek Burton or Arman; Email: engrpurchasing@mun.ca)</t>
  </si>
  <si>
    <t>108138
OR
103401</t>
  </si>
  <si>
    <t>Founder and CEO of Cytochrome</t>
  </si>
  <si>
    <t>Physical Scientist</t>
  </si>
  <si>
    <t>Testing Coordinator and Biologist</t>
  </si>
  <si>
    <t>EA Eng, Sci, and Tech</t>
  </si>
  <si>
    <t xml:space="preserve">instructor </t>
  </si>
  <si>
    <t>Senior Research Scientist</t>
  </si>
  <si>
    <t>Research Associate</t>
  </si>
  <si>
    <t>Mohamed Alabbasi</t>
  </si>
  <si>
    <t>Mohamed</t>
  </si>
  <si>
    <t>mohamed.alabbasi@mail.utoronto.ca</t>
  </si>
  <si>
    <t>Marc Cadotte, University of Toronto Scarborough, Department of Biological Sciences, 1265 Military Trail, Toronto ON  M1C 1A4
Tel: 416-208-5105; Email: marc.cadotte@utoronto.ca (Ship To Email: chemstores@utsc.utoronto.ca)
FOR: Mohamed Alabbasi (Supervisor: Marc Cadotte); Email: mohamed.alabbasi@mail.utoronto.ca</t>
  </si>
  <si>
    <t>Instructor</t>
  </si>
  <si>
    <t>costa.nailab@gmail.com</t>
  </si>
  <si>
    <t>Alexei Guerra (B-1222.1), Universite de Montreal, 1375 Avenue Thérèse-Lavoie-Roux, Complexe des sciences, Quai de réception # 1, Departement de sciences biologiques, Outremont, QC  H2V 0B3  
Tel: 514-434-2498 x 1041; Email: alexei.guerra.ordaz@umontreal.ca
FOR: Naila Barbosa da Costa (Instructor); Tel: Cell: 450-626-8553; Email: costa.nailab@gmail.com</t>
  </si>
  <si>
    <t>Universite de Montreal - Dept de sciences biologiques, Complexe des sciences, 1375 Avenue Therese-Lavoie-Roux, Montreal, QC  H2V 0B3 (Contact: Frederique Collin Delagrave (Technicienne en administration); Tel: 514-343-6111 x1250; Email: frederique.collin.delagrave@umontreal.ca)</t>
  </si>
  <si>
    <t>Ship on Wednesdays via Purolator Express 10:30AM to Attn: Alexei Guerra
Email invoice to UMontreal Accounts Payable for Alexei Guerra/Naila Barbosa da Costa (invoicing details must match the PO exactly!) (Unit4 #111982) OR
Email invoice to Frederique Collin Delagrave at: frederique.collin.delagrave@umontreal.ca for Alexei Guerra/Naila Barbosa da Costa (Unit4 #111055)</t>
  </si>
  <si>
    <t>Testing Coordinator</t>
  </si>
  <si>
    <t>Guest Researcher</t>
  </si>
  <si>
    <t>Nouvelle-Aquitaine (NA)</t>
  </si>
  <si>
    <t>Senior Research Officer</t>
  </si>
  <si>
    <t>President and owner of Selected BioProducts Inc.</t>
  </si>
  <si>
    <t>Student</t>
  </si>
  <si>
    <t>Technician;
Supervisor: Carlos Cruz</t>
  </si>
  <si>
    <t>Rosa Di Leo (supervisor: Carlos Cruz), University of Toronto, Cell Systems and Biology, 25 Harbord Street, Reception Suite 401, Toronto, ON  M5S 3G5
Tel: 416-978-6178; Email: rosa.dileo@utoronto.ca</t>
  </si>
  <si>
    <t>Report Associate</t>
  </si>
  <si>
    <t>Sandra Renaud (Supervisor: James Weaver), Cambridge Isotope Laboratories (CIL) Canada, 331 Rue Deslauriers, Saint-Laurent, QC  H4N 1W2
Tel: 514-723-0858 x 280; Email: srenaud@isotope.com
(Purchaser: Caroline Araguas, Tel: 514-723-0858 x225, Email: caraguas@isotopecanada.com)
(Formerly FESKO Consultants)</t>
  </si>
  <si>
    <t>Sandra Trochei (Plant Manager), Cambridge Isotope Laboratories (CIL) Canada, 331 Rue Deslauriers, Saint-Laurent, QC  H4N 1W2
Tel: 514-723-0858 x222, Cell: 514-229-7702; Email: sandra.t@isotopecanada.com
(Purchaser: Caroline Araguas, Tel: 514-723-0858 x225, Email: caraguas@isotopecanada.com)
(Formerly FESKO Consultants)</t>
  </si>
  <si>
    <t>University of Western Ontario, Financial Services, Suite 6100, Support Services Building, 1393 Western Rd, London ON  N6G 1G9; Tel: 519-661-2111; Email: apinvoice@uwo.ca (Attn: Accounts Payable or UWO ChemBio Stores Purchaser (name and email)</t>
  </si>
  <si>
    <t>Simona</t>
  </si>
  <si>
    <t>Senior Microbiologist</t>
  </si>
  <si>
    <t xml:space="preserve">Thor Specialties, Inc. </t>
  </si>
  <si>
    <t>internal debit memo given to Monica Emelko on mmm dd/yy; they returned it on mmm dd/yy; given to Lucy Satora on mmm dd/yy; credited to our account in mmm yyyy</t>
  </si>
  <si>
    <t>Bioanalytics Supervisor</t>
  </si>
  <si>
    <t>Project Manager/GLP Coordinator</t>
  </si>
  <si>
    <t>Victoria Carleton (Project Manager/GLP Coordinator), Nautilus Environmental Company Inc., B-11 Nicholas Beaver Road, Puslinch ON  N0B 2J0
Tel: 519-763-4412; Fax: 519-763-4419; Email: vcarleton@nautilusenvironmental.ca (was vcarleton@aquatox.ca)
ALSO FOR: Adam Wartman (Project Manager); Tel: 519-763-4412; Cell: 519-716-4019; Fax: 519-763-4419; Email: awartman@nautilusenvironmental.ca
(Lab Manager: Shawna Kirkpatrick, Email: skirkpatrick@aquatox.ca; Purchaser: Martina Rendas, Email: mrendas@aquatox.ca)
(Formerly AquaTox Testing &amp; Consulting Inc.)</t>
  </si>
  <si>
    <r>
      <t xml:space="preserve">Provide taxonomic certificates; picked up at UWaterloo or shipped via Purolator
Email invoice to Accounts Payable at: abaccounts@nautilusenvironmental.ca
Attn: Victoria Carleton (vcarleton@nautilusenvironmental.ca) &amp; Adam Wartman (awartman@nautilusenvironmental.ca)
External reference "Non-PO invoice: Victoria Carleton &amp; Adam Wartman - Guelph"
</t>
    </r>
    <r>
      <rPr>
        <b/>
        <strike/>
        <sz val="10"/>
        <color rgb="FFFF0000"/>
        <rFont val="Arial"/>
        <family val="2"/>
      </rPr>
      <t>Attn: Victoria Carleton (vcarleton@aquatox.ca) &amp; Adam Wartman (awartman@aquatox.ca)</t>
    </r>
  </si>
  <si>
    <t>Director of the Ecotoxicology Laboratory</t>
  </si>
  <si>
    <t>Visiting Scholar and Professor</t>
  </si>
  <si>
    <t>Dec 16?</t>
  </si>
  <si>
    <t>75, 75</t>
  </si>
  <si>
    <t>37 (x5), 160 (x5) (liquid)</t>
  </si>
  <si>
    <t>cultures @$200 x2; cultures @ $50 x8 (volume discount of $10 for each subsequent tube)</t>
  </si>
  <si>
    <t>P.O. #: 48720369</t>
  </si>
  <si>
    <t>Services are:</t>
  </si>
  <si>
    <t>1) Cultures, 2) Medium, 3) Concentrate, 4) Workshops, 5) Safe-deposit,</t>
  </si>
  <si>
    <t xml:space="preserve">6) Consultation, 7) Equipment rental (includes growth chamber rentals), </t>
  </si>
  <si>
    <t>10) Isolation &amp; Purification</t>
  </si>
  <si>
    <t>8) Enumeration (incl. growth curves), 9) Identification (incl. photography),</t>
  </si>
  <si>
    <t>HR - not automated; compared values = good!</t>
  </si>
  <si>
    <t>Neuston Biosystems Inc.</t>
  </si>
  <si>
    <t>1089-001</t>
  </si>
  <si>
    <t>Co-Founder &amp; CEO</t>
  </si>
  <si>
    <t>neustonbiosystems.com</t>
  </si>
  <si>
    <t>Neuston Biosystems</t>
  </si>
  <si>
    <t>174 Betty Ann Drive</t>
  </si>
  <si>
    <t>M2N 1X6</t>
  </si>
  <si>
    <t>647-953-2393</t>
  </si>
  <si>
    <t>Scott Pierobon (Co-Founder &amp; CEO), 2482 Yonge Street, Unit 1181, Toronto, ON, Canada, M4P 2H5
BUT SHIP TO: 174 Betty Ann Drive, Toronto, ON, Canada, M2N 1X6
Tel: 647-953-2393; Email: scott.p@neustonbiosystems.com</t>
  </si>
  <si>
    <t>5 (liquid x100mL); 110 mL sterile BBM [ ]</t>
  </si>
  <si>
    <t>Ship via Purolator Express; Residential address…designate as NSR
Small start-up company w/o funding so offered mid-way price between CA and CC
Email invoice to Scott Pierobon at: scott.p@neustonbiosystems.com</t>
  </si>
  <si>
    <t xml:space="preserve"># of Primary End-User = </t>
  </si>
  <si>
    <t xml:space="preserve"># of Secondary End-User = </t>
  </si>
  <si>
    <t xml:space="preserve"># of Total End-User = </t>
  </si>
  <si>
    <t xml:space="preserve"># of Requests = </t>
  </si>
  <si>
    <t>Gelsenkirchen, North Rhine-Westphalia (NR)</t>
  </si>
  <si>
    <t>Pau, Nouvelle-Aquitaine (NA)</t>
  </si>
  <si>
    <t>Muenchen, Bavaria (BY)</t>
  </si>
  <si>
    <r>
      <rPr>
        <sz val="11"/>
        <color rgb="FFFF0000"/>
        <rFont val="Calibri"/>
        <family val="2"/>
        <scheme val="minor"/>
      </rPr>
      <t>**</t>
    </r>
    <r>
      <rPr>
        <sz val="11"/>
        <color theme="1"/>
        <rFont val="Calibri"/>
        <family val="2"/>
        <scheme val="minor"/>
      </rPr>
      <t xml:space="preserve"> Alert would show up if there is mismatch in the "Count of Volume" vs "Count of Media"</t>
    </r>
  </si>
  <si>
    <t xml:space="preserve">Cyanobium gracile (formerly Coccochloris peniocystis) </t>
  </si>
  <si>
    <t xml:space="preserve">Cosmarium minimum var. subrotundatum </t>
  </si>
  <si>
    <t>25, 25, 25, 25, 25, 25, 25, 25, 525, 25, 25, 25, 25</t>
  </si>
  <si>
    <t>64, 67, 95, 124, 158, 169, 243, 365, 422, 446, 690, 692, 712</t>
  </si>
  <si>
    <t>64, 67, 95, 124, 158, 169, 243, 365, 446, 690, 692, 712, 422</t>
  </si>
  <si>
    <t>25, 25, 25, 25, 25, 25, 25, 25, 25, 25, 25, 25, 525</t>
  </si>
  <si>
    <t>102, 105, 461, 501, 669</t>
  </si>
  <si>
    <t>95, 386, 422, 431</t>
  </si>
  <si>
    <t>669, 710</t>
  </si>
  <si>
    <t>65, 397, 422, 449</t>
  </si>
  <si>
    <t>37, 50, 85, 417</t>
  </si>
  <si>
    <t>Tally from Inception (Dec 18/86) to Dec 31/22</t>
  </si>
  <si>
    <t>Tally from Inception (Dec 18/86) to Apr 30/23</t>
  </si>
  <si>
    <t>**** Update chart title dates to include days/months manually (if necessary)</t>
  </si>
  <si>
    <r>
      <rPr>
        <sz val="11"/>
        <color rgb="FFFF0000"/>
        <rFont val="Calibri"/>
        <family val="2"/>
        <scheme val="minor"/>
      </rPr>
      <t>*****</t>
    </r>
    <r>
      <rPr>
        <sz val="11"/>
        <color theme="1"/>
        <rFont val="Calibri"/>
        <family val="2"/>
        <scheme val="minor"/>
      </rPr>
      <t xml:space="preserve"> Rows can be easily sorted by clicking on dropdown arrow</t>
    </r>
  </si>
  <si>
    <t xml:space="preserve">           in Row 3 for the Column that you wish to sort by</t>
  </si>
  <si>
    <t>Latest Order Date (from Inception to Apr 30/23)</t>
  </si>
  <si>
    <t xml:space="preserve">           as a double-check for amount invoiced</t>
  </si>
  <si>
    <r>
      <rPr>
        <sz val="11"/>
        <color rgb="FFFF0000"/>
        <rFont val="Calibri"/>
        <family val="2"/>
        <scheme val="minor"/>
      </rPr>
      <t>*******</t>
    </r>
    <r>
      <rPr>
        <sz val="11"/>
        <color theme="1"/>
        <rFont val="Calibri"/>
        <family val="2"/>
        <scheme val="minor"/>
      </rPr>
      <t xml:space="preserve"> Add Data Legends manually to pie chart</t>
    </r>
  </si>
  <si>
    <r>
      <t xml:space="preserve">****** </t>
    </r>
    <r>
      <rPr>
        <sz val="11"/>
        <rFont val="Calibri"/>
        <family val="2"/>
        <scheme val="minor"/>
      </rPr>
      <t>Update chart title dates to include days/months manually (if needed)</t>
    </r>
  </si>
  <si>
    <r>
      <rPr>
        <sz val="11"/>
        <color rgb="FFFF0000"/>
        <rFont val="Calibri"/>
        <family val="2"/>
        <scheme val="minor"/>
      </rPr>
      <t>**</t>
    </r>
    <r>
      <rPr>
        <sz val="11"/>
        <color theme="1"/>
        <rFont val="Calibri"/>
        <family val="2"/>
        <scheme val="minor"/>
      </rPr>
      <t xml:space="preserve"> Use Ctrl+Shift+L twice to filter each section individually and resort alphabetically.</t>
    </r>
  </si>
  <si>
    <t xml:space="preserve">      Need to include the top header row (e.g., CA = Canadian Academic) but not the bottom row</t>
  </si>
  <si>
    <t xml:space="preserve">       will also sort alphabetically, so cut and paste it to the bottom again after sorting.</t>
  </si>
  <si>
    <t xml:space="preserve">      (e.g., TOTAL # OF CANADIAN ACADEMIC INSTITUTION =  35). Note that the bottom row of CA</t>
  </si>
  <si>
    <t>Scarborough, ON</t>
  </si>
  <si>
    <t>Westbury, QC</t>
  </si>
  <si>
    <t>Shelton, CT</t>
  </si>
  <si>
    <t>Viviana Astudillo-Clavijo, Rosa Di Leo</t>
  </si>
  <si>
    <t>Rosa Di Leo, Dongling Zhao</t>
  </si>
  <si>
    <t>Lama Aldamman, Naila Barbosa da Costa</t>
  </si>
  <si>
    <t>Trinity Fraser Sintic, Spencer Hang, Moira Ijzerman</t>
  </si>
  <si>
    <t>Ran Yang, Keira Harshaw</t>
  </si>
  <si>
    <t>Lison Hache, Megan Bauer</t>
  </si>
  <si>
    <t>Jason Laurich, Ijeoma Nwafor</t>
  </si>
  <si>
    <t>25han23</t>
  </si>
  <si>
    <t>W-2369</t>
  </si>
  <si>
    <t>29305653 / Purolator Express #335126765742</t>
  </si>
  <si>
    <t>Jan 9?</t>
  </si>
  <si>
    <t>W-2370</t>
  </si>
  <si>
    <t>culture @ $300; sterile [ ] @ $120 (enough to prepare 10L of BBM medium) (mid-way external pricing)</t>
  </si>
  <si>
    <t>W-2372</t>
  </si>
  <si>
    <t xml:space="preserve">P.O. #: ALS242119 </t>
  </si>
  <si>
    <t>Send taxonomic certificates
Ship via Purolator Express "collect" on account #8671164 (add $5 Handling fee)
Email invoice to Accounts Payable at: acctspayable.canusa@alsglobal.com
Purchaser: Amelie de Champs</t>
  </si>
  <si>
    <t>W-2373</t>
  </si>
  <si>
    <t>29305457 / Purolator Express #335126759570</t>
  </si>
  <si>
    <t>W-2374</t>
  </si>
  <si>
    <t>1090-001</t>
  </si>
  <si>
    <t>37 (liquid x30 mL - split into 3x10 mL); 1L BBM medium (split into 4x250 mL)</t>
  </si>
  <si>
    <t>culture @ $195+5 (extra $5 for multiple tubes); medium @ $65+10 (extra $10 for multiple bottles)</t>
  </si>
  <si>
    <t>Ship via Purolator Express
email invoice to Valerie Jean-Pierre at: vjean-pierre@elmwood.ca</t>
  </si>
  <si>
    <t>Dec xx?</t>
  </si>
  <si>
    <t>Rose Boudria</t>
  </si>
  <si>
    <t>Rose</t>
  </si>
  <si>
    <t>Elmwood School</t>
  </si>
  <si>
    <t>261 Buena Vista Road</t>
  </si>
  <si>
    <t>K1M 0V9</t>
  </si>
  <si>
    <t>613-749-6761</t>
  </si>
  <si>
    <t>613-741-8210</t>
  </si>
  <si>
    <t>rboudria@elmwood.ca</t>
  </si>
  <si>
    <t>Rose Boudria (Laboratory Technician), Elmwood School, 261 Buena Vista Road, Ottawa, ON  K1M 0V9
Tel: 613-749-6761; Fax: 613-741-8210; Email: rboudria@elmwood.ca
(Note: Trevor might change the city to Rockcliffe!)</t>
  </si>
  <si>
    <t>Elmwood School, 261 Buena Vista Road, Ottawa, ON  K1M 0V9; Email: vjean-pierre@elmwood.ca (Contact: Valerie Jean-Pierre)</t>
  </si>
  <si>
    <t>Ship via Purolator Express
Email invoice to Valerie Jean-Pierre at: vjean-pierre@elmwood.ca</t>
  </si>
  <si>
    <t>W-2375</t>
  </si>
  <si>
    <t>Concentrate (L)</t>
  </si>
  <si>
    <t>Vol Cultures (L)</t>
  </si>
  <si>
    <t>Scarborough, ON, Canada</t>
  </si>
  <si>
    <t>Outremont, QC, Canada</t>
  </si>
  <si>
    <t>Xuexiu Chang, Ran Yang, Keira Harshaw</t>
  </si>
  <si>
    <t>Shane MacLeod, Ian Alford-Archibald</t>
  </si>
  <si>
    <t>Roger C. Levesque, Marianne Potvin</t>
  </si>
  <si>
    <t>Andrée-Anne Audet, Caroline Dauphin</t>
  </si>
  <si>
    <t>Alexei Guerra, Lama Aldamman, Naila Barbosa da Costa, Kevin Wilkinson, Caroline Peyrot</t>
  </si>
  <si>
    <t>Irena Creed, Kevin Erratt, Andre Simpson, Katrina Steiner, Marc Cadotte, Shabnam Tejani</t>
  </si>
  <si>
    <t>Guido van Marle, Marc Strous, Oyeboade (Oye) Adebayo, Ruchita Solanki, Vichaya Charoensuk, Birget Moe</t>
  </si>
  <si>
    <t>Christopher (Chris) Thomas DeGroot, Hassan Peerhossain, Malihe (Mali) Mehdizadeh Allaf, Reza Saifi, Sheila Macfie, Simon Maturana</t>
  </si>
  <si>
    <t>Carlos Cruz, Rosa Di Leo, Dongling Zhao, Rowan Sage, Viviana Astudillo-Clavijo, Rosa Di Leo</t>
  </si>
  <si>
    <t>Markus Hecker, Katherine Raes, Karsten Liber, Catherine Davila, David Janz</t>
  </si>
  <si>
    <t>Yang Xu, Hannah Lye, Ryan Prosser, Trinity Fraser Sintic, Spencer Hang, Moira Ijzerman, Andreas Heyland, Kathleen Nolan, Joey Bernhardt, Jason Laurich, Ijeoma Nwafor</t>
  </si>
  <si>
    <t>Heidi Swanson, Jenine McCutcheon, Benjamin Lei, Jozef Nissimov, Isaac Meza Padilla, Kirsten Müller, Tim Shardlow, Anna Maria Valero, Mohamad T. Araji, Adham Elmalky, Emilie Spasov, Kim Cuddington, Debora Andrade Pereira, Valerie Ward, Chuchi Chen, Monica Emelko, Carter Klanderud, Taylor Lynn Virgin, Elyse Batista</t>
  </si>
  <si>
    <t>TOTAL # OF CANADIAN ACADEMIC INSTITUTION =  37</t>
  </si>
  <si>
    <t>TOTAL # OF CA REQUEST =  108</t>
  </si>
  <si>
    <t>Naomi Attrill, Aishah Iqbal</t>
  </si>
  <si>
    <t>James Weaver, Sandra Renaud, Sandra Trochei</t>
  </si>
  <si>
    <t>Jeslin Wijaya, Ditty Kakkassery, Jacky Law</t>
  </si>
  <si>
    <t>TOTAL # OF CANADIAN COMMERICAL INSTITUTION =  17</t>
  </si>
  <si>
    <t>TOTAL # OF CC REQUEST =  62</t>
  </si>
  <si>
    <t>Westbury, QC, Canada</t>
  </si>
  <si>
    <t>David Depew, Arthur Zastepa</t>
  </si>
  <si>
    <t>Charles (Chuck) Hopper, Lison Hache, Megan Bauer, Megan Bauer</t>
  </si>
  <si>
    <t>Gabrielle Huppe, Hélène Loranger, Gabrielle Huppe, Mireille Ratté</t>
  </si>
  <si>
    <t>TOTAL # OF CANADIAN GOVERNMENT INSTITUTION =  14</t>
  </si>
  <si>
    <t>TOTAL # OF CG REQUEST =  44</t>
  </si>
  <si>
    <t>Pau, Nouvelle-Aquitaine (NA), France</t>
  </si>
  <si>
    <t>Rebecca Hobbs, Simona Duch</t>
  </si>
  <si>
    <t>Shelton, CT, USA</t>
  </si>
  <si>
    <t>Gelsenkirchen, North Rhine-Westphalia (NR), Germany</t>
  </si>
  <si>
    <t>TOTAL # OF INTERNATIONAL COMMERICAL INSTITUTION =  6</t>
  </si>
  <si>
    <t>TOTAL # OF IC REQUEST =  10</t>
  </si>
  <si>
    <t>Muenchen, Bavaria (BY), Germany</t>
  </si>
  <si>
    <t>TOTAL # OF INSTITUTION =  76</t>
  </si>
  <si>
    <t>TOTAL # OF REQUEST =  226</t>
  </si>
  <si>
    <r>
      <t xml:space="preserve">**** </t>
    </r>
    <r>
      <rPr>
        <sz val="11"/>
        <rFont val="Calibri"/>
        <family val="2"/>
        <scheme val="minor"/>
      </rPr>
      <t>Update chart title manually (include dates)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</si>
</sst>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8" formatCode="&quot;$&quot;#,##0.00;[Red]\-&quot;$&quot;#,##0.00"/>
    <numFmt numFmtId="44" formatCode="_-&quot;$&quot;* #,##0.00_-;\-&quot;$&quot;* #,##0.00_-;_-&quot;$&quot;* &quot;-&quot;??_-;_-@_-"/>
    <numFmt numFmtId="43" formatCode="_-* #,##0.00_-;\-* #,##0.00_-;_-* &quot;-&quot;??_-;_-@_-"/>
    <numFmt numFmtId="164" formatCode="mmm\ dd\/yy"/>
    <numFmt numFmtId="165" formatCode="[$-409]d\-mmm\-yy;@"/>
    <numFmt numFmtId="166" formatCode="&quot;$&quot;#,##0.00"/>
    <numFmt numFmtId="167" formatCode="mmm\ dd/yy"/>
    <numFmt numFmtId="168" formatCode="[$-1009]d/mmm/yy;@"/>
    <numFmt numFmtId="169" formatCode="0.0"/>
    <numFmt numFmtId="170" formatCode="0.0%"/>
    <numFmt numFmtId="171" formatCode="_-* #,##0_-;\-* #,##0_-;_-* &quot;-&quot;??_-;_-@_-"/>
    <numFmt numFmtId="172" formatCode="&quot;$&quot;#,##0"/>
  </numFmts>
  <fonts count="71" x14ac:knownFonts="1">
    <font>
      <sz val="11"/>
      <color theme="1"/>
      <name val="Calibri"/>
      <family val="2"/>
      <scheme val="minor"/>
    </font>
    <font>
      <sz val="11"/>
      <color theme="1"/>
      <name val="Calibri"/>
      <family val="2"/>
      <scheme val="minor"/>
    </font>
    <font>
      <b/>
      <sz val="11"/>
      <color theme="1"/>
      <name val="Calibri"/>
      <family val="2"/>
      <scheme val="minor"/>
    </font>
    <font>
      <sz val="10"/>
      <name val="Arial"/>
      <family val="2"/>
    </font>
    <font>
      <b/>
      <sz val="10"/>
      <name val="Arial"/>
      <family val="2"/>
    </font>
    <font>
      <sz val="10"/>
      <color indexed="8"/>
      <name val="Arial"/>
      <family val="2"/>
    </font>
    <font>
      <sz val="10"/>
      <color indexed="61"/>
      <name val="Arial"/>
      <family val="2"/>
    </font>
    <font>
      <b/>
      <sz val="10"/>
      <color indexed="61"/>
      <name val="Arial"/>
      <family val="2"/>
    </font>
    <font>
      <sz val="10"/>
      <color theme="1"/>
      <name val="Arial"/>
      <family val="2"/>
    </font>
    <font>
      <b/>
      <sz val="10"/>
      <color theme="1"/>
      <name val="Arial"/>
      <family val="2"/>
    </font>
    <font>
      <b/>
      <sz val="10"/>
      <color indexed="10"/>
      <name val="Arial"/>
      <family val="2"/>
    </font>
    <font>
      <sz val="10"/>
      <color rgb="FF000000"/>
      <name val="Arial"/>
      <family val="2"/>
    </font>
    <font>
      <b/>
      <sz val="10"/>
      <color rgb="FFFF0000"/>
      <name val="Arial"/>
      <family val="2"/>
    </font>
    <font>
      <b/>
      <strike/>
      <sz val="10"/>
      <color indexed="10"/>
      <name val="Arial"/>
      <family val="2"/>
    </font>
    <font>
      <strike/>
      <sz val="10"/>
      <name val="Arial"/>
      <family val="2"/>
    </font>
    <font>
      <b/>
      <strike/>
      <sz val="10"/>
      <color rgb="FFFF0000"/>
      <name val="Arial"/>
      <family val="2"/>
    </font>
    <font>
      <sz val="11"/>
      <color theme="1"/>
      <name val="Arial"/>
      <family val="2"/>
    </font>
    <font>
      <b/>
      <strike/>
      <sz val="10"/>
      <name val="Arial"/>
      <family val="2"/>
    </font>
    <font>
      <sz val="10"/>
      <color rgb="FFFF0000"/>
      <name val="Arial"/>
      <family val="2"/>
    </font>
    <font>
      <u/>
      <sz val="10"/>
      <color indexed="12"/>
      <name val="Arial"/>
      <family val="2"/>
    </font>
    <font>
      <b/>
      <sz val="9"/>
      <color indexed="81"/>
      <name val="Tahoma"/>
      <family val="2"/>
    </font>
    <font>
      <sz val="9"/>
      <color indexed="81"/>
      <name val="Tahoma"/>
      <family val="2"/>
    </font>
    <font>
      <sz val="11"/>
      <color rgb="FFFF0000"/>
      <name val="Calibri"/>
      <family val="2"/>
      <scheme val="minor"/>
    </font>
    <font>
      <b/>
      <i/>
      <u/>
      <sz val="10"/>
      <name val="Arial"/>
      <family val="2"/>
    </font>
    <font>
      <b/>
      <sz val="11"/>
      <color theme="0"/>
      <name val="Calibri"/>
      <family val="2"/>
      <scheme val="minor"/>
    </font>
    <font>
      <sz val="11"/>
      <color theme="0"/>
      <name val="Calibri"/>
      <family val="2"/>
      <scheme val="minor"/>
    </font>
    <font>
      <b/>
      <sz val="10"/>
      <color theme="0" tint="-4.9989318521683403E-2"/>
      <name val="Arial"/>
      <family val="2"/>
    </font>
    <font>
      <sz val="10"/>
      <color theme="0" tint="-4.9989318521683403E-2"/>
      <name val="Arial"/>
      <family val="2"/>
    </font>
    <font>
      <sz val="11"/>
      <color theme="0" tint="-4.9989318521683403E-2"/>
      <name val="Calibri"/>
      <family val="2"/>
      <scheme val="minor"/>
    </font>
    <font>
      <b/>
      <sz val="18"/>
      <color theme="0" tint="-4.9989318521683403E-2"/>
      <name val="Arial"/>
      <family val="2"/>
    </font>
    <font>
      <b/>
      <sz val="14"/>
      <color theme="0" tint="-4.9989318521683403E-2"/>
      <name val="Calibri"/>
      <family val="2"/>
      <scheme val="minor"/>
    </font>
    <font>
      <b/>
      <sz val="12"/>
      <color theme="0" tint="-4.9989318521683403E-2"/>
      <name val="Calibri"/>
      <family val="2"/>
      <scheme val="minor"/>
    </font>
    <font>
      <sz val="14"/>
      <name val="Calibri"/>
      <family val="2"/>
      <scheme val="minor"/>
    </font>
    <font>
      <b/>
      <sz val="18"/>
      <color theme="0"/>
      <name val="Arial"/>
      <family val="2"/>
    </font>
    <font>
      <b/>
      <sz val="10"/>
      <color theme="0"/>
      <name val="Arial"/>
      <family val="2"/>
    </font>
    <font>
      <b/>
      <sz val="18"/>
      <color theme="0"/>
      <name val="Calibri"/>
      <family val="2"/>
      <scheme val="minor"/>
    </font>
    <font>
      <sz val="11"/>
      <name val="Calibri"/>
      <family val="2"/>
      <scheme val="minor"/>
    </font>
    <font>
      <b/>
      <sz val="12"/>
      <name val="Calibri"/>
      <family val="2"/>
      <scheme val="minor"/>
    </font>
    <font>
      <b/>
      <sz val="14"/>
      <name val="Calibri"/>
      <family val="2"/>
      <scheme val="minor"/>
    </font>
    <font>
      <sz val="12"/>
      <color rgb="FFC00000"/>
      <name val="Calibri"/>
      <family val="2"/>
      <scheme val="minor"/>
    </font>
    <font>
      <sz val="12"/>
      <color theme="1"/>
      <name val="Calibri"/>
      <family val="2"/>
      <scheme val="minor"/>
    </font>
    <font>
      <b/>
      <sz val="18"/>
      <color theme="1"/>
      <name val="Calibri"/>
      <family val="2"/>
      <scheme val="minor"/>
    </font>
    <font>
      <b/>
      <sz val="14"/>
      <name val="Arial"/>
      <family val="2"/>
    </font>
    <font>
      <b/>
      <sz val="12"/>
      <name val="Arial"/>
      <family val="2"/>
    </font>
    <font>
      <b/>
      <sz val="12"/>
      <color theme="1"/>
      <name val="Arial"/>
      <family val="2"/>
    </font>
    <font>
      <sz val="10"/>
      <color theme="1"/>
      <name val="Calibri"/>
      <family val="2"/>
      <scheme val="minor"/>
    </font>
    <font>
      <sz val="14"/>
      <name val="Arial"/>
      <family val="2"/>
    </font>
    <font>
      <b/>
      <sz val="11"/>
      <color theme="1"/>
      <name val="Arial"/>
      <family val="2"/>
    </font>
    <font>
      <sz val="10"/>
      <name val="Arial"/>
      <family val="2"/>
    </font>
    <font>
      <b/>
      <sz val="12"/>
      <color theme="2"/>
      <name val="Calibri"/>
      <family val="2"/>
      <scheme val="minor"/>
    </font>
    <font>
      <b/>
      <sz val="14"/>
      <color theme="2"/>
      <name val="Calibri"/>
      <family val="2"/>
      <scheme val="minor"/>
    </font>
    <font>
      <sz val="8"/>
      <name val="Arial"/>
      <family val="2"/>
    </font>
    <font>
      <sz val="8"/>
      <color rgb="FFFF0000"/>
      <name val="Arial"/>
      <family val="2"/>
    </font>
    <font>
      <b/>
      <sz val="10"/>
      <color rgb="FF00A86B"/>
      <name val="Arial"/>
      <family val="2"/>
    </font>
    <font>
      <b/>
      <sz val="10"/>
      <color theme="1" tint="0.14999847407452621"/>
      <name val="Arial"/>
      <family val="2"/>
    </font>
    <font>
      <b/>
      <sz val="10"/>
      <color rgb="FF404F64"/>
      <name val="Arial"/>
      <family val="2"/>
    </font>
    <font>
      <sz val="10"/>
      <color rgb="FF242424"/>
      <name val="Arial"/>
      <family val="2"/>
    </font>
    <font>
      <b/>
      <sz val="10"/>
      <color rgb="FFFF00FF"/>
      <name val="Arial"/>
      <family val="2"/>
    </font>
    <font>
      <sz val="11"/>
      <name val="Arial"/>
      <family val="2"/>
    </font>
    <font>
      <sz val="10"/>
      <color rgb="FF00B050"/>
      <name val="Arial"/>
      <family val="2"/>
    </font>
    <font>
      <sz val="10"/>
      <color rgb="FF333333"/>
      <name val="Arial"/>
      <family val="2"/>
    </font>
    <font>
      <sz val="8"/>
      <name val="Calibri"/>
      <family val="2"/>
      <scheme val="minor"/>
    </font>
    <font>
      <b/>
      <sz val="12"/>
      <color theme="0"/>
      <name val="Arial"/>
      <family val="2"/>
    </font>
    <font>
      <b/>
      <sz val="11"/>
      <color theme="0"/>
      <name val="Arial"/>
      <family val="2"/>
    </font>
    <font>
      <b/>
      <sz val="11"/>
      <color rgb="FFFF0000"/>
      <name val="Calibri"/>
      <family val="2"/>
      <scheme val="minor"/>
    </font>
    <font>
      <sz val="10"/>
      <color theme="4" tint="-0.499984740745262"/>
      <name val="Arial"/>
      <family val="2"/>
    </font>
    <font>
      <b/>
      <sz val="10"/>
      <color theme="4" tint="-0.499984740745262"/>
      <name val="Arial"/>
      <family val="2"/>
    </font>
    <font>
      <b/>
      <sz val="10"/>
      <color rgb="FFFF33CC"/>
      <name val="Arial"/>
      <family val="2"/>
    </font>
    <font>
      <sz val="11"/>
      <color rgb="FFFF0000"/>
      <name val="Arial"/>
      <family val="2"/>
    </font>
    <font>
      <b/>
      <sz val="10"/>
      <color rgb="FFFFFFFF"/>
      <name val="Arial"/>
      <family val="2"/>
    </font>
    <font>
      <sz val="12"/>
      <name val="Arial"/>
      <family val="2"/>
    </font>
  </fonts>
  <fills count="45">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rgb="FF00B050"/>
        <bgColor rgb="FF000000"/>
      </patternFill>
    </fill>
    <fill>
      <patternFill patternType="solid">
        <fgColor rgb="FFFFC000"/>
        <bgColor indexed="64"/>
      </patternFill>
    </fill>
    <fill>
      <patternFill patternType="solid">
        <fgColor rgb="FFFF0000"/>
        <bgColor rgb="FF000000"/>
      </patternFill>
    </fill>
    <fill>
      <patternFill patternType="solid">
        <fgColor rgb="FFFF0000"/>
        <bgColor indexed="64"/>
      </patternFill>
    </fill>
    <fill>
      <patternFill patternType="solid">
        <fgColor rgb="FFFFFF00"/>
        <bgColor rgb="FF000000"/>
      </patternFill>
    </fill>
    <fill>
      <patternFill patternType="solid">
        <fgColor rgb="FF92D050"/>
        <bgColor indexed="64"/>
      </patternFill>
    </fill>
    <fill>
      <patternFill patternType="solid">
        <fgColor theme="9" tint="0.79998168889431442"/>
        <bgColor indexed="64"/>
      </patternFill>
    </fill>
    <fill>
      <patternFill patternType="solid">
        <fgColor indexed="13"/>
        <bgColor indexed="64"/>
      </patternFill>
    </fill>
    <fill>
      <patternFill patternType="solid">
        <fgColor rgb="FFFFC000"/>
        <bgColor rgb="FF000000"/>
      </patternFill>
    </fill>
    <fill>
      <patternFill patternType="solid">
        <fgColor theme="5" tint="0.79998168889431442"/>
        <bgColor indexed="64"/>
      </patternFill>
    </fill>
    <fill>
      <patternFill patternType="solid">
        <fgColor theme="0"/>
        <bgColor indexed="64"/>
      </patternFill>
    </fill>
    <fill>
      <patternFill patternType="solid">
        <fgColor rgb="FF002060"/>
        <bgColor indexed="64"/>
      </patternFill>
    </fill>
    <fill>
      <patternFill patternType="solid">
        <fgColor theme="4" tint="-0.499984740745262"/>
        <bgColor indexed="64"/>
      </patternFill>
    </fill>
    <fill>
      <patternFill patternType="solid">
        <fgColor theme="4" tint="0.79998168889431442"/>
        <bgColor indexed="64"/>
      </patternFill>
    </fill>
    <fill>
      <patternFill patternType="solid">
        <fgColor rgb="FF339966"/>
        <bgColor indexed="64"/>
      </patternFill>
    </fill>
    <fill>
      <patternFill patternType="solid">
        <fgColor theme="0" tint="-4.9989318521683403E-2"/>
        <bgColor indexed="64"/>
      </patternFill>
    </fill>
    <fill>
      <patternFill patternType="solid">
        <fgColor rgb="FF006666"/>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rgb="FFEE988A"/>
        <bgColor indexed="64"/>
      </patternFill>
    </fill>
    <fill>
      <patternFill patternType="solid">
        <fgColor rgb="FFFF9966"/>
        <bgColor indexed="64"/>
      </patternFill>
    </fill>
    <fill>
      <patternFill patternType="solid">
        <fgColor theme="9" tint="0.39997558519241921"/>
        <bgColor indexed="64"/>
      </patternFill>
    </fill>
    <fill>
      <patternFill patternType="solid">
        <fgColor theme="9" tint="-0.499984740745262"/>
        <bgColor indexed="64"/>
      </patternFill>
    </fill>
    <fill>
      <patternFill patternType="solid">
        <fgColor rgb="FF92D050"/>
        <bgColor rgb="FF000000"/>
      </patternFill>
    </fill>
    <fill>
      <patternFill patternType="solid">
        <fgColor theme="9" tint="0.59999389629810485"/>
        <bgColor indexed="64"/>
      </patternFill>
    </fill>
    <fill>
      <patternFill patternType="solid">
        <fgColor theme="0" tint="-0.34998626667073579"/>
        <bgColor indexed="64"/>
      </patternFill>
    </fill>
    <fill>
      <patternFill patternType="solid">
        <fgColor theme="0" tint="-0.34998626667073579"/>
        <bgColor rgb="FF000000"/>
      </patternFill>
    </fill>
    <fill>
      <patternFill patternType="solid">
        <fgColor theme="0" tint="-0.14999847407452621"/>
        <bgColor indexed="64"/>
      </patternFill>
    </fill>
    <fill>
      <patternFill patternType="solid">
        <fgColor rgb="FFD9D9D9"/>
        <bgColor rgb="FF000000"/>
      </patternFill>
    </fill>
    <fill>
      <patternFill patternType="solid">
        <fgColor rgb="FFFF9900"/>
        <bgColor indexed="64"/>
      </patternFill>
    </fill>
    <fill>
      <patternFill patternType="solid">
        <fgColor rgb="FFFF33CC"/>
        <bgColor indexed="64"/>
      </patternFill>
    </fill>
    <fill>
      <patternFill patternType="solid">
        <fgColor rgb="FF00B0F0"/>
        <bgColor indexed="64"/>
      </patternFill>
    </fill>
    <fill>
      <patternFill patternType="solid">
        <fgColor rgb="FFFF9900"/>
        <bgColor rgb="FF000000"/>
      </patternFill>
    </fill>
    <fill>
      <patternFill patternType="solid">
        <fgColor indexed="47"/>
        <bgColor indexed="64"/>
      </patternFill>
    </fill>
    <fill>
      <patternFill patternType="solid">
        <fgColor theme="0" tint="-0.249977111117893"/>
        <bgColor indexed="64"/>
      </patternFill>
    </fill>
    <fill>
      <patternFill patternType="solid">
        <fgColor theme="0" tint="-0.14999847407452621"/>
        <bgColor rgb="FF000000"/>
      </patternFill>
    </fill>
    <fill>
      <patternFill patternType="solid">
        <fgColor rgb="FF002060"/>
        <bgColor rgb="FF000000"/>
      </patternFill>
    </fill>
    <fill>
      <patternFill patternType="solid">
        <fgColor rgb="FF8EA9DB"/>
        <bgColor rgb="FF000000"/>
      </patternFill>
    </fill>
    <fill>
      <patternFill patternType="solid">
        <fgColor theme="5" tint="0.59999389629810485"/>
        <bgColor indexed="64"/>
      </patternFill>
    </fill>
  </fills>
  <borders count="97">
    <border>
      <left/>
      <right/>
      <top/>
      <bottom/>
      <diagonal/>
    </border>
    <border>
      <left/>
      <right/>
      <top style="thin">
        <color indexed="64"/>
      </top>
      <bottom/>
      <diagonal/>
    </border>
    <border>
      <left style="thin">
        <color indexed="64"/>
      </left>
      <right/>
      <top/>
      <bottom/>
      <diagonal/>
    </border>
    <border>
      <left style="medium">
        <color indexed="64"/>
      </left>
      <right/>
      <top/>
      <bottom style="medium">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right style="thin">
        <color auto="1"/>
      </right>
      <top/>
      <bottom/>
      <diagonal/>
    </border>
    <border>
      <left/>
      <right/>
      <top/>
      <bottom style="thin">
        <color indexed="64"/>
      </bottom>
      <diagonal/>
    </border>
    <border>
      <left style="thin">
        <color indexed="64"/>
      </left>
      <right/>
      <top/>
      <bottom style="thin">
        <color indexed="64"/>
      </bottom>
      <diagonal/>
    </border>
    <border>
      <left style="medium">
        <color indexed="64"/>
      </left>
      <right/>
      <top style="medium">
        <color indexed="64"/>
      </top>
      <bottom/>
      <diagonal/>
    </border>
    <border>
      <left style="medium">
        <color indexed="64"/>
      </left>
      <right/>
      <top/>
      <bottom/>
      <diagonal/>
    </border>
    <border>
      <left/>
      <right style="thin">
        <color auto="1"/>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right/>
      <top style="thin">
        <color auto="1"/>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
      <left style="thin">
        <color indexed="64"/>
      </left>
      <right/>
      <top/>
      <bottom style="medium">
        <color indexed="64"/>
      </bottom>
      <diagonal/>
    </border>
    <border>
      <left/>
      <right style="medium">
        <color auto="1"/>
      </right>
      <top/>
      <bottom style="medium">
        <color indexed="64"/>
      </bottom>
      <diagonal/>
    </border>
    <border>
      <left/>
      <right style="medium">
        <color auto="1"/>
      </right>
      <top style="medium">
        <color indexed="64"/>
      </top>
      <bottom style="medium">
        <color indexed="64"/>
      </bottom>
      <diagonal/>
    </border>
    <border>
      <left style="medium">
        <color indexed="64"/>
      </left>
      <right style="medium">
        <color auto="1"/>
      </right>
      <top style="medium">
        <color indexed="64"/>
      </top>
      <bottom style="medium">
        <color indexed="64"/>
      </bottom>
      <diagonal/>
    </border>
    <border>
      <left/>
      <right style="thin">
        <color indexed="64"/>
      </right>
      <top style="medium">
        <color indexed="64"/>
      </top>
      <bottom/>
      <diagonal/>
    </border>
    <border>
      <left style="thin">
        <color indexed="8"/>
      </left>
      <right/>
      <top/>
      <bottom/>
      <diagonal/>
    </border>
    <border>
      <left/>
      <right style="thin">
        <color indexed="8"/>
      </right>
      <top/>
      <bottom/>
      <diagonal/>
    </border>
    <border>
      <left/>
      <right style="thin">
        <color indexed="64"/>
      </right>
      <top/>
      <bottom/>
      <diagonal/>
    </border>
    <border>
      <left/>
      <right style="thin">
        <color auto="1"/>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medium">
        <color auto="1"/>
      </right>
      <top style="medium">
        <color indexed="64"/>
      </top>
      <bottom/>
      <diagonal/>
    </border>
    <border>
      <left/>
      <right style="medium">
        <color auto="1"/>
      </right>
      <top/>
      <bottom/>
      <diagonal/>
    </border>
    <border>
      <left style="thin">
        <color indexed="64"/>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right style="thin">
        <color indexed="64"/>
      </right>
      <top style="thin">
        <color auto="1"/>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top style="thin">
        <color auto="1"/>
      </top>
      <bottom style="thin">
        <color indexed="64"/>
      </bottom>
      <diagonal/>
    </border>
    <border>
      <left style="thin">
        <color indexed="64"/>
      </left>
      <right style="thin">
        <color indexed="64"/>
      </right>
      <top/>
      <bottom style="thin">
        <color indexed="64"/>
      </bottom>
      <diagonal/>
    </border>
    <border>
      <left style="thin">
        <color indexed="8"/>
      </left>
      <right/>
      <top style="thin">
        <color indexed="8"/>
      </top>
      <bottom style="thin">
        <color indexed="64"/>
      </bottom>
      <diagonal/>
    </border>
    <border>
      <left/>
      <right/>
      <top style="thin">
        <color indexed="8"/>
      </top>
      <bottom style="thin">
        <color indexed="64"/>
      </bottom>
      <diagonal/>
    </border>
    <border>
      <left/>
      <right style="thin">
        <color indexed="8"/>
      </right>
      <top style="thin">
        <color indexed="8"/>
      </top>
      <bottom style="thin">
        <color indexed="64"/>
      </bottom>
      <diagonal/>
    </border>
    <border>
      <left style="thin">
        <color indexed="8"/>
      </left>
      <right/>
      <top style="thin">
        <color auto="1"/>
      </top>
      <bottom style="thin">
        <color indexed="64"/>
      </bottom>
      <diagonal/>
    </border>
    <border>
      <left/>
      <right style="thin">
        <color indexed="8"/>
      </right>
      <top style="thin">
        <color auto="1"/>
      </top>
      <bottom style="thin">
        <color indexed="64"/>
      </bottom>
      <diagonal/>
    </border>
    <border>
      <left style="thin">
        <color indexed="8"/>
      </left>
      <right/>
      <top style="thin">
        <color auto="1"/>
      </top>
      <bottom style="thin">
        <color indexed="64"/>
      </bottom>
      <diagonal/>
    </border>
    <border>
      <left/>
      <right/>
      <top style="thin">
        <color auto="1"/>
      </top>
      <bottom style="thin">
        <color indexed="64"/>
      </bottom>
      <diagonal/>
    </border>
    <border>
      <left/>
      <right style="thin">
        <color indexed="8"/>
      </right>
      <top style="thin">
        <color auto="1"/>
      </top>
      <bottom style="thin">
        <color indexed="64"/>
      </bottom>
      <diagonal/>
    </border>
    <border>
      <left style="thin">
        <color indexed="8"/>
      </left>
      <right/>
      <top style="thin">
        <color indexed="8"/>
      </top>
      <bottom style="thin">
        <color indexed="64"/>
      </bottom>
      <diagonal/>
    </border>
    <border>
      <left style="thin">
        <color indexed="64"/>
      </left>
      <right style="thin">
        <color indexed="8"/>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style="thin">
        <color auto="1"/>
      </right>
      <top style="medium">
        <color indexed="64"/>
      </top>
      <bottom style="medium">
        <color indexed="64"/>
      </bottom>
      <diagonal/>
    </border>
    <border>
      <left/>
      <right style="thin">
        <color auto="1"/>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style="thin">
        <color indexed="8"/>
      </right>
      <top style="thin">
        <color indexed="64"/>
      </top>
      <bottom/>
      <diagonal/>
    </border>
    <border>
      <left/>
      <right style="thin">
        <color indexed="8"/>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auto="1"/>
      </top>
      <bottom style="thin">
        <color indexed="64"/>
      </bottom>
      <diagonal/>
    </border>
    <border>
      <left/>
      <right style="medium">
        <color indexed="64"/>
      </right>
      <top style="thin">
        <color auto="1"/>
      </top>
      <bottom style="thin">
        <color indexed="64"/>
      </bottom>
      <diagonal/>
    </border>
    <border>
      <left/>
      <right style="thin">
        <color auto="1"/>
      </right>
      <top/>
      <bottom/>
      <diagonal/>
    </border>
    <border>
      <left/>
      <right style="medium">
        <color auto="1"/>
      </right>
      <top/>
      <bottom/>
      <diagonal/>
    </border>
    <border>
      <left/>
      <right style="medium">
        <color auto="1"/>
      </right>
      <top/>
      <bottom style="medium">
        <color indexed="64"/>
      </bottom>
      <diagonal/>
    </border>
    <border>
      <left/>
      <right style="medium">
        <color auto="1"/>
      </right>
      <top style="medium">
        <color indexed="64"/>
      </top>
      <bottom style="medium">
        <color indexed="64"/>
      </bottom>
      <diagonal/>
    </border>
    <border>
      <left style="medium">
        <color indexed="64"/>
      </left>
      <right style="medium">
        <color auto="1"/>
      </right>
      <top/>
      <bottom/>
      <diagonal/>
    </border>
    <border>
      <left style="medium">
        <color indexed="64"/>
      </left>
      <right style="medium">
        <color indexed="64"/>
      </right>
      <top/>
      <bottom style="medium">
        <color indexed="64"/>
      </bottom>
      <diagonal/>
    </border>
    <border>
      <left/>
      <right style="thin">
        <color auto="1"/>
      </right>
      <top/>
      <bottom/>
      <diagonal/>
    </border>
    <border>
      <left style="thin">
        <color indexed="64"/>
      </left>
      <right style="thin">
        <color auto="1"/>
      </right>
      <top/>
      <bottom/>
      <diagonal/>
    </border>
    <border>
      <left style="thin">
        <color indexed="64"/>
      </left>
      <right style="thin">
        <color auto="1"/>
      </right>
      <top/>
      <bottom style="medium">
        <color indexed="64"/>
      </bottom>
      <diagonal/>
    </border>
    <border>
      <left style="medium">
        <color indexed="64"/>
      </left>
      <right/>
      <top/>
      <bottom style="thin">
        <color indexed="64"/>
      </bottom>
      <diagonal/>
    </border>
    <border>
      <left style="medium">
        <color indexed="64"/>
      </left>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auto="1"/>
      </right>
      <top style="medium">
        <color indexed="64"/>
      </top>
      <bottom/>
      <diagonal/>
    </border>
    <border>
      <left style="thin">
        <color indexed="64"/>
      </left>
      <right style="thin">
        <color indexed="64"/>
      </right>
      <top style="thin">
        <color indexed="64"/>
      </top>
      <bottom/>
      <diagonal/>
    </border>
    <border>
      <left/>
      <right style="thin">
        <color auto="1"/>
      </right>
      <top style="thin">
        <color auto="1"/>
      </top>
      <bottom style="thin">
        <color indexed="64"/>
      </bottom>
      <diagonal/>
    </border>
    <border>
      <left/>
      <right style="medium">
        <color indexed="64"/>
      </right>
      <top style="thin">
        <color indexed="64"/>
      </top>
      <bottom/>
      <diagonal/>
    </border>
    <border>
      <left style="medium">
        <color indexed="64"/>
      </left>
      <right/>
      <top style="thin">
        <color indexed="64"/>
      </top>
      <bottom/>
      <diagonal/>
    </border>
    <border>
      <left style="medium">
        <color indexed="64"/>
      </left>
      <right style="thin">
        <color auto="1"/>
      </right>
      <top style="thin">
        <color indexed="64"/>
      </top>
      <bottom/>
      <diagonal/>
    </border>
    <border>
      <left style="medium">
        <color indexed="64"/>
      </left>
      <right style="thin">
        <color indexed="64"/>
      </right>
      <top style="thin">
        <color indexed="64"/>
      </top>
      <bottom style="medium">
        <color indexed="64"/>
      </bottom>
      <diagonal/>
    </border>
  </borders>
  <cellStyleXfs count="16">
    <xf numFmtId="0" fontId="0" fillId="0" borderId="0"/>
    <xf numFmtId="9" fontId="1" fillId="0" borderId="0" applyFont="0" applyFill="0" applyBorder="0" applyAlignment="0" applyProtection="0"/>
    <xf numFmtId="0" fontId="3" fillId="0" borderId="0"/>
    <xf numFmtId="0" fontId="3" fillId="0" borderId="0"/>
    <xf numFmtId="0" fontId="1" fillId="0" borderId="0"/>
    <xf numFmtId="0" fontId="19" fillId="0" borderId="0" applyNumberFormat="0" applyFill="0" applyBorder="0" applyAlignment="0" applyProtection="0">
      <alignment vertical="top"/>
      <protection locked="0"/>
    </xf>
    <xf numFmtId="0" fontId="3" fillId="0" borderId="0"/>
    <xf numFmtId="0" fontId="1" fillId="0" borderId="0"/>
    <xf numFmtId="0" fontId="48" fillId="0" borderId="0"/>
    <xf numFmtId="44" fontId="1" fillId="0" borderId="0" applyFont="0" applyFill="0" applyBorder="0" applyAlignment="0" applyProtection="0"/>
    <xf numFmtId="43" fontId="48" fillId="0" borderId="0" applyFont="0" applyFill="0" applyBorder="0" applyAlignment="0" applyProtection="0"/>
    <xf numFmtId="0" fontId="40" fillId="0" borderId="0"/>
    <xf numFmtId="0" fontId="3" fillId="0" borderId="0"/>
    <xf numFmtId="43" fontId="3" fillId="0" borderId="0" applyFont="0" applyFill="0" applyBorder="0" applyAlignment="0" applyProtection="0"/>
    <xf numFmtId="44" fontId="1" fillId="0" borderId="0" applyFont="0" applyFill="0" applyBorder="0" applyAlignment="0" applyProtection="0"/>
    <xf numFmtId="43" fontId="3" fillId="0" borderId="0" applyFont="0" applyFill="0" applyBorder="0" applyAlignment="0" applyProtection="0"/>
  </cellStyleXfs>
  <cellXfs count="1274">
    <xf numFmtId="0" fontId="0" fillId="0" borderId="0" xfId="0"/>
    <xf numFmtId="0" fontId="3" fillId="0" borderId="0" xfId="2" applyAlignment="1">
      <alignment horizontal="center"/>
    </xf>
    <xf numFmtId="0" fontId="3" fillId="0" borderId="0" xfId="2"/>
    <xf numFmtId="0" fontId="3" fillId="0" borderId="0" xfId="2" applyAlignment="1">
      <alignment horizontal="center" vertical="center"/>
    </xf>
    <xf numFmtId="0" fontId="3" fillId="0" borderId="0" xfId="2" applyAlignment="1">
      <alignment vertical="center"/>
    </xf>
    <xf numFmtId="164" fontId="3" fillId="0" borderId="0" xfId="2" applyNumberFormat="1" applyAlignment="1">
      <alignment horizontal="center" vertical="center"/>
    </xf>
    <xf numFmtId="0" fontId="3" fillId="0" borderId="0" xfId="2" applyAlignment="1">
      <alignment horizontal="left" vertical="center"/>
    </xf>
    <xf numFmtId="0" fontId="0" fillId="0" borderId="0" xfId="0" applyAlignment="1">
      <alignment horizontal="center"/>
    </xf>
    <xf numFmtId="165" fontId="3" fillId="0" borderId="0" xfId="2" applyNumberFormat="1" applyAlignment="1">
      <alignment horizontal="center" vertical="center"/>
    </xf>
    <xf numFmtId="0" fontId="3" fillId="0" borderId="0" xfId="2" applyAlignment="1">
      <alignment horizontal="center" vertical="center" wrapText="1"/>
    </xf>
    <xf numFmtId="166" fontId="3" fillId="0" borderId="0" xfId="2" applyNumberFormat="1" applyAlignment="1">
      <alignment horizontal="center" vertical="center"/>
    </xf>
    <xf numFmtId="164" fontId="8" fillId="0" borderId="0" xfId="2" applyNumberFormat="1" applyFont="1" applyAlignment="1">
      <alignment horizontal="center" vertical="center"/>
    </xf>
    <xf numFmtId="0" fontId="8" fillId="0" borderId="0" xfId="2" applyFont="1" applyAlignment="1">
      <alignment horizontal="center" vertical="center"/>
    </xf>
    <xf numFmtId="0" fontId="3" fillId="0" borderId="0" xfId="2" applyAlignment="1">
      <alignment horizontal="left" vertical="center" wrapText="1"/>
    </xf>
    <xf numFmtId="166" fontId="8" fillId="0" borderId="0" xfId="2" applyNumberFormat="1" applyFont="1" applyAlignment="1">
      <alignment horizontal="center" vertical="center"/>
    </xf>
    <xf numFmtId="0" fontId="3" fillId="0" borderId="0" xfId="2" quotePrefix="1" applyAlignment="1">
      <alignment horizontal="center" vertical="center"/>
    </xf>
    <xf numFmtId="166" fontId="3" fillId="2" borderId="0" xfId="2" applyNumberFormat="1" applyFill="1" applyAlignment="1">
      <alignment horizontal="center" vertical="center"/>
    </xf>
    <xf numFmtId="0" fontId="3" fillId="3" borderId="0" xfId="2" applyFill="1" applyAlignment="1">
      <alignment horizontal="center" vertical="center"/>
    </xf>
    <xf numFmtId="0" fontId="12" fillId="0" borderId="0" xfId="2" applyFont="1" applyAlignment="1">
      <alignment vertical="center" wrapText="1"/>
    </xf>
    <xf numFmtId="0" fontId="5" fillId="0" borderId="0" xfId="2" applyFont="1" applyAlignment="1">
      <alignment horizontal="center" vertical="center"/>
    </xf>
    <xf numFmtId="0" fontId="3" fillId="0" borderId="0" xfId="2" quotePrefix="1" applyAlignment="1">
      <alignment horizontal="center" vertical="center" wrapText="1"/>
    </xf>
    <xf numFmtId="0" fontId="3" fillId="0" borderId="0" xfId="0" applyFont="1" applyAlignment="1">
      <alignment vertical="center"/>
    </xf>
    <xf numFmtId="0" fontId="3" fillId="0" borderId="0" xfId="0" applyFont="1" applyAlignment="1">
      <alignment horizontal="center" vertical="center"/>
    </xf>
    <xf numFmtId="0" fontId="8" fillId="0" borderId="0" xfId="0" applyFont="1" applyAlignment="1">
      <alignment horizontal="center" vertical="center"/>
    </xf>
    <xf numFmtId="0" fontId="3" fillId="0" borderId="0" xfId="0" applyFont="1" applyAlignment="1">
      <alignment horizontal="left" vertical="center" wrapText="1"/>
    </xf>
    <xf numFmtId="0" fontId="3" fillId="0" borderId="0" xfId="0" applyFont="1" applyAlignment="1">
      <alignment vertical="center" wrapText="1"/>
    </xf>
    <xf numFmtId="166" fontId="8" fillId="0" borderId="0" xfId="0" applyNumberFormat="1" applyFont="1" applyAlignment="1">
      <alignment horizontal="center" vertical="center"/>
    </xf>
    <xf numFmtId="166" fontId="3" fillId="0" borderId="0" xfId="0" applyNumberFormat="1" applyFont="1" applyAlignment="1">
      <alignment horizontal="center" vertical="center"/>
    </xf>
    <xf numFmtId="0" fontId="3" fillId="0" borderId="0" xfId="0" quotePrefix="1" applyFont="1" applyAlignment="1">
      <alignment horizontal="center" vertical="center" wrapText="1"/>
    </xf>
    <xf numFmtId="49" fontId="3" fillId="0" borderId="0" xfId="0" applyNumberFormat="1" applyFont="1" applyAlignment="1">
      <alignment horizontal="center" vertical="center"/>
    </xf>
    <xf numFmtId="164" fontId="3" fillId="0" borderId="0" xfId="0" applyNumberFormat="1" applyFont="1" applyAlignment="1">
      <alignment horizontal="center" vertical="center"/>
    </xf>
    <xf numFmtId="0" fontId="3" fillId="4" borderId="0" xfId="0" applyFont="1" applyFill="1" applyAlignment="1">
      <alignment horizontal="center" vertical="center"/>
    </xf>
    <xf numFmtId="164" fontId="3" fillId="0" borderId="0" xfId="0" applyNumberFormat="1" applyFont="1" applyAlignment="1">
      <alignment horizontal="center" vertical="center" wrapText="1"/>
    </xf>
    <xf numFmtId="0" fontId="12" fillId="0" borderId="0" xfId="0" applyFont="1" applyAlignment="1">
      <alignment vertical="center" wrapText="1"/>
    </xf>
    <xf numFmtId="0" fontId="11" fillId="0" borderId="0" xfId="0" applyFont="1" applyAlignment="1">
      <alignment horizontal="center" vertical="center"/>
    </xf>
    <xf numFmtId="166" fontId="11" fillId="0" borderId="0" xfId="0" applyNumberFormat="1" applyFont="1" applyAlignment="1">
      <alignment horizontal="center" vertical="center"/>
    </xf>
    <xf numFmtId="0" fontId="3" fillId="0" borderId="0" xfId="0" quotePrefix="1" applyFont="1" applyAlignment="1">
      <alignment horizontal="center" vertical="center"/>
    </xf>
    <xf numFmtId="0" fontId="3" fillId="3" borderId="0" xfId="0" applyFont="1" applyFill="1" applyAlignment="1">
      <alignment horizontal="center" vertical="center"/>
    </xf>
    <xf numFmtId="0" fontId="10" fillId="0" borderId="0" xfId="0" applyFont="1" applyAlignment="1">
      <alignment vertical="center" wrapText="1"/>
    </xf>
    <xf numFmtId="0" fontId="3" fillId="0" borderId="0" xfId="0" applyFont="1" applyAlignment="1">
      <alignment horizontal="left" vertical="center"/>
    </xf>
    <xf numFmtId="167" fontId="3" fillId="0" borderId="0" xfId="0" applyNumberFormat="1" applyFont="1" applyAlignment="1">
      <alignment horizontal="center" vertical="center"/>
    </xf>
    <xf numFmtId="0" fontId="3" fillId="0" borderId="0" xfId="0" applyFont="1" applyAlignment="1">
      <alignment horizontal="center" vertical="center" wrapText="1"/>
    </xf>
    <xf numFmtId="0" fontId="12" fillId="0" borderId="0" xfId="0" applyFont="1" applyAlignment="1">
      <alignment horizontal="left" vertical="center" wrapText="1"/>
    </xf>
    <xf numFmtId="49" fontId="3" fillId="0" borderId="0" xfId="0" applyNumberFormat="1" applyFont="1" applyAlignment="1">
      <alignment horizontal="center" vertical="center" wrapText="1"/>
    </xf>
    <xf numFmtId="0" fontId="8" fillId="0" borderId="0" xfId="0" applyFont="1" applyAlignment="1">
      <alignment vertical="center" wrapText="1"/>
    </xf>
    <xf numFmtId="167" fontId="12" fillId="0" borderId="0" xfId="0" applyNumberFormat="1" applyFont="1" applyAlignment="1">
      <alignment horizontal="left" vertical="center" wrapText="1"/>
    </xf>
    <xf numFmtId="166" fontId="3" fillId="0" borderId="0" xfId="0" applyNumberFormat="1" applyFont="1" applyAlignment="1">
      <alignment horizontal="center" vertical="center" wrapText="1"/>
    </xf>
    <xf numFmtId="0" fontId="3" fillId="4" borderId="0" xfId="0" applyFont="1" applyFill="1" applyAlignment="1">
      <alignment horizontal="center" vertical="center" wrapText="1"/>
    </xf>
    <xf numFmtId="166" fontId="3" fillId="2" borderId="0" xfId="0" applyNumberFormat="1" applyFont="1" applyFill="1" applyAlignment="1">
      <alignment horizontal="center" vertical="center"/>
    </xf>
    <xf numFmtId="164" fontId="3" fillId="2" borderId="0" xfId="0" applyNumberFormat="1" applyFont="1" applyFill="1" applyAlignment="1">
      <alignment horizontal="center" vertical="center"/>
    </xf>
    <xf numFmtId="165" fontId="3" fillId="0" borderId="0" xfId="2" applyNumberFormat="1" applyAlignment="1">
      <alignment horizontal="center" vertical="center" wrapText="1"/>
    </xf>
    <xf numFmtId="0" fontId="16" fillId="0" borderId="0" xfId="0" applyFont="1" applyAlignment="1">
      <alignment horizontal="center" vertical="center"/>
    </xf>
    <xf numFmtId="0" fontId="11" fillId="0" borderId="0" xfId="0" applyFont="1" applyAlignment="1">
      <alignment horizontal="left" vertical="center" wrapText="1"/>
    </xf>
    <xf numFmtId="164" fontId="3" fillId="0" borderId="0" xfId="2" applyNumberFormat="1" applyAlignment="1">
      <alignment horizontal="center" vertical="center" wrapText="1"/>
    </xf>
    <xf numFmtId="0" fontId="8" fillId="0" borderId="0" xfId="0" applyFont="1" applyAlignment="1">
      <alignment horizontal="center" vertical="center" wrapText="1"/>
    </xf>
    <xf numFmtId="165" fontId="3" fillId="0" borderId="0" xfId="0" applyNumberFormat="1" applyFont="1" applyAlignment="1">
      <alignment horizontal="center" vertical="center"/>
    </xf>
    <xf numFmtId="49" fontId="3" fillId="2" borderId="0" xfId="0" applyNumberFormat="1" applyFont="1" applyFill="1" applyAlignment="1">
      <alignment horizontal="center" vertical="center" wrapText="1"/>
    </xf>
    <xf numFmtId="0" fontId="12" fillId="2" borderId="0" xfId="0" applyFont="1" applyFill="1" applyAlignment="1">
      <alignment vertical="center" wrapText="1"/>
    </xf>
    <xf numFmtId="0" fontId="12" fillId="2" borderId="0" xfId="2" applyFont="1" applyFill="1" applyAlignment="1">
      <alignment vertical="center" wrapText="1"/>
    </xf>
    <xf numFmtId="168" fontId="0" fillId="0" borderId="0" xfId="0" applyNumberFormat="1"/>
    <xf numFmtId="0" fontId="0" fillId="0" borderId="0" xfId="0" applyAlignment="1">
      <alignment vertical="center"/>
    </xf>
    <xf numFmtId="0" fontId="0" fillId="0" borderId="0" xfId="0" applyAlignment="1">
      <alignment horizontal="left"/>
    </xf>
    <xf numFmtId="0" fontId="0" fillId="0" borderId="0" xfId="0" applyAlignment="1">
      <alignment horizontal="left" vertical="center"/>
    </xf>
    <xf numFmtId="0" fontId="0" fillId="0" borderId="0" xfId="0" applyAlignment="1">
      <alignment horizontal="center" vertical="center"/>
    </xf>
    <xf numFmtId="168" fontId="3" fillId="14" borderId="0" xfId="2" applyNumberFormat="1" applyFill="1" applyAlignment="1">
      <alignment horizontal="center"/>
    </xf>
    <xf numFmtId="0" fontId="0" fillId="14" borderId="0" xfId="0" applyFill="1" applyAlignment="1">
      <alignment horizontal="center"/>
    </xf>
    <xf numFmtId="0" fontId="0" fillId="14" borderId="0" xfId="0" applyFill="1"/>
    <xf numFmtId="168" fontId="0" fillId="14" borderId="0" xfId="0" applyNumberFormat="1" applyFill="1"/>
    <xf numFmtId="0" fontId="0" fillId="14" borderId="0" xfId="0" applyFill="1" applyAlignment="1">
      <alignment vertical="center"/>
    </xf>
    <xf numFmtId="0" fontId="25" fillId="14" borderId="0" xfId="0" applyFont="1" applyFill="1"/>
    <xf numFmtId="168" fontId="25" fillId="14" borderId="0" xfId="0" applyNumberFormat="1" applyFont="1" applyFill="1"/>
    <xf numFmtId="0" fontId="25" fillId="14" borderId="0" xfId="0" applyFont="1" applyFill="1" applyAlignment="1">
      <alignment vertical="center"/>
    </xf>
    <xf numFmtId="0" fontId="3" fillId="14" borderId="0" xfId="2" applyFill="1" applyAlignment="1">
      <alignment horizontal="center"/>
    </xf>
    <xf numFmtId="164" fontId="3" fillId="14" borderId="0" xfId="2" applyNumberFormat="1" applyFill="1" applyAlignment="1">
      <alignment horizontal="center"/>
    </xf>
    <xf numFmtId="0" fontId="3" fillId="14" borderId="0" xfId="2" applyFill="1"/>
    <xf numFmtId="0" fontId="8" fillId="14" borderId="0" xfId="2" applyFont="1" applyFill="1" applyAlignment="1">
      <alignment horizontal="center" vertical="center"/>
    </xf>
    <xf numFmtId="164" fontId="3" fillId="14" borderId="0" xfId="2" quotePrefix="1" applyNumberFormat="1" applyFill="1" applyAlignment="1">
      <alignment horizontal="center"/>
    </xf>
    <xf numFmtId="0" fontId="3" fillId="14" borderId="0" xfId="2" applyFill="1" applyAlignment="1">
      <alignment horizontal="center" wrapText="1"/>
    </xf>
    <xf numFmtId="0" fontId="3" fillId="14" borderId="0" xfId="2" quotePrefix="1" applyFill="1" applyAlignment="1">
      <alignment horizontal="center"/>
    </xf>
    <xf numFmtId="164" fontId="3" fillId="14" borderId="0" xfId="2" applyNumberFormat="1" applyFill="1" applyAlignment="1">
      <alignment horizontal="center" vertical="top" wrapText="1"/>
    </xf>
    <xf numFmtId="0" fontId="3" fillId="14" borderId="0" xfId="2" applyFill="1" applyAlignment="1">
      <alignment horizontal="center" vertical="center"/>
    </xf>
    <xf numFmtId="164" fontId="3" fillId="14" borderId="0" xfId="2" applyNumberFormat="1" applyFill="1" applyAlignment="1">
      <alignment horizontal="center" vertical="center"/>
    </xf>
    <xf numFmtId="0" fontId="24" fillId="15" borderId="14" xfId="0" applyFont="1" applyFill="1" applyBorder="1" applyAlignment="1">
      <alignment horizontal="center" vertical="center"/>
    </xf>
    <xf numFmtId="0" fontId="34" fillId="18" borderId="15" xfId="7" applyFont="1" applyFill="1" applyBorder="1" applyAlignment="1">
      <alignment horizontal="center" vertical="center"/>
    </xf>
    <xf numFmtId="0" fontId="34" fillId="18" borderId="15" xfId="7" applyFont="1" applyFill="1" applyBorder="1" applyAlignment="1">
      <alignment horizontal="center" vertical="center" wrapText="1"/>
    </xf>
    <xf numFmtId="14" fontId="0" fillId="19" borderId="11" xfId="0" applyNumberFormat="1" applyFill="1" applyBorder="1"/>
    <xf numFmtId="0" fontId="0" fillId="19" borderId="5" xfId="0" applyFill="1" applyBorder="1"/>
    <xf numFmtId="0" fontId="0" fillId="19" borderId="12" xfId="0" applyFill="1" applyBorder="1"/>
    <xf numFmtId="0" fontId="0" fillId="19" borderId="0" xfId="0" applyFill="1"/>
    <xf numFmtId="168" fontId="0" fillId="19" borderId="0" xfId="0" applyNumberFormat="1" applyFill="1"/>
    <xf numFmtId="0" fontId="0" fillId="19" borderId="3" xfId="0" applyFill="1" applyBorder="1"/>
    <xf numFmtId="0" fontId="0" fillId="19" borderId="4" xfId="0" applyFill="1" applyBorder="1"/>
    <xf numFmtId="0" fontId="0" fillId="14" borderId="2" xfId="0" applyFill="1" applyBorder="1" applyAlignment="1">
      <alignment horizontal="left"/>
    </xf>
    <xf numFmtId="0" fontId="0" fillId="14" borderId="2" xfId="0" applyFill="1" applyBorder="1" applyAlignment="1">
      <alignment horizontal="left" vertical="center"/>
    </xf>
    <xf numFmtId="0" fontId="0" fillId="14" borderId="10" xfId="0" applyFill="1" applyBorder="1" applyAlignment="1">
      <alignment horizontal="left"/>
    </xf>
    <xf numFmtId="0" fontId="34" fillId="18" borderId="15" xfId="0" applyFont="1" applyFill="1" applyBorder="1" applyAlignment="1">
      <alignment horizontal="center" vertical="center"/>
    </xf>
    <xf numFmtId="0" fontId="4" fillId="21" borderId="12" xfId="2" applyFont="1" applyFill="1" applyBorder="1" applyAlignment="1">
      <alignment horizontal="center"/>
    </xf>
    <xf numFmtId="0" fontId="4" fillId="21" borderId="12" xfId="2" applyFont="1" applyFill="1" applyBorder="1" applyAlignment="1">
      <alignment horizontal="center" vertical="center"/>
    </xf>
    <xf numFmtId="0" fontId="4" fillId="21" borderId="12" xfId="2" applyFont="1" applyFill="1" applyBorder="1" applyAlignment="1">
      <alignment horizontal="center" vertical="top" wrapText="1"/>
    </xf>
    <xf numFmtId="0" fontId="4" fillId="21" borderId="12" xfId="2" quotePrefix="1" applyFont="1" applyFill="1" applyBorder="1" applyAlignment="1">
      <alignment horizontal="center"/>
    </xf>
    <xf numFmtId="0" fontId="4" fillId="23" borderId="16" xfId="6" applyFont="1" applyFill="1" applyBorder="1" applyAlignment="1">
      <alignment horizontal="center" vertical="center"/>
    </xf>
    <xf numFmtId="0" fontId="0" fillId="23" borderId="4" xfId="0" applyFill="1" applyBorder="1"/>
    <xf numFmtId="0" fontId="0" fillId="23" borderId="13" xfId="0" applyFill="1" applyBorder="1"/>
    <xf numFmtId="0" fontId="37" fillId="23" borderId="22" xfId="0" applyFont="1" applyFill="1" applyBorder="1"/>
    <xf numFmtId="0" fontId="0" fillId="21" borderId="2" xfId="0" applyFill="1" applyBorder="1"/>
    <xf numFmtId="0" fontId="0" fillId="14" borderId="0" xfId="0" applyFill="1" applyAlignment="1">
      <alignment horizontal="left"/>
    </xf>
    <xf numFmtId="0" fontId="0" fillId="14" borderId="0" xfId="0" applyFill="1" applyAlignment="1">
      <alignment horizontal="left" vertical="center"/>
    </xf>
    <xf numFmtId="0" fontId="0" fillId="19" borderId="2" xfId="0" applyFill="1" applyBorder="1"/>
    <xf numFmtId="0" fontId="2" fillId="19" borderId="2" xfId="0" applyFont="1" applyFill="1" applyBorder="1"/>
    <xf numFmtId="0" fontId="0" fillId="19" borderId="10" xfId="0" applyFill="1" applyBorder="1"/>
    <xf numFmtId="0" fontId="0" fillId="19" borderId="9" xfId="0" applyFill="1" applyBorder="1"/>
    <xf numFmtId="166" fontId="3" fillId="19" borderId="2" xfId="6" applyNumberFormat="1" applyFill="1" applyBorder="1" applyAlignment="1">
      <alignment horizontal="center"/>
    </xf>
    <xf numFmtId="0" fontId="45" fillId="19" borderId="2" xfId="0" applyFont="1" applyFill="1" applyBorder="1"/>
    <xf numFmtId="166" fontId="3" fillId="19" borderId="0" xfId="6" applyNumberFormat="1" applyFill="1" applyAlignment="1">
      <alignment horizontal="center"/>
    </xf>
    <xf numFmtId="0" fontId="45" fillId="19" borderId="0" xfId="0" applyFont="1" applyFill="1"/>
    <xf numFmtId="0" fontId="3" fillId="13" borderId="0" xfId="6" applyFill="1" applyAlignment="1">
      <alignment horizontal="center" vertical="center"/>
    </xf>
    <xf numFmtId="0" fontId="12" fillId="13" borderId="0" xfId="6" applyFont="1" applyFill="1" applyAlignment="1">
      <alignment horizontal="center" vertical="center"/>
    </xf>
    <xf numFmtId="0" fontId="10" fillId="13" borderId="0" xfId="6" applyFont="1" applyFill="1" applyAlignment="1">
      <alignment horizontal="center" vertical="center"/>
    </xf>
    <xf numFmtId="9" fontId="10" fillId="13" borderId="0" xfId="6" applyNumberFormat="1" applyFont="1" applyFill="1" applyAlignment="1">
      <alignment horizontal="center" vertical="center"/>
    </xf>
    <xf numFmtId="9" fontId="3" fillId="13" borderId="0" xfId="6" applyNumberFormat="1" applyFill="1" applyAlignment="1">
      <alignment horizontal="center" vertical="center"/>
    </xf>
    <xf numFmtId="0" fontId="3" fillId="21" borderId="2" xfId="2" applyFill="1" applyBorder="1"/>
    <xf numFmtId="0" fontId="3" fillId="21" borderId="10" xfId="2" applyFill="1" applyBorder="1"/>
    <xf numFmtId="0" fontId="3" fillId="17" borderId="2" xfId="2" applyFill="1" applyBorder="1"/>
    <xf numFmtId="0" fontId="3" fillId="17" borderId="0" xfId="2" applyFill="1" applyAlignment="1">
      <alignment horizontal="center"/>
    </xf>
    <xf numFmtId="0" fontId="3" fillId="17" borderId="29" xfId="2" applyFill="1" applyBorder="1" applyAlignment="1">
      <alignment horizontal="center"/>
    </xf>
    <xf numFmtId="0" fontId="3" fillId="17" borderId="0" xfId="2" applyFill="1"/>
    <xf numFmtId="0" fontId="3" fillId="17" borderId="29" xfId="2" applyFill="1" applyBorder="1"/>
    <xf numFmtId="0" fontId="49" fillId="22" borderId="10" xfId="0" applyFont="1" applyFill="1" applyBorder="1"/>
    <xf numFmtId="0" fontId="0" fillId="23" borderId="2" xfId="0" applyFill="1" applyBorder="1"/>
    <xf numFmtId="0" fontId="0" fillId="23" borderId="0" xfId="0" applyFill="1"/>
    <xf numFmtId="0" fontId="2" fillId="0" borderId="0" xfId="0" applyFont="1" applyAlignment="1">
      <alignment horizontal="center" vertical="center"/>
    </xf>
    <xf numFmtId="0" fontId="48" fillId="0" borderId="0" xfId="8"/>
    <xf numFmtId="0" fontId="4" fillId="27" borderId="25" xfId="2" applyFont="1" applyFill="1" applyBorder="1" applyAlignment="1">
      <alignment horizontal="center" vertical="center" wrapText="1"/>
    </xf>
    <xf numFmtId="0" fontId="4" fillId="0" borderId="24" xfId="2" applyFont="1" applyBorder="1" applyAlignment="1">
      <alignment horizontal="center" vertical="center" wrapText="1"/>
    </xf>
    <xf numFmtId="0" fontId="4" fillId="0" borderId="25" xfId="2" applyFont="1" applyBorder="1" applyAlignment="1">
      <alignment horizontal="center" vertical="center" wrapText="1"/>
    </xf>
    <xf numFmtId="166" fontId="3" fillId="7" borderId="0" xfId="0" applyNumberFormat="1" applyFont="1" applyFill="1" applyAlignment="1">
      <alignment horizontal="center" vertical="center"/>
    </xf>
    <xf numFmtId="164" fontId="11" fillId="7" borderId="0" xfId="0" applyNumberFormat="1" applyFont="1" applyFill="1" applyAlignment="1">
      <alignment horizontal="center" vertical="center" wrapText="1"/>
    </xf>
    <xf numFmtId="164" fontId="3" fillId="2" borderId="0" xfId="2" applyNumberFormat="1" applyFill="1" applyAlignment="1">
      <alignment horizontal="center" vertical="center"/>
    </xf>
    <xf numFmtId="0" fontId="4" fillId="27" borderId="24" xfId="2" applyFont="1" applyFill="1" applyBorder="1" applyAlignment="1">
      <alignment horizontal="center" vertical="center" wrapText="1"/>
    </xf>
    <xf numFmtId="0" fontId="11" fillId="0" borderId="0" xfId="0" applyFont="1" applyAlignment="1">
      <alignment horizontal="center" vertical="center" wrapText="1"/>
    </xf>
    <xf numFmtId="0" fontId="35" fillId="14" borderId="0" xfId="0" applyFont="1" applyFill="1" applyAlignment="1">
      <alignment horizontal="center" vertical="center"/>
    </xf>
    <xf numFmtId="0" fontId="4" fillId="10" borderId="24" xfId="2" applyFont="1" applyFill="1" applyBorder="1" applyAlignment="1">
      <alignment horizontal="center" vertical="center" wrapText="1"/>
    </xf>
    <xf numFmtId="166" fontId="4" fillId="0" borderId="24" xfId="2" applyNumberFormat="1" applyFont="1" applyBorder="1" applyAlignment="1">
      <alignment horizontal="center" vertical="center" wrapText="1"/>
    </xf>
    <xf numFmtId="165" fontId="4" fillId="0" borderId="25" xfId="2" applyNumberFormat="1" applyFont="1" applyBorder="1" applyAlignment="1">
      <alignment horizontal="center" vertical="center" wrapText="1"/>
    </xf>
    <xf numFmtId="0" fontId="4" fillId="0" borderId="25" xfId="2" applyFont="1" applyBorder="1" applyAlignment="1">
      <alignment horizontal="center" vertical="center"/>
    </xf>
    <xf numFmtId="0" fontId="5" fillId="0" borderId="0" xfId="2" applyFont="1" applyAlignment="1">
      <alignment horizontal="center" vertical="center" wrapText="1"/>
    </xf>
    <xf numFmtId="0" fontId="34" fillId="28" borderId="24" xfId="2" applyFont="1" applyFill="1" applyBorder="1" applyAlignment="1">
      <alignment horizontal="center" vertical="center" wrapText="1"/>
    </xf>
    <xf numFmtId="0" fontId="3" fillId="0" borderId="0" xfId="3" applyAlignment="1">
      <alignment horizontal="center" vertical="center" wrapText="1"/>
    </xf>
    <xf numFmtId="164" fontId="4" fillId="27" borderId="35" xfId="2" applyNumberFormat="1" applyFont="1" applyFill="1" applyBorder="1" applyAlignment="1">
      <alignment horizontal="center" vertical="center" wrapText="1"/>
    </xf>
    <xf numFmtId="0" fontId="4" fillId="10" borderId="35" xfId="2" applyFont="1" applyFill="1" applyBorder="1" applyAlignment="1">
      <alignment horizontal="center" vertical="center" wrapText="1"/>
    </xf>
    <xf numFmtId="0" fontId="34" fillId="14" borderId="0" xfId="7" applyFont="1" applyFill="1" applyAlignment="1">
      <alignment horizontal="center" vertical="center"/>
    </xf>
    <xf numFmtId="164" fontId="9" fillId="27" borderId="25" xfId="2" applyNumberFormat="1" applyFont="1" applyFill="1" applyBorder="1" applyAlignment="1">
      <alignment horizontal="center" vertical="center" wrapText="1"/>
    </xf>
    <xf numFmtId="0" fontId="48" fillId="0" borderId="0" xfId="8" applyAlignment="1">
      <alignment horizontal="center"/>
    </xf>
    <xf numFmtId="0" fontId="8" fillId="0" borderId="0" xfId="11" applyFont="1"/>
    <xf numFmtId="166" fontId="3" fillId="0" borderId="0" xfId="6" applyNumberFormat="1" applyAlignment="1">
      <alignment horizontal="center" vertical="center"/>
    </xf>
    <xf numFmtId="166" fontId="3" fillId="0" borderId="0" xfId="2" applyNumberFormat="1" applyAlignment="1">
      <alignment horizontal="center" vertical="center" wrapText="1"/>
    </xf>
    <xf numFmtId="166" fontId="3" fillId="2" borderId="0" xfId="2" applyNumberFormat="1" applyFill="1" applyAlignment="1">
      <alignment horizontal="center" vertical="center" wrapText="1"/>
    </xf>
    <xf numFmtId="0" fontId="0" fillId="19" borderId="40" xfId="0" applyFill="1" applyBorder="1"/>
    <xf numFmtId="0" fontId="0" fillId="14" borderId="40" xfId="0" applyFill="1" applyBorder="1" applyAlignment="1">
      <alignment horizontal="left" vertical="center"/>
    </xf>
    <xf numFmtId="0" fontId="0" fillId="24" borderId="41" xfId="0" applyFill="1" applyBorder="1" applyAlignment="1">
      <alignment horizontal="center" vertical="center"/>
    </xf>
    <xf numFmtId="9" fontId="0" fillId="24" borderId="41" xfId="0" applyNumberFormat="1" applyFill="1" applyBorder="1" applyAlignment="1">
      <alignment horizontal="center" vertical="center"/>
    </xf>
    <xf numFmtId="17" fontId="4" fillId="26" borderId="41" xfId="6" applyNumberFormat="1" applyFont="1" applyFill="1" applyBorder="1" applyAlignment="1">
      <alignment horizontal="center" vertical="center"/>
    </xf>
    <xf numFmtId="166" fontId="8" fillId="0" borderId="53" xfId="0" applyNumberFormat="1" applyFont="1" applyBorder="1" applyAlignment="1">
      <alignment horizontal="center" vertical="center"/>
    </xf>
    <xf numFmtId="0" fontId="4" fillId="0" borderId="6" xfId="12" applyFont="1" applyBorder="1" applyAlignment="1">
      <alignment vertical="center" wrapText="1"/>
    </xf>
    <xf numFmtId="0" fontId="4" fillId="0" borderId="36" xfId="12" applyFont="1" applyBorder="1" applyAlignment="1">
      <alignment vertical="center" wrapText="1"/>
    </xf>
    <xf numFmtId="0" fontId="4" fillId="0" borderId="25" xfId="12" applyFont="1" applyBorder="1" applyAlignment="1">
      <alignment horizontal="center" vertical="center"/>
    </xf>
    <xf numFmtId="171" fontId="4" fillId="0" borderId="25" xfId="13" applyNumberFormat="1" applyFont="1" applyBorder="1" applyAlignment="1">
      <alignment horizontal="center" vertical="center"/>
    </xf>
    <xf numFmtId="0" fontId="3" fillId="0" borderId="0" xfId="12"/>
    <xf numFmtId="0" fontId="3" fillId="0" borderId="7" xfId="12" applyBorder="1" applyAlignment="1">
      <alignment vertical="center" wrapText="1"/>
    </xf>
    <xf numFmtId="0" fontId="3" fillId="0" borderId="7" xfId="12" applyBorder="1" applyAlignment="1">
      <alignment vertical="center"/>
    </xf>
    <xf numFmtId="171" fontId="0" fillId="0" borderId="29" xfId="13" applyNumberFormat="1" applyFont="1" applyBorder="1" applyAlignment="1">
      <alignment horizontal="center" vertical="center"/>
    </xf>
    <xf numFmtId="0" fontId="3" fillId="0" borderId="7" xfId="12" applyBorder="1" applyAlignment="1">
      <alignment horizontal="center" vertical="center"/>
    </xf>
    <xf numFmtId="2" fontId="3" fillId="0" borderId="0" xfId="12" applyNumberFormat="1"/>
    <xf numFmtId="171" fontId="0" fillId="0" borderId="29" xfId="13" applyNumberFormat="1" applyFont="1" applyFill="1" applyBorder="1" applyAlignment="1">
      <alignment horizontal="center" vertical="center"/>
    </xf>
    <xf numFmtId="0" fontId="3" fillId="0" borderId="7" xfId="0" applyFont="1" applyBorder="1" applyAlignment="1">
      <alignment vertical="center" wrapText="1"/>
    </xf>
    <xf numFmtId="0" fontId="3" fillId="0" borderId="29" xfId="12" applyBorder="1" applyAlignment="1">
      <alignment vertical="center" wrapText="1"/>
    </xf>
    <xf numFmtId="0" fontId="4" fillId="0" borderId="14" xfId="12" applyFont="1" applyBorder="1" applyAlignment="1">
      <alignment vertical="center"/>
    </xf>
    <xf numFmtId="171" fontId="4" fillId="2" borderId="24" xfId="12" applyNumberFormat="1" applyFont="1" applyFill="1" applyBorder="1" applyAlignment="1">
      <alignment horizontal="left" vertical="center"/>
    </xf>
    <xf numFmtId="171" fontId="0" fillId="0" borderId="29" xfId="13" applyNumberFormat="1" applyFont="1" applyBorder="1" applyAlignment="1">
      <alignment vertical="center"/>
    </xf>
    <xf numFmtId="166" fontId="4" fillId="0" borderId="24" xfId="9" applyNumberFormat="1" applyFont="1" applyBorder="1" applyAlignment="1">
      <alignment horizontal="center" vertical="center" wrapText="1"/>
    </xf>
    <xf numFmtId="166" fontId="4" fillId="0" borderId="14" xfId="2" applyNumberFormat="1" applyFont="1" applyBorder="1" applyAlignment="1">
      <alignment horizontal="center" vertical="center" wrapText="1"/>
    </xf>
    <xf numFmtId="166" fontId="4" fillId="0" borderId="25" xfId="2" applyNumberFormat="1" applyFont="1" applyBorder="1" applyAlignment="1">
      <alignment horizontal="center" vertical="center" wrapText="1"/>
    </xf>
    <xf numFmtId="166" fontId="3" fillId="0" borderId="0" xfId="2" applyNumberFormat="1" applyAlignment="1">
      <alignment horizontal="left" vertical="center"/>
    </xf>
    <xf numFmtId="166" fontId="3" fillId="0" borderId="0" xfId="9" applyNumberFormat="1" applyFont="1" applyAlignment="1">
      <alignment horizontal="center" vertical="center"/>
    </xf>
    <xf numFmtId="164" fontId="4" fillId="0" borderId="0" xfId="2" applyNumberFormat="1" applyFont="1" applyAlignment="1">
      <alignment horizontal="left" vertical="center"/>
    </xf>
    <xf numFmtId="0" fontId="3" fillId="2" borderId="0" xfId="2" applyFill="1" applyAlignment="1">
      <alignment horizontal="center" vertical="center" wrapText="1"/>
    </xf>
    <xf numFmtId="0" fontId="3" fillId="2" borderId="0" xfId="2" applyFill="1" applyAlignment="1">
      <alignment horizontal="center" vertical="center"/>
    </xf>
    <xf numFmtId="0" fontId="3" fillId="2" borderId="0" xfId="2" quotePrefix="1" applyFill="1" applyAlignment="1">
      <alignment horizontal="center" vertical="center"/>
    </xf>
    <xf numFmtId="0" fontId="3" fillId="2" borderId="0" xfId="2" quotePrefix="1" applyFill="1" applyAlignment="1">
      <alignment horizontal="center" vertical="center" wrapText="1"/>
    </xf>
    <xf numFmtId="166" fontId="3" fillId="2" borderId="0" xfId="9" applyNumberFormat="1" applyFont="1" applyFill="1" applyAlignment="1">
      <alignment horizontal="center" vertical="center"/>
    </xf>
    <xf numFmtId="0" fontId="3" fillId="2" borderId="0" xfId="2" applyFill="1" applyAlignment="1">
      <alignment horizontal="left" vertical="center"/>
    </xf>
    <xf numFmtId="166" fontId="3" fillId="2" borderId="0" xfId="2" applyNumberFormat="1" applyFill="1" applyAlignment="1">
      <alignment horizontal="left" vertical="center" wrapText="1"/>
    </xf>
    <xf numFmtId="0" fontId="3" fillId="2" borderId="0" xfId="2" applyFill="1" applyAlignment="1">
      <alignment horizontal="left" vertical="center" wrapText="1"/>
    </xf>
    <xf numFmtId="164" fontId="3" fillId="2" borderId="0" xfId="2" applyNumberFormat="1" applyFill="1" applyAlignment="1">
      <alignment horizontal="left" vertical="center"/>
    </xf>
    <xf numFmtId="164" fontId="4" fillId="0" borderId="0" xfId="2" applyNumberFormat="1" applyFont="1" applyAlignment="1">
      <alignment horizontal="center" vertical="center"/>
    </xf>
    <xf numFmtId="166" fontId="3" fillId="7" borderId="0" xfId="2" applyNumberFormat="1" applyFill="1" applyAlignment="1">
      <alignment horizontal="center" vertical="center"/>
    </xf>
    <xf numFmtId="0" fontId="3" fillId="7" borderId="0" xfId="2" applyFill="1" applyAlignment="1">
      <alignment horizontal="left" vertical="center" wrapText="1"/>
    </xf>
    <xf numFmtId="0" fontId="3" fillId="7" borderId="0" xfId="2" applyFill="1" applyAlignment="1">
      <alignment horizontal="left" vertical="center"/>
    </xf>
    <xf numFmtId="0" fontId="3" fillId="7" borderId="0" xfId="2" applyFill="1" applyAlignment="1">
      <alignment horizontal="center" vertical="center"/>
    </xf>
    <xf numFmtId="0" fontId="3" fillId="7" borderId="0" xfId="2" applyFill="1" applyAlignment="1">
      <alignment horizontal="center" vertical="center" wrapText="1"/>
    </xf>
    <xf numFmtId="166" fontId="3" fillId="7" borderId="0" xfId="2" applyNumberFormat="1" applyFill="1" applyAlignment="1">
      <alignment horizontal="center" vertical="center" wrapText="1"/>
    </xf>
    <xf numFmtId="166" fontId="3" fillId="7" borderId="0" xfId="2" applyNumberFormat="1" applyFill="1" applyAlignment="1">
      <alignment horizontal="left" vertical="center"/>
    </xf>
    <xf numFmtId="166" fontId="3" fillId="7" borderId="0" xfId="9" applyNumberFormat="1" applyFont="1" applyFill="1" applyAlignment="1">
      <alignment horizontal="center" vertical="center"/>
    </xf>
    <xf numFmtId="166" fontId="3" fillId="0" borderId="0" xfId="2" applyNumberFormat="1" applyAlignment="1">
      <alignment horizontal="left" vertical="center" wrapText="1"/>
    </xf>
    <xf numFmtId="164" fontId="3" fillId="7" borderId="0" xfId="2" applyNumberFormat="1" applyFill="1" applyAlignment="1">
      <alignment horizontal="center" vertical="center"/>
    </xf>
    <xf numFmtId="0" fontId="3" fillId="7" borderId="0" xfId="2" quotePrefix="1" applyFill="1" applyAlignment="1">
      <alignment horizontal="center" vertical="center" wrapText="1"/>
    </xf>
    <xf numFmtId="166" fontId="3" fillId="7" borderId="0" xfId="2" quotePrefix="1" applyNumberFormat="1" applyFill="1" applyAlignment="1">
      <alignment horizontal="center" vertical="center"/>
    </xf>
    <xf numFmtId="49" fontId="3" fillId="6" borderId="0" xfId="0" applyNumberFormat="1" applyFont="1" applyFill="1" applyAlignment="1">
      <alignment horizontal="center" vertical="center" wrapText="1"/>
    </xf>
    <xf numFmtId="0" fontId="3" fillId="7" borderId="0" xfId="9" applyNumberFormat="1" applyFont="1" applyFill="1" applyAlignment="1">
      <alignment horizontal="center" vertical="center"/>
    </xf>
    <xf numFmtId="166" fontId="3" fillId="7" borderId="0" xfId="2" applyNumberFormat="1" applyFill="1" applyAlignment="1">
      <alignment horizontal="left" vertical="center" wrapText="1"/>
    </xf>
    <xf numFmtId="0" fontId="3" fillId="0" borderId="0" xfId="12" applyAlignment="1">
      <alignment vertical="center" wrapText="1"/>
    </xf>
    <xf numFmtId="0" fontId="3" fillId="0" borderId="7" xfId="12" applyBorder="1" applyAlignment="1">
      <alignment horizontal="left" vertical="center" wrapText="1"/>
    </xf>
    <xf numFmtId="0" fontId="3" fillId="0" borderId="7" xfId="12" applyBorder="1" applyAlignment="1">
      <alignment horizontal="center" vertical="center" wrapText="1"/>
    </xf>
    <xf numFmtId="0" fontId="3" fillId="0" borderId="0" xfId="12" applyAlignment="1">
      <alignment vertical="center"/>
    </xf>
    <xf numFmtId="0" fontId="3" fillId="5" borderId="7" xfId="12" applyFill="1" applyBorder="1" applyAlignment="1">
      <alignment horizontal="left" vertical="center" wrapText="1"/>
    </xf>
    <xf numFmtId="0" fontId="8" fillId="0" borderId="0" xfId="0" applyFont="1" applyAlignment="1">
      <alignment horizontal="left" vertical="center" wrapText="1"/>
    </xf>
    <xf numFmtId="49" fontId="4" fillId="10" borderId="24" xfId="2" applyNumberFormat="1" applyFont="1" applyFill="1" applyBorder="1" applyAlignment="1">
      <alignment horizontal="center" vertical="center" wrapText="1"/>
    </xf>
    <xf numFmtId="44" fontId="4" fillId="0" borderId="24" xfId="9" applyFont="1" applyBorder="1" applyAlignment="1">
      <alignment horizontal="center" vertical="center" wrapText="1"/>
    </xf>
    <xf numFmtId="0" fontId="3" fillId="31" borderId="0" xfId="2" applyFill="1" applyAlignment="1">
      <alignment horizontal="center" vertical="center"/>
    </xf>
    <xf numFmtId="49" fontId="3" fillId="31" borderId="0" xfId="0" applyNumberFormat="1" applyFont="1" applyFill="1" applyAlignment="1">
      <alignment horizontal="center" vertical="center" wrapText="1"/>
    </xf>
    <xf numFmtId="49" fontId="3" fillId="31" borderId="0" xfId="2" quotePrefix="1" applyNumberFormat="1" applyFill="1" applyAlignment="1">
      <alignment horizontal="center" vertical="center"/>
    </xf>
    <xf numFmtId="0" fontId="3" fillId="7" borderId="0" xfId="0" applyFont="1" applyFill="1" applyAlignment="1">
      <alignment horizontal="center" vertical="center" wrapText="1"/>
    </xf>
    <xf numFmtId="0" fontId="3" fillId="31" borderId="0" xfId="0" applyFont="1" applyFill="1" applyAlignment="1">
      <alignment horizontal="center" vertical="center" wrapText="1"/>
    </xf>
    <xf numFmtId="0" fontId="3" fillId="31" borderId="0" xfId="0" applyFont="1" applyFill="1" applyAlignment="1">
      <alignment horizontal="center" vertical="center"/>
    </xf>
    <xf numFmtId="0" fontId="3" fillId="31" borderId="0" xfId="2" applyFill="1" applyAlignment="1">
      <alignment horizontal="center" vertical="center" wrapText="1"/>
    </xf>
    <xf numFmtId="0" fontId="3" fillId="31" borderId="0" xfId="2" quotePrefix="1" applyFill="1" applyAlignment="1">
      <alignment horizontal="center" vertical="center"/>
    </xf>
    <xf numFmtId="0" fontId="3" fillId="31" borderId="0" xfId="0" applyFont="1" applyFill="1" applyAlignment="1">
      <alignment horizontal="left" vertical="center" wrapText="1"/>
    </xf>
    <xf numFmtId="166" fontId="3" fillId="31" borderId="0" xfId="9" applyNumberFormat="1" applyFont="1" applyFill="1" applyAlignment="1">
      <alignment horizontal="center" vertical="center" wrapText="1"/>
    </xf>
    <xf numFmtId="166" fontId="3" fillId="31" borderId="0" xfId="9" quotePrefix="1" applyNumberFormat="1" applyFont="1" applyFill="1" applyAlignment="1">
      <alignment horizontal="center" vertical="center" wrapText="1"/>
    </xf>
    <xf numFmtId="166" fontId="11" fillId="31" borderId="0" xfId="0" applyNumberFormat="1" applyFont="1" applyFill="1" applyAlignment="1">
      <alignment horizontal="center" vertical="center"/>
    </xf>
    <xf numFmtId="166" fontId="3" fillId="31" borderId="0" xfId="0" applyNumberFormat="1" applyFont="1" applyFill="1" applyAlignment="1">
      <alignment horizontal="center" vertical="center"/>
    </xf>
    <xf numFmtId="164" fontId="3" fillId="31" borderId="0" xfId="0" applyNumberFormat="1" applyFont="1" applyFill="1" applyAlignment="1">
      <alignment horizontal="center" vertical="center"/>
    </xf>
    <xf numFmtId="166" fontId="3" fillId="31" borderId="0" xfId="9" applyNumberFormat="1" applyFont="1" applyFill="1" applyAlignment="1">
      <alignment horizontal="center" vertical="center"/>
    </xf>
    <xf numFmtId="0" fontId="3" fillId="32" borderId="0" xfId="0" applyFont="1" applyFill="1" applyAlignment="1">
      <alignment horizontal="center" vertical="center"/>
    </xf>
    <xf numFmtId="164" fontId="11" fillId="31" borderId="0" xfId="0" applyNumberFormat="1" applyFont="1" applyFill="1" applyAlignment="1">
      <alignment horizontal="center" vertical="center" wrapText="1"/>
    </xf>
    <xf numFmtId="0" fontId="12" fillId="31" borderId="0" xfId="0" applyFont="1" applyFill="1" applyAlignment="1">
      <alignment horizontal="left" vertical="center" wrapText="1"/>
    </xf>
    <xf numFmtId="0" fontId="3" fillId="31" borderId="0" xfId="2" applyFill="1" applyAlignment="1">
      <alignment vertical="center"/>
    </xf>
    <xf numFmtId="164" fontId="3" fillId="31" borderId="0" xfId="0" applyNumberFormat="1" applyFont="1" applyFill="1" applyAlignment="1">
      <alignment horizontal="left" vertical="center"/>
    </xf>
    <xf numFmtId="164" fontId="3" fillId="31" borderId="0" xfId="0" applyNumberFormat="1" applyFont="1" applyFill="1" applyAlignment="1">
      <alignment horizontal="center" vertical="center" wrapText="1"/>
    </xf>
    <xf numFmtId="167" fontId="3" fillId="31" borderId="0" xfId="0" applyNumberFormat="1" applyFont="1" applyFill="1" applyAlignment="1">
      <alignment horizontal="center" vertical="center"/>
    </xf>
    <xf numFmtId="166" fontId="8" fillId="31" borderId="0" xfId="0" applyNumberFormat="1" applyFont="1" applyFill="1" applyAlignment="1">
      <alignment horizontal="center" vertical="center"/>
    </xf>
    <xf numFmtId="166" fontId="3" fillId="31" borderId="0" xfId="2" applyNumberFormat="1" applyFill="1" applyAlignment="1">
      <alignment horizontal="center" vertical="center"/>
    </xf>
    <xf numFmtId="0" fontId="3" fillId="31" borderId="0" xfId="0" quotePrefix="1" applyFont="1" applyFill="1" applyAlignment="1">
      <alignment horizontal="center" vertical="center" wrapText="1"/>
    </xf>
    <xf numFmtId="0" fontId="3" fillId="31" borderId="0" xfId="2" quotePrefix="1" applyFill="1" applyAlignment="1">
      <alignment horizontal="center" vertical="center" wrapText="1"/>
    </xf>
    <xf numFmtId="0" fontId="3" fillId="31" borderId="0" xfId="0" quotePrefix="1" applyFont="1" applyFill="1" applyAlignment="1">
      <alignment horizontal="center" vertical="center"/>
    </xf>
    <xf numFmtId="167" fontId="3" fillId="31" borderId="0" xfId="2" applyNumberFormat="1" applyFill="1" applyAlignment="1">
      <alignment horizontal="center" vertical="center"/>
    </xf>
    <xf numFmtId="167" fontId="3" fillId="31" borderId="0" xfId="2" applyNumberFormat="1" applyFill="1" applyAlignment="1">
      <alignment horizontal="left" vertical="center"/>
    </xf>
    <xf numFmtId="166" fontId="3" fillId="31" borderId="0" xfId="9" quotePrefix="1" applyNumberFormat="1" applyFont="1" applyFill="1" applyAlignment="1">
      <alignment horizontal="center" vertical="center"/>
    </xf>
    <xf numFmtId="167" fontId="3" fillId="31" borderId="0" xfId="2" applyNumberFormat="1" applyFill="1" applyAlignment="1">
      <alignment horizontal="center" vertical="center" wrapText="1"/>
    </xf>
    <xf numFmtId="167" fontId="10" fillId="31" borderId="0" xfId="2" applyNumberFormat="1" applyFont="1" applyFill="1" applyAlignment="1">
      <alignment vertical="center" wrapText="1"/>
    </xf>
    <xf numFmtId="164" fontId="3" fillId="31" borderId="0" xfId="2" applyNumberFormat="1" applyFill="1" applyAlignment="1">
      <alignment horizontal="center" vertical="center" wrapText="1"/>
    </xf>
    <xf numFmtId="0" fontId="11" fillId="31" borderId="0" xfId="0" applyFont="1" applyFill="1" applyAlignment="1">
      <alignment horizontal="center" vertical="center"/>
    </xf>
    <xf numFmtId="0" fontId="12" fillId="31" borderId="0" xfId="0" applyFont="1" applyFill="1" applyAlignment="1">
      <alignment vertical="center" wrapText="1"/>
    </xf>
    <xf numFmtId="0" fontId="8" fillId="31" borderId="0" xfId="2" applyFont="1" applyFill="1" applyAlignment="1">
      <alignment horizontal="center" vertical="center"/>
    </xf>
    <xf numFmtId="166" fontId="11" fillId="31" borderId="0" xfId="0" applyNumberFormat="1" applyFont="1" applyFill="1" applyAlignment="1">
      <alignment horizontal="center" vertical="center" wrapText="1"/>
    </xf>
    <xf numFmtId="0" fontId="10" fillId="31" borderId="0" xfId="0" applyFont="1" applyFill="1" applyAlignment="1">
      <alignment vertical="center" wrapText="1"/>
    </xf>
    <xf numFmtId="49" fontId="3" fillId="31" borderId="0" xfId="0" applyNumberFormat="1" applyFont="1" applyFill="1" applyAlignment="1">
      <alignment horizontal="center" vertical="center"/>
    </xf>
    <xf numFmtId="164" fontId="3" fillId="31" borderId="0" xfId="2" applyNumberFormat="1" applyFill="1" applyAlignment="1">
      <alignment horizontal="center" vertical="center"/>
    </xf>
    <xf numFmtId="166" fontId="3" fillId="31" borderId="0" xfId="0" applyNumberFormat="1" applyFont="1" applyFill="1" applyAlignment="1">
      <alignment horizontal="center" vertical="center" wrapText="1"/>
    </xf>
    <xf numFmtId="0" fontId="8" fillId="31" borderId="0" xfId="0" applyFont="1" applyFill="1" applyAlignment="1">
      <alignment horizontal="center" vertical="center"/>
    </xf>
    <xf numFmtId="167" fontId="12" fillId="31" borderId="0" xfId="0" applyNumberFormat="1" applyFont="1" applyFill="1" applyAlignment="1">
      <alignment horizontal="left" vertical="center" wrapText="1"/>
    </xf>
    <xf numFmtId="0" fontId="3" fillId="31" borderId="4" xfId="2" applyFill="1" applyBorder="1" applyAlignment="1">
      <alignment horizontal="center" vertical="center" wrapText="1"/>
    </xf>
    <xf numFmtId="0" fontId="3" fillId="31" borderId="4" xfId="2" applyFill="1" applyBorder="1" applyAlignment="1">
      <alignment horizontal="center" vertical="center"/>
    </xf>
    <xf numFmtId="49" fontId="3" fillId="31" borderId="4" xfId="0" applyNumberFormat="1" applyFont="1" applyFill="1" applyBorder="1" applyAlignment="1">
      <alignment horizontal="center" vertical="center" wrapText="1"/>
    </xf>
    <xf numFmtId="0" fontId="3" fillId="31" borderId="4" xfId="0" applyFont="1" applyFill="1" applyBorder="1" applyAlignment="1">
      <alignment horizontal="center" vertical="center" wrapText="1"/>
    </xf>
    <xf numFmtId="0" fontId="3" fillId="31" borderId="4" xfId="0" applyFont="1" applyFill="1" applyBorder="1" applyAlignment="1">
      <alignment horizontal="center" vertical="center"/>
    </xf>
    <xf numFmtId="0" fontId="3" fillId="31" borderId="4" xfId="2" quotePrefix="1" applyFill="1" applyBorder="1" applyAlignment="1">
      <alignment horizontal="center" vertical="center" wrapText="1"/>
    </xf>
    <xf numFmtId="0" fontId="11" fillId="31" borderId="4" xfId="0" applyFont="1" applyFill="1" applyBorder="1" applyAlignment="1">
      <alignment horizontal="center" vertical="center"/>
    </xf>
    <xf numFmtId="0" fontId="3" fillId="31" borderId="4" xfId="2" quotePrefix="1" applyFill="1" applyBorder="1" applyAlignment="1">
      <alignment horizontal="center" vertical="center"/>
    </xf>
    <xf numFmtId="0" fontId="3" fillId="31" borderId="4" xfId="0" applyFont="1" applyFill="1" applyBorder="1" applyAlignment="1">
      <alignment horizontal="left" vertical="center" wrapText="1"/>
    </xf>
    <xf numFmtId="166" fontId="3" fillId="31" borderId="4" xfId="9" quotePrefix="1" applyNumberFormat="1" applyFont="1" applyFill="1" applyBorder="1" applyAlignment="1">
      <alignment horizontal="center" vertical="center" wrapText="1"/>
    </xf>
    <xf numFmtId="166" fontId="3" fillId="31" borderId="4" xfId="9" applyNumberFormat="1" applyFont="1" applyFill="1" applyBorder="1" applyAlignment="1">
      <alignment horizontal="center" vertical="center" wrapText="1"/>
    </xf>
    <xf numFmtId="166" fontId="11" fillId="31" borderId="4" xfId="0" applyNumberFormat="1" applyFont="1" applyFill="1" applyBorder="1" applyAlignment="1">
      <alignment horizontal="center" vertical="center"/>
    </xf>
    <xf numFmtId="166" fontId="8" fillId="31" borderId="4" xfId="0" applyNumberFormat="1" applyFont="1" applyFill="1" applyBorder="1" applyAlignment="1">
      <alignment horizontal="center" vertical="center"/>
    </xf>
    <xf numFmtId="166" fontId="3" fillId="31" borderId="4" xfId="0" applyNumberFormat="1" applyFont="1" applyFill="1" applyBorder="1" applyAlignment="1">
      <alignment horizontal="center" vertical="center"/>
    </xf>
    <xf numFmtId="0" fontId="3" fillId="31" borderId="4" xfId="0" quotePrefix="1" applyFont="1" applyFill="1" applyBorder="1" applyAlignment="1">
      <alignment horizontal="center" vertical="center"/>
    </xf>
    <xf numFmtId="164" fontId="3" fillId="31" borderId="4" xfId="0" applyNumberFormat="1" applyFont="1" applyFill="1" applyBorder="1" applyAlignment="1">
      <alignment horizontal="center" vertical="center"/>
    </xf>
    <xf numFmtId="166" fontId="3" fillId="31" borderId="4" xfId="9" applyNumberFormat="1" applyFont="1" applyFill="1" applyBorder="1" applyAlignment="1">
      <alignment horizontal="center" vertical="center"/>
    </xf>
    <xf numFmtId="167" fontId="3" fillId="31" borderId="4" xfId="0" applyNumberFormat="1" applyFont="1" applyFill="1" applyBorder="1" applyAlignment="1">
      <alignment horizontal="center" vertical="center"/>
    </xf>
    <xf numFmtId="0" fontId="3" fillId="32" borderId="4" xfId="0" applyFont="1" applyFill="1" applyBorder="1" applyAlignment="1">
      <alignment horizontal="center" vertical="center"/>
    </xf>
    <xf numFmtId="0" fontId="12" fillId="31" borderId="4" xfId="0" applyFont="1" applyFill="1" applyBorder="1" applyAlignment="1">
      <alignment horizontal="left" vertical="center" wrapText="1"/>
    </xf>
    <xf numFmtId="0" fontId="3" fillId="31" borderId="4" xfId="2" applyFill="1" applyBorder="1" applyAlignment="1">
      <alignment vertical="center"/>
    </xf>
    <xf numFmtId="166" fontId="5" fillId="31" borderId="0" xfId="2" applyNumberFormat="1" applyFont="1" applyFill="1" applyAlignment="1">
      <alignment horizontal="center" vertical="center"/>
    </xf>
    <xf numFmtId="0" fontId="3" fillId="31" borderId="0" xfId="12" applyFill="1" applyAlignment="1">
      <alignment horizontal="center" vertical="center"/>
    </xf>
    <xf numFmtId="0" fontId="3" fillId="31" borderId="4" xfId="12" applyFill="1" applyBorder="1" applyAlignment="1">
      <alignment horizontal="center" vertical="center"/>
    </xf>
    <xf numFmtId="0" fontId="8" fillId="31" borderId="4" xfId="2" applyFont="1" applyFill="1" applyBorder="1" applyAlignment="1">
      <alignment horizontal="center" vertical="center"/>
    </xf>
    <xf numFmtId="0" fontId="3" fillId="31" borderId="4" xfId="2" applyFill="1" applyBorder="1" applyAlignment="1">
      <alignment horizontal="left" vertical="center" wrapText="1"/>
    </xf>
    <xf numFmtId="166" fontId="8" fillId="31" borderId="4" xfId="2" applyNumberFormat="1" applyFont="1" applyFill="1" applyBorder="1" applyAlignment="1">
      <alignment horizontal="center" vertical="center"/>
    </xf>
    <xf numFmtId="167" fontId="3" fillId="31" borderId="4" xfId="2" applyNumberFormat="1" applyFill="1" applyBorder="1" applyAlignment="1">
      <alignment horizontal="center" vertical="center"/>
    </xf>
    <xf numFmtId="164" fontId="11" fillId="31" borderId="4" xfId="0" applyNumberFormat="1" applyFont="1" applyFill="1" applyBorder="1" applyAlignment="1">
      <alignment horizontal="center" vertical="center" wrapText="1"/>
    </xf>
    <xf numFmtId="0" fontId="10" fillId="31" borderId="4" xfId="0" applyFont="1" applyFill="1" applyBorder="1" applyAlignment="1">
      <alignment vertical="center" wrapText="1"/>
    </xf>
    <xf numFmtId="164" fontId="3" fillId="31" borderId="0" xfId="0" applyNumberFormat="1" applyFont="1" applyFill="1" applyAlignment="1">
      <alignment horizontal="left" vertical="center" wrapText="1"/>
    </xf>
    <xf numFmtId="0" fontId="3" fillId="31" borderId="0" xfId="0" applyFont="1" applyFill="1" applyAlignment="1">
      <alignment horizontal="left" vertical="center"/>
    </xf>
    <xf numFmtId="49" fontId="3" fillId="31" borderId="0" xfId="2" applyNumberFormat="1" applyFill="1" applyAlignment="1">
      <alignment horizontal="center" vertical="center" wrapText="1"/>
    </xf>
    <xf numFmtId="164" fontId="3" fillId="31" borderId="0" xfId="2" applyNumberFormat="1" applyFill="1" applyAlignment="1">
      <alignment horizontal="left" vertical="center" wrapText="1"/>
    </xf>
    <xf numFmtId="164" fontId="3" fillId="31" borderId="0" xfId="0" quotePrefix="1" applyNumberFormat="1" applyFont="1" applyFill="1" applyAlignment="1">
      <alignment horizontal="center" vertical="center"/>
    </xf>
    <xf numFmtId="166" fontId="3" fillId="31" borderId="4" xfId="2" applyNumberFormat="1" applyFill="1" applyBorder="1" applyAlignment="1">
      <alignment horizontal="center" vertical="center"/>
    </xf>
    <xf numFmtId="164" fontId="3" fillId="31" borderId="4" xfId="2" applyNumberFormat="1" applyFill="1" applyBorder="1" applyAlignment="1">
      <alignment horizontal="center" vertical="center"/>
    </xf>
    <xf numFmtId="165" fontId="3" fillId="31" borderId="4" xfId="2" applyNumberFormat="1" applyFill="1" applyBorder="1" applyAlignment="1">
      <alignment horizontal="center" vertical="center" wrapText="1"/>
    </xf>
    <xf numFmtId="0" fontId="12" fillId="31" borderId="4" xfId="0" applyFont="1" applyFill="1" applyBorder="1" applyAlignment="1">
      <alignment vertical="center" wrapText="1"/>
    </xf>
    <xf numFmtId="164" fontId="57" fillId="32" borderId="0" xfId="0" applyNumberFormat="1" applyFont="1" applyFill="1" applyAlignment="1">
      <alignment horizontal="center" vertical="center"/>
    </xf>
    <xf numFmtId="0" fontId="3" fillId="31" borderId="0" xfId="2" applyFill="1" applyAlignment="1">
      <alignment horizontal="left" vertical="center" wrapText="1"/>
    </xf>
    <xf numFmtId="166" fontId="8" fillId="31" borderId="0" xfId="2" applyNumberFormat="1" applyFont="1" applyFill="1" applyAlignment="1">
      <alignment horizontal="center" vertical="center"/>
    </xf>
    <xf numFmtId="165" fontId="3" fillId="31" borderId="4" xfId="0" applyNumberFormat="1" applyFont="1" applyFill="1" applyBorder="1" applyAlignment="1">
      <alignment horizontal="center" vertical="center"/>
    </xf>
    <xf numFmtId="164" fontId="57" fillId="32" borderId="4" xfId="0" applyNumberFormat="1" applyFont="1" applyFill="1" applyBorder="1" applyAlignment="1">
      <alignment horizontal="center" vertical="center"/>
    </xf>
    <xf numFmtId="164" fontId="3" fillId="7" borderId="0" xfId="2" applyNumberFormat="1" applyFill="1" applyAlignment="1">
      <alignment horizontal="center" vertical="center" wrapText="1"/>
    </xf>
    <xf numFmtId="49" fontId="3" fillId="7" borderId="0" xfId="0" quotePrefix="1" applyNumberFormat="1" applyFont="1" applyFill="1" applyAlignment="1">
      <alignment horizontal="center" vertical="center" wrapText="1"/>
    </xf>
    <xf numFmtId="166" fontId="11" fillId="7" borderId="0" xfId="2" applyNumberFormat="1" applyFont="1" applyFill="1" applyAlignment="1">
      <alignment horizontal="center" vertical="center"/>
    </xf>
    <xf numFmtId="0" fontId="11" fillId="7" borderId="0" xfId="0" quotePrefix="1" applyFont="1" applyFill="1" applyAlignment="1">
      <alignment horizontal="center" vertical="center"/>
    </xf>
    <xf numFmtId="0" fontId="3" fillId="7" borderId="0" xfId="0" applyFont="1" applyFill="1" applyAlignment="1">
      <alignment horizontal="left" vertical="center" wrapText="1"/>
    </xf>
    <xf numFmtId="166" fontId="11" fillId="7" borderId="0" xfId="0" applyNumberFormat="1" applyFont="1" applyFill="1" applyAlignment="1">
      <alignment horizontal="center" vertical="center"/>
    </xf>
    <xf numFmtId="166" fontId="11" fillId="7" borderId="0" xfId="9" applyNumberFormat="1" applyFont="1" applyFill="1" applyAlignment="1">
      <alignment horizontal="center" vertical="center"/>
    </xf>
    <xf numFmtId="0" fontId="4" fillId="7" borderId="0" xfId="0" applyFont="1" applyFill="1" applyAlignment="1">
      <alignment vertical="center" wrapText="1"/>
    </xf>
    <xf numFmtId="0" fontId="11" fillId="31" borderId="0" xfId="0" applyFont="1" applyFill="1" applyAlignment="1">
      <alignment horizontal="left" vertical="center" wrapText="1"/>
    </xf>
    <xf numFmtId="166" fontId="11" fillId="31" borderId="0" xfId="9" applyNumberFormat="1" applyFont="1" applyFill="1" applyAlignment="1">
      <alignment horizontal="center" vertical="center" wrapText="1"/>
    </xf>
    <xf numFmtId="0" fontId="3" fillId="31" borderId="4" xfId="12" applyFill="1" applyBorder="1" applyAlignment="1">
      <alignment horizontal="center" vertical="center" wrapText="1"/>
    </xf>
    <xf numFmtId="0" fontId="8" fillId="31" borderId="0" xfId="0" applyFont="1" applyFill="1" applyAlignment="1">
      <alignment horizontal="left" vertical="center" wrapText="1"/>
    </xf>
    <xf numFmtId="166" fontId="8" fillId="31" borderId="0" xfId="9" applyNumberFormat="1" applyFont="1" applyFill="1" applyAlignment="1">
      <alignment horizontal="center" vertical="center" wrapText="1"/>
    </xf>
    <xf numFmtId="49" fontId="8" fillId="31" borderId="0" xfId="0" quotePrefix="1" applyNumberFormat="1" applyFont="1" applyFill="1" applyAlignment="1">
      <alignment horizontal="center" vertical="center" wrapText="1"/>
    </xf>
    <xf numFmtId="165" fontId="3" fillId="31" borderId="0" xfId="2" applyNumberFormat="1" applyFill="1" applyAlignment="1">
      <alignment horizontal="center" vertical="center"/>
    </xf>
    <xf numFmtId="164" fontId="3" fillId="31" borderId="4" xfId="0" applyNumberFormat="1" applyFont="1" applyFill="1" applyBorder="1" applyAlignment="1">
      <alignment horizontal="center" vertical="center" wrapText="1"/>
    </xf>
    <xf numFmtId="0" fontId="3" fillId="32" borderId="4" xfId="0" applyFont="1" applyFill="1" applyBorder="1" applyAlignment="1">
      <alignment horizontal="center" vertical="center" wrapText="1"/>
    </xf>
    <xf numFmtId="165" fontId="3" fillId="31" borderId="0" xfId="2" applyNumberFormat="1" applyFill="1" applyAlignment="1">
      <alignment horizontal="center" vertical="center" wrapText="1"/>
    </xf>
    <xf numFmtId="0" fontId="12" fillId="31" borderId="0" xfId="2" applyFont="1" applyFill="1" applyAlignment="1">
      <alignment vertical="center" wrapText="1"/>
    </xf>
    <xf numFmtId="0" fontId="3" fillId="31" borderId="0" xfId="2" applyFill="1" applyAlignment="1">
      <alignment horizontal="left" vertical="center"/>
    </xf>
    <xf numFmtId="0" fontId="3" fillId="31" borderId="0" xfId="12" applyFill="1" applyAlignment="1">
      <alignment horizontal="center" vertical="center" wrapText="1"/>
    </xf>
    <xf numFmtId="165" fontId="3" fillId="31" borderId="0" xfId="0" applyNumberFormat="1" applyFont="1" applyFill="1" applyAlignment="1">
      <alignment horizontal="center" vertical="center" wrapText="1"/>
    </xf>
    <xf numFmtId="0" fontId="10" fillId="31" borderId="0" xfId="0" applyFont="1" applyFill="1" applyAlignment="1">
      <alignment horizontal="left" vertical="center" wrapText="1"/>
    </xf>
    <xf numFmtId="0" fontId="11" fillId="32" borderId="0" xfId="0" applyFont="1" applyFill="1" applyAlignment="1">
      <alignment horizontal="center" vertical="center"/>
    </xf>
    <xf numFmtId="49" fontId="3" fillId="31" borderId="0" xfId="12" applyNumberFormat="1" applyFill="1" applyAlignment="1">
      <alignment horizontal="center" vertical="center" wrapText="1"/>
    </xf>
    <xf numFmtId="165" fontId="3" fillId="31" borderId="0" xfId="0" applyNumberFormat="1" applyFont="1" applyFill="1" applyAlignment="1">
      <alignment horizontal="center" vertical="center"/>
    </xf>
    <xf numFmtId="167" fontId="12" fillId="31" borderId="4" xfId="0" applyNumberFormat="1" applyFont="1" applyFill="1" applyBorder="1" applyAlignment="1">
      <alignment horizontal="left" vertical="center" wrapText="1"/>
    </xf>
    <xf numFmtId="0" fontId="8" fillId="31" borderId="4" xfId="0" applyFont="1" applyFill="1" applyBorder="1" applyAlignment="1">
      <alignment horizontal="center" vertical="center"/>
    </xf>
    <xf numFmtId="0" fontId="11" fillId="31" borderId="0" xfId="2" applyFont="1" applyFill="1" applyAlignment="1">
      <alignment horizontal="center" vertical="center"/>
    </xf>
    <xf numFmtId="0" fontId="8" fillId="31" borderId="0" xfId="0" applyFont="1" applyFill="1" applyAlignment="1">
      <alignment horizontal="center" vertical="center" wrapText="1"/>
    </xf>
    <xf numFmtId="0" fontId="5" fillId="31" borderId="0" xfId="2" applyFont="1" applyFill="1" applyAlignment="1">
      <alignment horizontal="center" vertical="center"/>
    </xf>
    <xf numFmtId="44" fontId="3" fillId="31" borderId="0" xfId="9" applyFont="1" applyFill="1" applyAlignment="1">
      <alignment horizontal="center" vertical="center"/>
    </xf>
    <xf numFmtId="164" fontId="3" fillId="31" borderId="4" xfId="2" applyNumberFormat="1" applyFill="1" applyBorder="1" applyAlignment="1">
      <alignment horizontal="center" vertical="center" wrapText="1"/>
    </xf>
    <xf numFmtId="49" fontId="3" fillId="31" borderId="4" xfId="0" applyNumberFormat="1" applyFont="1" applyFill="1" applyBorder="1" applyAlignment="1">
      <alignment horizontal="center" vertical="center"/>
    </xf>
    <xf numFmtId="166" fontId="11" fillId="31" borderId="0" xfId="9" applyNumberFormat="1" applyFont="1" applyFill="1" applyAlignment="1">
      <alignment horizontal="center" vertical="center"/>
    </xf>
    <xf numFmtId="0" fontId="11" fillId="32" borderId="0" xfId="0" applyFont="1" applyFill="1" applyAlignment="1">
      <alignment horizontal="center" vertical="center" wrapText="1"/>
    </xf>
    <xf numFmtId="0" fontId="11" fillId="31" borderId="0" xfId="0" applyFont="1" applyFill="1" applyAlignment="1">
      <alignment horizontal="center" vertical="center" wrapText="1"/>
    </xf>
    <xf numFmtId="49" fontId="3" fillId="31" borderId="0" xfId="0" quotePrefix="1" applyNumberFormat="1" applyFont="1" applyFill="1" applyAlignment="1">
      <alignment horizontal="center" vertical="center" wrapText="1"/>
    </xf>
    <xf numFmtId="0" fontId="12" fillId="31" borderId="7" xfId="0" applyFont="1" applyFill="1" applyBorder="1" applyAlignment="1">
      <alignment vertical="center" wrapText="1"/>
    </xf>
    <xf numFmtId="164" fontId="3" fillId="31" borderId="0" xfId="2" applyNumberFormat="1" applyFill="1" applyAlignment="1">
      <alignment vertical="center"/>
    </xf>
    <xf numFmtId="0" fontId="11" fillId="31" borderId="4" xfId="0" applyFont="1" applyFill="1" applyBorder="1" applyAlignment="1">
      <alignment horizontal="center" vertical="center" wrapText="1"/>
    </xf>
    <xf numFmtId="0" fontId="8" fillId="31" borderId="4" xfId="0" applyFont="1" applyFill="1" applyBorder="1" applyAlignment="1">
      <alignment horizontal="center" vertical="center" wrapText="1"/>
    </xf>
    <xf numFmtId="0" fontId="3" fillId="0" borderId="0" xfId="12" applyAlignment="1">
      <alignment horizontal="center" vertical="center"/>
    </xf>
    <xf numFmtId="166" fontId="3" fillId="0" borderId="0" xfId="9" applyNumberFormat="1" applyFont="1" applyAlignment="1">
      <alignment horizontal="center" vertical="center" wrapText="1"/>
    </xf>
    <xf numFmtId="166" fontId="3" fillId="0" borderId="0" xfId="9" quotePrefix="1" applyNumberFormat="1" applyFont="1" applyAlignment="1">
      <alignment horizontal="center" vertical="center" wrapText="1"/>
    </xf>
    <xf numFmtId="166" fontId="3" fillId="0" borderId="0" xfId="9" applyNumberFormat="1" applyFont="1" applyFill="1" applyAlignment="1">
      <alignment horizontal="center" vertical="center"/>
    </xf>
    <xf numFmtId="49" fontId="3" fillId="0" borderId="0" xfId="2" applyNumberFormat="1" applyAlignment="1">
      <alignment horizontal="center" vertical="center" wrapText="1"/>
    </xf>
    <xf numFmtId="49" fontId="3" fillId="0" borderId="0" xfId="0" quotePrefix="1" applyNumberFormat="1" applyFont="1" applyAlignment="1">
      <alignment horizontal="center" vertical="center" wrapText="1"/>
    </xf>
    <xf numFmtId="0" fontId="3" fillId="0" borderId="4" xfId="2" applyBorder="1" applyAlignment="1">
      <alignment horizontal="center" vertical="center" wrapText="1"/>
    </xf>
    <xf numFmtId="0" fontId="3" fillId="0" borderId="4" xfId="12" applyBorder="1" applyAlignment="1">
      <alignment horizontal="center" vertical="center"/>
    </xf>
    <xf numFmtId="49" fontId="3" fillId="0" borderId="4" xfId="0" applyNumberFormat="1" applyFont="1" applyBorder="1" applyAlignment="1">
      <alignment horizontal="center" vertical="center" wrapText="1"/>
    </xf>
    <xf numFmtId="0" fontId="3" fillId="0" borderId="4" xfId="0" applyFont="1" applyBorder="1" applyAlignment="1">
      <alignment horizontal="center" vertical="center" wrapText="1"/>
    </xf>
    <xf numFmtId="0" fontId="3" fillId="0" borderId="4" xfId="2" quotePrefix="1" applyBorder="1" applyAlignment="1">
      <alignment horizontal="center" vertical="center"/>
    </xf>
    <xf numFmtId="0" fontId="3" fillId="0" borderId="4" xfId="0" applyFont="1" applyBorder="1" applyAlignment="1">
      <alignment horizontal="left" vertical="center" wrapText="1"/>
    </xf>
    <xf numFmtId="166" fontId="3" fillId="0" borderId="4" xfId="9" applyNumberFormat="1" applyFont="1" applyBorder="1" applyAlignment="1">
      <alignment horizontal="center" vertical="center" wrapText="1"/>
    </xf>
    <xf numFmtId="166" fontId="3" fillId="0" borderId="4" xfId="9" quotePrefix="1" applyNumberFormat="1" applyFont="1" applyBorder="1" applyAlignment="1">
      <alignment horizontal="center" vertical="center" wrapText="1"/>
    </xf>
    <xf numFmtId="166" fontId="3" fillId="0" borderId="4" xfId="2" applyNumberFormat="1" applyBorder="1" applyAlignment="1">
      <alignment horizontal="center" vertical="center"/>
    </xf>
    <xf numFmtId="166" fontId="8" fillId="0" borderId="4" xfId="0" applyNumberFormat="1" applyFont="1" applyBorder="1" applyAlignment="1">
      <alignment horizontal="center" vertical="center"/>
    </xf>
    <xf numFmtId="166" fontId="3" fillId="0" borderId="4" xfId="0" applyNumberFormat="1" applyFont="1" applyBorder="1" applyAlignment="1">
      <alignment horizontal="center" vertical="center"/>
    </xf>
    <xf numFmtId="164" fontId="3" fillId="0" borderId="4" xfId="0" applyNumberFormat="1" applyFont="1" applyBorder="1" applyAlignment="1">
      <alignment horizontal="center" vertical="center"/>
    </xf>
    <xf numFmtId="166" fontId="3" fillId="0" borderId="4" xfId="9" applyNumberFormat="1" applyFont="1" applyFill="1" applyBorder="1" applyAlignment="1">
      <alignment horizontal="center" vertical="center"/>
    </xf>
    <xf numFmtId="0" fontId="3" fillId="3" borderId="4" xfId="0" applyFont="1" applyFill="1" applyBorder="1" applyAlignment="1">
      <alignment horizontal="center" vertical="center"/>
    </xf>
    <xf numFmtId="0" fontId="12" fillId="0" borderId="4" xfId="0" applyFont="1" applyBorder="1" applyAlignment="1">
      <alignment vertical="center" wrapText="1"/>
    </xf>
    <xf numFmtId="0" fontId="3" fillId="0" borderId="4" xfId="2" applyBorder="1" applyAlignment="1">
      <alignment vertical="center"/>
    </xf>
    <xf numFmtId="49" fontId="3" fillId="0" borderId="4" xfId="0" applyNumberFormat="1" applyFont="1" applyBorder="1" applyAlignment="1">
      <alignment horizontal="center" vertical="center"/>
    </xf>
    <xf numFmtId="0" fontId="11" fillId="0" borderId="4" xfId="0" applyFont="1" applyBorder="1" applyAlignment="1">
      <alignment horizontal="center" vertical="center"/>
    </xf>
    <xf numFmtId="0" fontId="3" fillId="0" borderId="4" xfId="0" quotePrefix="1" applyFont="1" applyBorder="1" applyAlignment="1">
      <alignment horizontal="center" vertical="center" wrapText="1"/>
    </xf>
    <xf numFmtId="166" fontId="11" fillId="0" borderId="4" xfId="0" applyNumberFormat="1" applyFont="1" applyBorder="1" applyAlignment="1">
      <alignment horizontal="center" vertical="center"/>
    </xf>
    <xf numFmtId="165" fontId="3" fillId="0" borderId="4" xfId="0" applyNumberFormat="1" applyFont="1" applyBorder="1" applyAlignment="1">
      <alignment horizontal="center" vertical="center"/>
    </xf>
    <xf numFmtId="0" fontId="3" fillId="0" borderId="4" xfId="0" applyFont="1" applyBorder="1" applyAlignment="1">
      <alignment horizontal="center" vertical="center"/>
    </xf>
    <xf numFmtId="166" fontId="3" fillId="0" borderId="0" xfId="9" quotePrefix="1" applyNumberFormat="1" applyFont="1" applyFill="1" applyAlignment="1">
      <alignment horizontal="center" vertical="center" wrapText="1"/>
    </xf>
    <xf numFmtId="0" fontId="3" fillId="0" borderId="4" xfId="2" quotePrefix="1" applyBorder="1" applyAlignment="1">
      <alignment horizontal="center" vertical="center" wrapText="1"/>
    </xf>
    <xf numFmtId="164" fontId="11" fillId="6" borderId="0" xfId="0" applyNumberFormat="1" applyFont="1" applyFill="1" applyAlignment="1">
      <alignment horizontal="center" vertical="center" wrapText="1"/>
    </xf>
    <xf numFmtId="166" fontId="3" fillId="0" borderId="0" xfId="9" quotePrefix="1" applyNumberFormat="1" applyFont="1" applyAlignment="1">
      <alignment horizontal="center" vertical="center"/>
    </xf>
    <xf numFmtId="166" fontId="3" fillId="0" borderId="4" xfId="9" applyNumberFormat="1" applyFont="1" applyBorder="1" applyAlignment="1">
      <alignment horizontal="center" vertical="center"/>
    </xf>
    <xf numFmtId="166" fontId="3" fillId="2" borderId="4" xfId="2" applyNumberFormat="1" applyFill="1" applyBorder="1" applyAlignment="1">
      <alignment horizontal="center" vertical="center"/>
    </xf>
    <xf numFmtId="49" fontId="3" fillId="0" borderId="0" xfId="2" quotePrefix="1" applyNumberFormat="1" applyAlignment="1">
      <alignment horizontal="center" vertical="center" wrapText="1"/>
    </xf>
    <xf numFmtId="0" fontId="3" fillId="2" borderId="0" xfId="0" applyFont="1" applyFill="1" applyAlignment="1">
      <alignment horizontal="left" vertical="center" wrapText="1"/>
    </xf>
    <xf numFmtId="166" fontId="3" fillId="0" borderId="0" xfId="9" applyNumberFormat="1" applyFont="1" applyFill="1" applyAlignment="1">
      <alignment horizontal="center" vertical="center" wrapText="1"/>
    </xf>
    <xf numFmtId="44" fontId="3" fillId="0" borderId="0" xfId="9" applyFont="1" applyAlignment="1">
      <alignment horizontal="center" vertical="center"/>
    </xf>
    <xf numFmtId="0" fontId="8" fillId="14" borderId="0" xfId="11" applyFont="1" applyFill="1"/>
    <xf numFmtId="0" fontId="9" fillId="14" borderId="0" xfId="11" applyFont="1" applyFill="1"/>
    <xf numFmtId="0" fontId="8" fillId="0" borderId="2" xfId="11" applyFont="1" applyBorder="1"/>
    <xf numFmtId="0" fontId="12" fillId="2" borderId="0" xfId="0" applyFont="1" applyFill="1" applyAlignment="1">
      <alignment horizontal="left" vertical="center" wrapText="1"/>
    </xf>
    <xf numFmtId="0" fontId="3" fillId="3" borderId="0" xfId="2" applyFill="1" applyAlignment="1">
      <alignment horizontal="center" vertical="center" wrapText="1"/>
    </xf>
    <xf numFmtId="166" fontId="3" fillId="0" borderId="0" xfId="14" applyNumberFormat="1" applyFont="1" applyAlignment="1">
      <alignment horizontal="center" vertical="center" wrapText="1"/>
    </xf>
    <xf numFmtId="166" fontId="3" fillId="0" borderId="0" xfId="14" quotePrefix="1" applyNumberFormat="1" applyFont="1" applyAlignment="1">
      <alignment horizontal="center" vertical="center" wrapText="1"/>
    </xf>
    <xf numFmtId="166" fontId="8" fillId="0" borderId="0" xfId="14" applyNumberFormat="1" applyFont="1" applyAlignment="1">
      <alignment horizontal="center" vertical="center" wrapText="1"/>
    </xf>
    <xf numFmtId="166" fontId="3" fillId="0" borderId="0" xfId="14" applyNumberFormat="1" applyFont="1" applyFill="1" applyAlignment="1">
      <alignment horizontal="center" vertical="center"/>
    </xf>
    <xf numFmtId="49" fontId="3" fillId="8" borderId="0" xfId="0" applyNumberFormat="1" applyFont="1" applyFill="1" applyAlignment="1">
      <alignment horizontal="center" vertical="center" wrapText="1"/>
    </xf>
    <xf numFmtId="166" fontId="3" fillId="8" borderId="0" xfId="0" applyNumberFormat="1" applyFont="1" applyFill="1" applyAlignment="1">
      <alignment horizontal="center" vertical="center"/>
    </xf>
    <xf numFmtId="166" fontId="3" fillId="0" borderId="0" xfId="14" applyNumberFormat="1" applyFont="1" applyFill="1" applyBorder="1" applyAlignment="1">
      <alignment horizontal="center" vertical="center" wrapText="1"/>
    </xf>
    <xf numFmtId="166" fontId="3" fillId="0" borderId="0" xfId="14" quotePrefix="1" applyNumberFormat="1" applyFont="1" applyFill="1" applyBorder="1" applyAlignment="1">
      <alignment horizontal="center" vertical="center" wrapText="1"/>
    </xf>
    <xf numFmtId="0" fontId="3" fillId="0" borderId="0" xfId="12" applyAlignment="1">
      <alignment horizontal="center" vertical="center" wrapText="1"/>
    </xf>
    <xf numFmtId="49" fontId="3" fillId="0" borderId="4" xfId="2" quotePrefix="1" applyNumberFormat="1" applyBorder="1" applyAlignment="1">
      <alignment horizontal="center" vertical="center" wrapText="1"/>
    </xf>
    <xf numFmtId="0" fontId="4" fillId="0" borderId="0" xfId="12" applyFont="1" applyAlignment="1">
      <alignment horizontal="left" vertical="center" wrapText="1"/>
    </xf>
    <xf numFmtId="0" fontId="4" fillId="0" borderId="0" xfId="12" applyFont="1" applyAlignment="1">
      <alignment horizontal="center" vertical="center" wrapText="1"/>
    </xf>
    <xf numFmtId="0" fontId="3" fillId="0" borderId="0" xfId="12" applyAlignment="1">
      <alignment horizontal="left" vertical="center" wrapText="1"/>
    </xf>
    <xf numFmtId="0" fontId="3" fillId="0" borderId="0" xfId="12" quotePrefix="1" applyAlignment="1">
      <alignment horizontal="left" vertical="center" wrapText="1"/>
    </xf>
    <xf numFmtId="0" fontId="3" fillId="9" borderId="0" xfId="2" applyFill="1" applyAlignment="1">
      <alignment horizontal="left" vertical="center" wrapText="1"/>
    </xf>
    <xf numFmtId="0" fontId="12" fillId="0" borderId="0" xfId="12" applyFont="1" applyAlignment="1">
      <alignment horizontal="left" vertical="center" wrapText="1"/>
    </xf>
    <xf numFmtId="0" fontId="3" fillId="4" borderId="0" xfId="12" applyFill="1" applyAlignment="1">
      <alignment horizontal="center" vertical="center" wrapText="1"/>
    </xf>
    <xf numFmtId="0" fontId="3" fillId="0" borderId="0" xfId="0" quotePrefix="1" applyFont="1" applyAlignment="1">
      <alignment horizontal="left" vertical="center" wrapText="1"/>
    </xf>
    <xf numFmtId="0" fontId="3" fillId="9" borderId="0" xfId="0" applyFont="1" applyFill="1" applyAlignment="1">
      <alignment horizontal="left" vertical="center" wrapText="1"/>
    </xf>
    <xf numFmtId="0" fontId="3" fillId="2" borderId="0" xfId="0" quotePrefix="1" applyFont="1" applyFill="1" applyAlignment="1">
      <alignment horizontal="left" vertical="center" wrapText="1"/>
    </xf>
    <xf numFmtId="0" fontId="3" fillId="29" borderId="0" xfId="0" applyFont="1" applyFill="1" applyAlignment="1">
      <alignment horizontal="left" vertical="center" wrapText="1"/>
    </xf>
    <xf numFmtId="0" fontId="3" fillId="3" borderId="0" xfId="0" applyFont="1" applyFill="1" applyAlignment="1">
      <alignment horizontal="center" vertical="center" wrapText="1"/>
    </xf>
    <xf numFmtId="0" fontId="3" fillId="11" borderId="0" xfId="0" applyFont="1" applyFill="1" applyAlignment="1">
      <alignment horizontal="left" vertical="center" wrapText="1"/>
    </xf>
    <xf numFmtId="0" fontId="3" fillId="8" borderId="0" xfId="0" applyFont="1" applyFill="1" applyAlignment="1">
      <alignment horizontal="left" vertical="center" wrapText="1"/>
    </xf>
    <xf numFmtId="0" fontId="3" fillId="11" borderId="0" xfId="12" applyFill="1" applyAlignment="1">
      <alignment horizontal="left" vertical="center" wrapText="1"/>
    </xf>
    <xf numFmtId="167" fontId="12" fillId="0" borderId="0" xfId="12" applyNumberFormat="1" applyFont="1" applyAlignment="1">
      <alignment horizontal="left" vertical="center" wrapText="1"/>
    </xf>
    <xf numFmtId="0" fontId="3" fillId="3" borderId="0" xfId="12" applyFill="1" applyAlignment="1">
      <alignment horizontal="center" vertical="center" wrapText="1"/>
    </xf>
    <xf numFmtId="0" fontId="3" fillId="2" borderId="0" xfId="12" applyFill="1" applyAlignment="1">
      <alignment horizontal="left" vertical="center" wrapText="1"/>
    </xf>
    <xf numFmtId="0" fontId="3" fillId="29" borderId="0" xfId="12" applyFill="1" applyAlignment="1">
      <alignment horizontal="left" vertical="center" wrapText="1"/>
    </xf>
    <xf numFmtId="0" fontId="10" fillId="0" borderId="0" xfId="12" applyFont="1" applyAlignment="1">
      <alignment horizontal="left" vertical="center" wrapText="1"/>
    </xf>
    <xf numFmtId="0" fontId="3" fillId="8" borderId="0" xfId="12" applyFill="1" applyAlignment="1">
      <alignment horizontal="left" vertical="center" wrapText="1"/>
    </xf>
    <xf numFmtId="0" fontId="11" fillId="0" borderId="0" xfId="12" applyFont="1" applyAlignment="1">
      <alignment horizontal="left" vertical="center" wrapText="1"/>
    </xf>
    <xf numFmtId="0" fontId="3" fillId="9" borderId="0" xfId="12" applyFill="1" applyAlignment="1">
      <alignment horizontal="left" vertical="center" wrapText="1"/>
    </xf>
    <xf numFmtId="0" fontId="11" fillId="3" borderId="0" xfId="12" applyFont="1" applyFill="1" applyAlignment="1">
      <alignment horizontal="center" vertical="center" wrapText="1"/>
    </xf>
    <xf numFmtId="0" fontId="8" fillId="0" borderId="0" xfId="0" applyFont="1" applyAlignment="1">
      <alignment horizontal="left" vertical="center"/>
    </xf>
    <xf numFmtId="0" fontId="8" fillId="3" borderId="0" xfId="0" applyFont="1" applyFill="1" applyAlignment="1">
      <alignment horizontal="center" vertical="center"/>
    </xf>
    <xf numFmtId="0" fontId="3" fillId="11" borderId="0" xfId="0" quotePrefix="1" applyFont="1" applyFill="1" applyAlignment="1">
      <alignment horizontal="left" vertical="center" wrapText="1"/>
    </xf>
    <xf numFmtId="0" fontId="5" fillId="0" borderId="0" xfId="0" applyFont="1" applyAlignment="1">
      <alignment horizontal="left" vertical="center" wrapText="1"/>
    </xf>
    <xf numFmtId="0" fontId="10" fillId="0" borderId="0" xfId="0" applyFont="1" applyAlignment="1">
      <alignment horizontal="left" vertical="center" wrapText="1"/>
    </xf>
    <xf numFmtId="0" fontId="3" fillId="2" borderId="0" xfId="12" quotePrefix="1" applyFill="1" applyAlignment="1">
      <alignment horizontal="left" vertical="center" wrapText="1"/>
    </xf>
    <xf numFmtId="0" fontId="11" fillId="4" borderId="0" xfId="0" applyFont="1" applyFill="1" applyAlignment="1">
      <alignment horizontal="center" vertical="center" wrapText="1"/>
    </xf>
    <xf numFmtId="0" fontId="8" fillId="0" borderId="0" xfId="0" quotePrefix="1" applyFont="1" applyAlignment="1">
      <alignment horizontal="left" vertical="center" wrapText="1"/>
    </xf>
    <xf numFmtId="0" fontId="3" fillId="5" borderId="0" xfId="12" applyFill="1" applyAlignment="1">
      <alignment horizontal="left" vertical="center" wrapText="1"/>
    </xf>
    <xf numFmtId="0" fontId="3" fillId="0" borderId="0" xfId="0" quotePrefix="1" applyFont="1" applyAlignment="1">
      <alignment vertical="center" wrapText="1"/>
    </xf>
    <xf numFmtId="0" fontId="3" fillId="2" borderId="0" xfId="0" applyFont="1" applyFill="1" applyAlignment="1">
      <alignment vertical="center" wrapText="1"/>
    </xf>
    <xf numFmtId="0" fontId="3" fillId="9" borderId="0" xfId="0" applyFont="1" applyFill="1" applyAlignment="1">
      <alignment vertical="center" wrapText="1"/>
    </xf>
    <xf numFmtId="0" fontId="11" fillId="3" borderId="0" xfId="0" applyFont="1" applyFill="1" applyAlignment="1">
      <alignment horizontal="center" vertical="center" wrapText="1"/>
    </xf>
    <xf numFmtId="0" fontId="3" fillId="2" borderId="0" xfId="0" applyFont="1" applyFill="1" applyAlignment="1">
      <alignment horizontal="left" wrapText="1"/>
    </xf>
    <xf numFmtId="0" fontId="3" fillId="0" borderId="0" xfId="0" quotePrefix="1" applyFont="1" applyAlignment="1">
      <alignment horizontal="left" vertical="center"/>
    </xf>
    <xf numFmtId="0" fontId="5" fillId="0" borderId="0" xfId="0" quotePrefix="1" applyFont="1" applyAlignment="1">
      <alignment horizontal="left" vertical="center" wrapText="1"/>
    </xf>
    <xf numFmtId="0" fontId="4" fillId="0" borderId="0" xfId="0" applyFont="1" applyAlignment="1">
      <alignment horizontal="left" vertical="center" wrapText="1"/>
    </xf>
    <xf numFmtId="0" fontId="3" fillId="29" borderId="0" xfId="0" applyFont="1" applyFill="1" applyAlignment="1">
      <alignment vertical="center" wrapText="1"/>
    </xf>
    <xf numFmtId="0" fontId="11" fillId="4" borderId="0" xfId="12" applyFont="1" applyFill="1" applyAlignment="1">
      <alignment horizontal="center" vertical="center" wrapText="1"/>
    </xf>
    <xf numFmtId="0" fontId="8" fillId="0" borderId="0" xfId="12" applyFont="1" applyAlignment="1">
      <alignment horizontal="left" vertical="center" wrapText="1"/>
    </xf>
    <xf numFmtId="0" fontId="8" fillId="0" borderId="0" xfId="12" quotePrefix="1" applyFont="1" applyAlignment="1">
      <alignment horizontal="left" vertical="center" wrapText="1"/>
    </xf>
    <xf numFmtId="0" fontId="12" fillId="0" borderId="0" xfId="0" applyFont="1" applyAlignment="1">
      <alignment horizontal="left" vertical="center"/>
    </xf>
    <xf numFmtId="0" fontId="8" fillId="4" borderId="0" xfId="0" applyFont="1" applyFill="1" applyAlignment="1">
      <alignment horizontal="center" vertical="center"/>
    </xf>
    <xf numFmtId="0" fontId="8" fillId="9" borderId="0" xfId="0" applyFont="1" applyFill="1" applyAlignment="1">
      <alignment horizontal="left" vertical="center" wrapText="1"/>
    </xf>
    <xf numFmtId="0" fontId="8" fillId="3" borderId="0" xfId="0" applyFont="1" applyFill="1" applyAlignment="1">
      <alignment horizontal="center" vertical="center" wrapText="1"/>
    </xf>
    <xf numFmtId="0" fontId="0" fillId="0" borderId="0" xfId="0" quotePrefix="1" applyAlignment="1">
      <alignment horizontal="left" vertical="center" wrapText="1"/>
    </xf>
    <xf numFmtId="0" fontId="0" fillId="4" borderId="0" xfId="0" applyFill="1" applyAlignment="1">
      <alignment horizontal="center" vertical="center"/>
    </xf>
    <xf numFmtId="0" fontId="56" fillId="0" borderId="0" xfId="0" applyFont="1" applyAlignment="1">
      <alignment vertical="center" wrapText="1"/>
    </xf>
    <xf numFmtId="0" fontId="3" fillId="33" borderId="0" xfId="12" applyFill="1" applyAlignment="1">
      <alignment horizontal="left" vertical="center" wrapText="1"/>
    </xf>
    <xf numFmtId="0" fontId="8" fillId="2" borderId="0" xfId="0" applyFont="1" applyFill="1" applyAlignment="1">
      <alignment horizontal="left" vertical="center" wrapText="1"/>
    </xf>
    <xf numFmtId="0" fontId="3" fillId="34" borderId="0" xfId="0" applyFont="1" applyFill="1" applyAlignment="1">
      <alignment horizontal="left" vertical="center" wrapText="1"/>
    </xf>
    <xf numFmtId="0" fontId="12" fillId="34" borderId="0" xfId="0" applyFont="1" applyFill="1" applyAlignment="1">
      <alignment horizontal="left" vertical="center" wrapText="1"/>
    </xf>
    <xf numFmtId="0" fontId="3" fillId="34" borderId="0" xfId="0" applyFont="1" applyFill="1" applyAlignment="1">
      <alignment horizontal="center" vertical="center" wrapText="1"/>
    </xf>
    <xf numFmtId="0" fontId="3" fillId="35" borderId="0" xfId="12" applyFill="1" applyAlignment="1">
      <alignment horizontal="left" vertical="center" wrapText="1"/>
    </xf>
    <xf numFmtId="0" fontId="3" fillId="35" borderId="0" xfId="12" applyFill="1" applyAlignment="1">
      <alignment horizontal="center" vertical="center" wrapText="1"/>
    </xf>
    <xf numFmtId="0" fontId="12" fillId="35" borderId="0" xfId="0" applyFont="1" applyFill="1" applyAlignment="1">
      <alignment horizontal="center" vertical="center" wrapText="1"/>
    </xf>
    <xf numFmtId="0" fontId="12" fillId="35" borderId="0" xfId="0" applyFont="1" applyFill="1" applyAlignment="1">
      <alignment vertical="center" wrapText="1"/>
    </xf>
    <xf numFmtId="0" fontId="12" fillId="35" borderId="0" xfId="0" quotePrefix="1" applyFont="1" applyFill="1" applyAlignment="1">
      <alignment vertical="center" wrapText="1"/>
    </xf>
    <xf numFmtId="0" fontId="3" fillId="35" borderId="0" xfId="0" applyFont="1" applyFill="1" applyAlignment="1">
      <alignment vertical="center" wrapText="1"/>
    </xf>
    <xf numFmtId="0" fontId="4" fillId="35" borderId="0" xfId="0" quotePrefix="1" applyFont="1" applyFill="1" applyAlignment="1">
      <alignment vertical="center" wrapText="1"/>
    </xf>
    <xf numFmtId="0" fontId="3" fillId="35" borderId="0" xfId="0" quotePrefix="1" applyFont="1" applyFill="1" applyAlignment="1">
      <alignment vertical="center" wrapText="1"/>
    </xf>
    <xf numFmtId="0" fontId="3" fillId="35" borderId="0" xfId="0" quotePrefix="1" applyFont="1" applyFill="1" applyAlignment="1">
      <alignment horizontal="left" vertical="center" wrapText="1"/>
    </xf>
    <xf numFmtId="0" fontId="10" fillId="35" borderId="0" xfId="0" applyFont="1" applyFill="1" applyAlignment="1">
      <alignment vertical="center" wrapText="1"/>
    </xf>
    <xf numFmtId="0" fontId="3" fillId="35" borderId="0" xfId="0" applyFont="1" applyFill="1" applyAlignment="1">
      <alignment horizontal="left" vertical="center" wrapText="1"/>
    </xf>
    <xf numFmtId="0" fontId="60" fillId="35" borderId="0" xfId="0" applyFont="1" applyFill="1" applyAlignment="1">
      <alignment vertical="center" wrapText="1"/>
    </xf>
    <xf numFmtId="0" fontId="3" fillId="0" borderId="4" xfId="12" applyBorder="1" applyAlignment="1">
      <alignment horizontal="left" vertical="center" wrapText="1"/>
    </xf>
    <xf numFmtId="0" fontId="3" fillId="0" borderId="4" xfId="12" applyBorder="1" applyAlignment="1">
      <alignment horizontal="center" vertical="center" wrapText="1"/>
    </xf>
    <xf numFmtId="0" fontId="3" fillId="0" borderId="4" xfId="12" quotePrefix="1" applyBorder="1" applyAlignment="1">
      <alignment horizontal="left" vertical="center" wrapText="1"/>
    </xf>
    <xf numFmtId="0" fontId="3" fillId="2" borderId="4" xfId="12" applyFill="1" applyBorder="1" applyAlignment="1">
      <alignment horizontal="left" vertical="center" wrapText="1"/>
    </xf>
    <xf numFmtId="0" fontId="3" fillId="9" borderId="4" xfId="0" applyFont="1" applyFill="1" applyBorder="1" applyAlignment="1">
      <alignment horizontal="left" vertical="center" wrapText="1"/>
    </xf>
    <xf numFmtId="0" fontId="56" fillId="0" borderId="4" xfId="0" applyFont="1" applyBorder="1" applyAlignment="1">
      <alignment vertical="center" wrapText="1"/>
    </xf>
    <xf numFmtId="0" fontId="12" fillId="0" borderId="4" xfId="0" applyFont="1" applyBorder="1" applyAlignment="1">
      <alignment horizontal="left" vertical="center" wrapText="1"/>
    </xf>
    <xf numFmtId="0" fontId="53" fillId="14" borderId="0" xfId="11" applyFont="1" applyFill="1" applyAlignment="1">
      <alignment vertical="center"/>
    </xf>
    <xf numFmtId="0" fontId="8" fillId="14" borderId="0" xfId="11" applyFont="1" applyFill="1" applyAlignment="1">
      <alignment vertical="center"/>
    </xf>
    <xf numFmtId="0" fontId="54" fillId="14" borderId="0" xfId="11" applyFont="1" applyFill="1" applyAlignment="1">
      <alignment vertical="center"/>
    </xf>
    <xf numFmtId="0" fontId="54" fillId="14" borderId="0" xfId="11" applyFont="1" applyFill="1" applyAlignment="1">
      <alignment horizontal="center" vertical="center"/>
    </xf>
    <xf numFmtId="0" fontId="55" fillId="14" borderId="0" xfId="11" applyFont="1" applyFill="1" applyAlignment="1">
      <alignment vertical="center"/>
    </xf>
    <xf numFmtId="0" fontId="48" fillId="14" borderId="0" xfId="8" applyFill="1"/>
    <xf numFmtId="0" fontId="34" fillId="18" borderId="57" xfId="7" applyFont="1" applyFill="1" applyBorder="1" applyAlignment="1">
      <alignment horizontal="center" vertical="center"/>
    </xf>
    <xf numFmtId="0" fontId="0" fillId="0" borderId="0" xfId="0" applyAlignment="1">
      <alignment horizontal="center" wrapText="1"/>
    </xf>
    <xf numFmtId="0" fontId="0" fillId="0" borderId="0" xfId="0" applyAlignment="1">
      <alignment horizontal="center" vertical="center" wrapText="1"/>
    </xf>
    <xf numFmtId="9" fontId="4" fillId="26" borderId="40" xfId="6" applyNumberFormat="1" applyFont="1" applyFill="1" applyBorder="1" applyAlignment="1">
      <alignment horizontal="center" vertical="center"/>
    </xf>
    <xf numFmtId="9" fontId="4" fillId="26" borderId="60" xfId="6" applyNumberFormat="1" applyFont="1" applyFill="1" applyBorder="1" applyAlignment="1">
      <alignment horizontal="center" vertical="center"/>
    </xf>
    <xf numFmtId="0" fontId="16" fillId="14" borderId="0" xfId="0" applyFont="1" applyFill="1"/>
    <xf numFmtId="0" fontId="16" fillId="14" borderId="0" xfId="0" applyFont="1" applyFill="1" applyAlignment="1">
      <alignment horizontal="center" vertical="center"/>
    </xf>
    <xf numFmtId="0" fontId="4" fillId="14" borderId="0" xfId="2" applyFont="1" applyFill="1" applyAlignment="1">
      <alignment horizontal="center"/>
    </xf>
    <xf numFmtId="169" fontId="3" fillId="14" borderId="0" xfId="2" applyNumberFormat="1" applyFill="1" applyAlignment="1">
      <alignment horizontal="center"/>
    </xf>
    <xf numFmtId="0" fontId="16" fillId="14" borderId="56" xfId="11" applyFont="1" applyFill="1" applyBorder="1" applyAlignment="1">
      <alignment horizontal="center"/>
    </xf>
    <xf numFmtId="0" fontId="16" fillId="14" borderId="29" xfId="11" applyFont="1" applyFill="1" applyBorder="1" applyAlignment="1">
      <alignment horizontal="center"/>
    </xf>
    <xf numFmtId="0" fontId="8" fillId="14" borderId="29" xfId="11" applyFont="1" applyFill="1" applyBorder="1" applyAlignment="1">
      <alignment horizontal="center"/>
    </xf>
    <xf numFmtId="0" fontId="8" fillId="14" borderId="29" xfId="11" applyFont="1" applyFill="1" applyBorder="1"/>
    <xf numFmtId="0" fontId="34" fillId="20" borderId="37" xfId="8" applyFont="1" applyFill="1" applyBorder="1" applyAlignment="1">
      <alignment horizontal="center" vertical="center"/>
    </xf>
    <xf numFmtId="0" fontId="16" fillId="18" borderId="54" xfId="11" applyFont="1" applyFill="1" applyBorder="1" applyAlignment="1">
      <alignment horizontal="center"/>
    </xf>
    <xf numFmtId="0" fontId="16" fillId="18" borderId="7" xfId="11" applyFont="1" applyFill="1" applyBorder="1" applyAlignment="1">
      <alignment horizontal="center"/>
    </xf>
    <xf numFmtId="0" fontId="58" fillId="18" borderId="7" xfId="11" applyFont="1" applyFill="1" applyBorder="1" applyAlignment="1">
      <alignment horizontal="center"/>
    </xf>
    <xf numFmtId="0" fontId="16" fillId="18" borderId="7" xfId="11" applyFont="1" applyFill="1" applyBorder="1"/>
    <xf numFmtId="0" fontId="8" fillId="18" borderId="7" xfId="11" applyFont="1" applyFill="1" applyBorder="1"/>
    <xf numFmtId="0" fontId="3" fillId="21" borderId="12" xfId="2" applyFill="1" applyBorder="1"/>
    <xf numFmtId="0" fontId="3" fillId="0" borderId="34" xfId="2" applyBorder="1" applyAlignment="1">
      <alignment horizontal="center"/>
    </xf>
    <xf numFmtId="0" fontId="3" fillId="0" borderId="0" xfId="2" quotePrefix="1" applyAlignment="1">
      <alignment horizontal="center"/>
    </xf>
    <xf numFmtId="0" fontId="4" fillId="21" borderId="3" xfId="2" applyFont="1" applyFill="1" applyBorder="1"/>
    <xf numFmtId="0" fontId="4" fillId="0" borderId="4" xfId="2" applyFont="1" applyBorder="1" applyAlignment="1">
      <alignment horizontal="center"/>
    </xf>
    <xf numFmtId="0" fontId="4" fillId="0" borderId="23" xfId="2" applyFont="1" applyBorder="1" applyAlignment="1">
      <alignment horizontal="center"/>
    </xf>
    <xf numFmtId="0" fontId="4" fillId="0" borderId="54" xfId="0" applyFont="1" applyBorder="1" applyAlignment="1">
      <alignment horizontal="center"/>
    </xf>
    <xf numFmtId="0" fontId="4" fillId="0" borderId="7" xfId="0" applyFont="1" applyBorder="1" applyAlignment="1">
      <alignment horizontal="center"/>
    </xf>
    <xf numFmtId="0" fontId="16" fillId="10" borderId="54" xfId="11" applyFont="1" applyFill="1" applyBorder="1" applyAlignment="1">
      <alignment horizontal="center"/>
    </xf>
    <xf numFmtId="0" fontId="16" fillId="10" borderId="7" xfId="11" applyFont="1" applyFill="1" applyBorder="1" applyAlignment="1">
      <alignment horizontal="center"/>
    </xf>
    <xf numFmtId="0" fontId="8" fillId="10" borderId="7" xfId="11" applyFont="1" applyFill="1" applyBorder="1" applyAlignment="1">
      <alignment horizontal="center"/>
    </xf>
    <xf numFmtId="0" fontId="8" fillId="10" borderId="7" xfId="11" applyFont="1" applyFill="1" applyBorder="1"/>
    <xf numFmtId="0" fontId="63" fillId="20" borderId="62" xfId="11" applyFont="1" applyFill="1" applyBorder="1" applyAlignment="1">
      <alignment horizontal="center" vertical="center" wrapText="1"/>
    </xf>
    <xf numFmtId="0" fontId="8" fillId="10" borderId="7" xfId="8" applyFont="1" applyFill="1" applyBorder="1" applyAlignment="1">
      <alignment horizontal="center"/>
    </xf>
    <xf numFmtId="0" fontId="34" fillId="20" borderId="62" xfId="8" applyFont="1" applyFill="1" applyBorder="1" applyAlignment="1">
      <alignment horizontal="center" vertical="center"/>
    </xf>
    <xf numFmtId="164" fontId="3" fillId="0" borderId="4" xfId="0" applyNumberFormat="1" applyFont="1" applyBorder="1" applyAlignment="1">
      <alignment horizontal="center" vertical="center" wrapText="1"/>
    </xf>
    <xf numFmtId="0" fontId="33" fillId="14" borderId="0" xfId="2" applyFont="1" applyFill="1" applyAlignment="1">
      <alignment horizontal="center" vertical="center"/>
    </xf>
    <xf numFmtId="166" fontId="3" fillId="31" borderId="0" xfId="9" applyNumberFormat="1" applyFont="1" applyFill="1" applyBorder="1" applyAlignment="1">
      <alignment horizontal="center" vertical="center" wrapText="1"/>
    </xf>
    <xf numFmtId="166" fontId="3" fillId="31" borderId="0" xfId="9" quotePrefix="1" applyNumberFormat="1" applyFont="1" applyFill="1" applyBorder="1" applyAlignment="1">
      <alignment horizontal="center" vertical="center" wrapText="1"/>
    </xf>
    <xf numFmtId="166" fontId="3" fillId="31" borderId="0" xfId="9" applyNumberFormat="1" applyFont="1" applyFill="1" applyBorder="1" applyAlignment="1">
      <alignment horizontal="center" vertical="center"/>
    </xf>
    <xf numFmtId="0" fontId="3" fillId="31" borderId="0" xfId="3" applyFill="1" applyAlignment="1">
      <alignment horizontal="center" vertical="center" wrapText="1"/>
    </xf>
    <xf numFmtId="166" fontId="8" fillId="31" borderId="0" xfId="9" applyNumberFormat="1" applyFont="1" applyFill="1" applyBorder="1" applyAlignment="1">
      <alignment horizontal="center" vertical="center" wrapText="1"/>
    </xf>
    <xf numFmtId="0" fontId="3" fillId="19" borderId="0" xfId="2" applyFill="1" applyAlignment="1">
      <alignment horizontal="center" vertical="center"/>
    </xf>
    <xf numFmtId="0" fontId="24" fillId="22" borderId="24" xfId="0" applyFont="1" applyFill="1" applyBorder="1" applyAlignment="1">
      <alignment horizontal="center" wrapText="1"/>
    </xf>
    <xf numFmtId="0" fontId="34" fillId="15" borderId="57" xfId="2" applyFont="1" applyFill="1" applyBorder="1" applyAlignment="1">
      <alignment horizontal="center" vertical="center"/>
    </xf>
    <xf numFmtId="164" fontId="3" fillId="19" borderId="0" xfId="2" applyNumberFormat="1" applyFill="1" applyAlignment="1">
      <alignment horizontal="center"/>
    </xf>
    <xf numFmtId="0" fontId="3" fillId="19" borderId="70" xfId="2" applyFill="1" applyBorder="1"/>
    <xf numFmtId="0" fontId="3" fillId="19" borderId="70" xfId="2" applyFill="1" applyBorder="1" applyAlignment="1">
      <alignment vertical="center"/>
    </xf>
    <xf numFmtId="0" fontId="5" fillId="19" borderId="70" xfId="2" applyFont="1" applyFill="1" applyBorder="1"/>
    <xf numFmtId="0" fontId="5" fillId="19" borderId="70" xfId="2" applyFont="1" applyFill="1" applyBorder="1" applyAlignment="1">
      <alignment horizontal="justify"/>
    </xf>
    <xf numFmtId="0" fontId="6" fillId="19" borderId="70" xfId="2" applyFont="1" applyFill="1" applyBorder="1"/>
    <xf numFmtId="0" fontId="3" fillId="19" borderId="70" xfId="2" applyFill="1" applyBorder="1" applyAlignment="1">
      <alignment vertical="top" wrapText="1"/>
    </xf>
    <xf numFmtId="0" fontId="3" fillId="19" borderId="70" xfId="2" applyFill="1" applyBorder="1" applyAlignment="1">
      <alignment vertical="center" wrapText="1"/>
    </xf>
    <xf numFmtId="0" fontId="3" fillId="19" borderId="70" xfId="2" applyFill="1" applyBorder="1" applyAlignment="1">
      <alignment vertical="top"/>
    </xf>
    <xf numFmtId="164" fontId="3" fillId="19" borderId="0" xfId="2" quotePrefix="1" applyNumberFormat="1" applyFill="1" applyAlignment="1">
      <alignment horizontal="center"/>
    </xf>
    <xf numFmtId="164" fontId="6" fillId="19" borderId="0" xfId="2" quotePrefix="1" applyNumberFormat="1" applyFont="1" applyFill="1" applyAlignment="1">
      <alignment horizontal="center"/>
    </xf>
    <xf numFmtId="164" fontId="3" fillId="19" borderId="0" xfId="2" applyNumberFormat="1" applyFill="1" applyAlignment="1">
      <alignment horizontal="center" vertical="center"/>
    </xf>
    <xf numFmtId="0" fontId="3" fillId="19" borderId="70" xfId="2" applyFill="1" applyBorder="1" applyAlignment="1">
      <alignment horizontal="left" vertical="center"/>
    </xf>
    <xf numFmtId="0" fontId="8" fillId="19" borderId="70" xfId="2" applyFont="1" applyFill="1" applyBorder="1" applyAlignment="1">
      <alignment horizontal="left"/>
    </xf>
    <xf numFmtId="0" fontId="50" fillId="22" borderId="65" xfId="0" applyFont="1" applyFill="1" applyBorder="1" applyAlignment="1">
      <alignment horizontal="center" vertical="center"/>
    </xf>
    <xf numFmtId="0" fontId="3" fillId="2" borderId="0" xfId="2" applyFill="1" applyAlignment="1">
      <alignment horizontal="center"/>
    </xf>
    <xf numFmtId="0" fontId="0" fillId="14" borderId="10" xfId="0" applyFill="1" applyBorder="1"/>
    <xf numFmtId="0" fontId="0" fillId="14" borderId="9" xfId="0" applyFill="1" applyBorder="1"/>
    <xf numFmtId="0" fontId="3" fillId="14" borderId="0" xfId="6" applyFill="1" applyAlignment="1">
      <alignment vertical="center"/>
    </xf>
    <xf numFmtId="0" fontId="3" fillId="21" borderId="12" xfId="6" applyFill="1" applyBorder="1" applyAlignment="1">
      <alignment horizontal="left" vertical="center"/>
    </xf>
    <xf numFmtId="1" fontId="8" fillId="14" borderId="16" xfId="6" applyNumberFormat="1" applyFont="1" applyFill="1" applyBorder="1" applyAlignment="1">
      <alignment horizontal="center" vertical="center"/>
    </xf>
    <xf numFmtId="0" fontId="0" fillId="14" borderId="0" xfId="0" applyFill="1" applyAlignment="1">
      <alignment horizontal="center" vertical="center"/>
    </xf>
    <xf numFmtId="0" fontId="0" fillId="17" borderId="12" xfId="0" applyFill="1" applyBorder="1" applyAlignment="1">
      <alignment horizontal="center" vertical="center"/>
    </xf>
    <xf numFmtId="0" fontId="37" fillId="23" borderId="11" xfId="0" applyFont="1" applyFill="1" applyBorder="1" applyAlignment="1">
      <alignment horizontal="center" vertical="center"/>
    </xf>
    <xf numFmtId="0" fontId="0" fillId="23" borderId="5" xfId="0" applyFill="1" applyBorder="1" applyAlignment="1">
      <alignment horizontal="center" vertical="center"/>
    </xf>
    <xf numFmtId="0" fontId="37" fillId="23" borderId="3" xfId="0" applyFont="1" applyFill="1" applyBorder="1" applyAlignment="1">
      <alignment horizontal="center" vertical="center"/>
    </xf>
    <xf numFmtId="0" fontId="0" fillId="23" borderId="4" xfId="0" applyFill="1" applyBorder="1" applyAlignment="1">
      <alignment horizontal="center" vertical="center"/>
    </xf>
    <xf numFmtId="0" fontId="0" fillId="21" borderId="12" xfId="0" applyFill="1" applyBorder="1" applyAlignment="1">
      <alignment horizontal="center" vertical="center"/>
    </xf>
    <xf numFmtId="0" fontId="4" fillId="23" borderId="20" xfId="6" applyFont="1" applyFill="1" applyBorder="1" applyAlignment="1">
      <alignment horizontal="center" vertical="center"/>
    </xf>
    <xf numFmtId="0" fontId="2" fillId="14" borderId="2" xfId="0" applyFont="1" applyFill="1" applyBorder="1" applyAlignment="1">
      <alignment horizontal="left" vertical="center"/>
    </xf>
    <xf numFmtId="0" fontId="16" fillId="14" borderId="0" xfId="0" applyFont="1" applyFill="1" applyAlignment="1">
      <alignment vertical="center"/>
    </xf>
    <xf numFmtId="0" fontId="16" fillId="0" borderId="0" xfId="0" applyFont="1" applyAlignment="1">
      <alignment vertical="center"/>
    </xf>
    <xf numFmtId="0" fontId="0" fillId="24" borderId="46" xfId="0" applyFill="1" applyBorder="1" applyAlignment="1">
      <alignment vertical="center"/>
    </xf>
    <xf numFmtId="9" fontId="0" fillId="24" borderId="47" xfId="0" applyNumberFormat="1" applyFill="1" applyBorder="1" applyAlignment="1">
      <alignment horizontal="center" vertical="center"/>
    </xf>
    <xf numFmtId="0" fontId="23" fillId="13" borderId="27" xfId="6" applyFont="1" applyFill="1" applyBorder="1" applyAlignment="1">
      <alignment vertical="center"/>
    </xf>
    <xf numFmtId="9" fontId="3" fillId="13" borderId="28" xfId="6" applyNumberFormat="1" applyFill="1" applyBorder="1" applyAlignment="1">
      <alignment horizontal="center" vertical="center"/>
    </xf>
    <xf numFmtId="0" fontId="42" fillId="26" borderId="46" xfId="6" applyFont="1" applyFill="1" applyBorder="1" applyAlignment="1">
      <alignment vertical="center"/>
    </xf>
    <xf numFmtId="9" fontId="4" fillId="26" borderId="47" xfId="6" applyNumberFormat="1" applyFont="1" applyFill="1" applyBorder="1" applyAlignment="1">
      <alignment horizontal="center" vertical="center"/>
    </xf>
    <xf numFmtId="14" fontId="0" fillId="14" borderId="0" xfId="0" applyNumberFormat="1" applyFill="1" applyAlignment="1">
      <alignment vertical="center"/>
    </xf>
    <xf numFmtId="0" fontId="9" fillId="24" borderId="27" xfId="0" applyFont="1" applyFill="1" applyBorder="1" applyAlignment="1">
      <alignment vertical="center"/>
    </xf>
    <xf numFmtId="0" fontId="9" fillId="24" borderId="0" xfId="0" applyFont="1" applyFill="1" applyAlignment="1">
      <alignment vertical="center"/>
    </xf>
    <xf numFmtId="0" fontId="4" fillId="26" borderId="65" xfId="6" applyFont="1" applyFill="1" applyBorder="1" applyAlignment="1">
      <alignment vertical="center"/>
    </xf>
    <xf numFmtId="0" fontId="42" fillId="26" borderId="48" xfId="6" applyFont="1" applyFill="1" applyBorder="1" applyAlignment="1">
      <alignment vertical="center"/>
    </xf>
    <xf numFmtId="9" fontId="4" fillId="26" borderId="50" xfId="6" applyNumberFormat="1" applyFont="1" applyFill="1" applyBorder="1" applyAlignment="1">
      <alignment horizontal="center" vertical="center"/>
    </xf>
    <xf numFmtId="0" fontId="46" fillId="14" borderId="0" xfId="6" applyFont="1" applyFill="1" applyAlignment="1">
      <alignment vertical="center"/>
    </xf>
    <xf numFmtId="166" fontId="3" fillId="14" borderId="0" xfId="6" applyNumberFormat="1" applyFill="1" applyAlignment="1">
      <alignment horizontal="center" vertical="center"/>
    </xf>
    <xf numFmtId="0" fontId="8" fillId="14" borderId="0" xfId="0" applyFont="1" applyFill="1" applyAlignment="1">
      <alignment vertical="center"/>
    </xf>
    <xf numFmtId="0" fontId="45" fillId="14" borderId="0" xfId="0" applyFont="1" applyFill="1" applyAlignment="1">
      <alignment vertical="center"/>
    </xf>
    <xf numFmtId="0" fontId="2" fillId="14" borderId="0" xfId="0" applyFont="1" applyFill="1" applyAlignment="1">
      <alignment vertical="center"/>
    </xf>
    <xf numFmtId="0" fontId="9" fillId="26" borderId="51" xfId="0" applyFont="1" applyFill="1" applyBorder="1" applyAlignment="1">
      <alignment vertical="center"/>
    </xf>
    <xf numFmtId="0" fontId="31" fillId="20" borderId="11" xfId="0" applyFont="1" applyFill="1" applyBorder="1" applyAlignment="1">
      <alignment vertical="center"/>
    </xf>
    <xf numFmtId="0" fontId="0" fillId="20" borderId="5" xfId="0" applyFill="1" applyBorder="1" applyAlignment="1">
      <alignment vertical="center"/>
    </xf>
    <xf numFmtId="0" fontId="0" fillId="20" borderId="33" xfId="0" applyFill="1" applyBorder="1" applyAlignment="1">
      <alignment vertical="center"/>
    </xf>
    <xf numFmtId="0" fontId="31" fillId="20" borderId="3" xfId="0" applyFont="1" applyFill="1" applyBorder="1" applyAlignment="1">
      <alignment vertical="center"/>
    </xf>
    <xf numFmtId="0" fontId="0" fillId="20" borderId="4" xfId="0" applyFill="1" applyBorder="1" applyAlignment="1">
      <alignment vertical="center"/>
    </xf>
    <xf numFmtId="0" fontId="0" fillId="20" borderId="72" xfId="0" applyFill="1" applyBorder="1" applyAlignment="1">
      <alignment vertical="center"/>
    </xf>
    <xf numFmtId="49" fontId="3" fillId="31" borderId="4" xfId="2" applyNumberFormat="1" applyFill="1" applyBorder="1" applyAlignment="1">
      <alignment horizontal="center" vertical="center" wrapText="1"/>
    </xf>
    <xf numFmtId="49" fontId="3" fillId="31" borderId="0" xfId="2" quotePrefix="1" applyNumberFormat="1" applyFill="1" applyAlignment="1">
      <alignment horizontal="center" vertical="center" wrapText="1"/>
    </xf>
    <xf numFmtId="49" fontId="3" fillId="31" borderId="4" xfId="2" quotePrefix="1" applyNumberFormat="1" applyFill="1" applyBorder="1" applyAlignment="1">
      <alignment horizontal="center" vertical="center" wrapText="1"/>
    </xf>
    <xf numFmtId="49" fontId="8" fillId="31" borderId="0" xfId="0" applyNumberFormat="1" applyFont="1" applyFill="1" applyAlignment="1">
      <alignment horizontal="center" vertical="center" wrapText="1"/>
    </xf>
    <xf numFmtId="49" fontId="3" fillId="31" borderId="4" xfId="0" quotePrefix="1" applyNumberFormat="1" applyFont="1" applyFill="1" applyBorder="1" applyAlignment="1">
      <alignment horizontal="center" vertical="center" wrapText="1"/>
    </xf>
    <xf numFmtId="49" fontId="3" fillId="0" borderId="4" xfId="0" quotePrefix="1" applyNumberFormat="1" applyFont="1" applyBorder="1" applyAlignment="1">
      <alignment horizontal="center" vertical="center" wrapText="1"/>
    </xf>
    <xf numFmtId="164" fontId="42" fillId="36" borderId="0" xfId="2" applyNumberFormat="1" applyFont="1" applyFill="1" applyAlignment="1">
      <alignment horizontal="left" vertical="center"/>
    </xf>
    <xf numFmtId="164" fontId="42" fillId="36" borderId="0" xfId="2" applyNumberFormat="1" applyFont="1" applyFill="1" applyAlignment="1">
      <alignment horizontal="center" vertical="center"/>
    </xf>
    <xf numFmtId="49" fontId="8" fillId="36" borderId="0" xfId="0" applyNumberFormat="1" applyFont="1" applyFill="1" applyAlignment="1">
      <alignment horizontal="center" vertical="center" wrapText="1"/>
    </xf>
    <xf numFmtId="49" fontId="8" fillId="36" borderId="0" xfId="0" applyNumberFormat="1" applyFont="1" applyFill="1" applyAlignment="1">
      <alignment horizontal="center" vertical="center"/>
    </xf>
    <xf numFmtId="0" fontId="3" fillId="36" borderId="0" xfId="0" applyFont="1" applyFill="1" applyAlignment="1">
      <alignment horizontal="center" vertical="center" wrapText="1"/>
    </xf>
    <xf numFmtId="0" fontId="8" fillId="36" borderId="0" xfId="0" applyFont="1" applyFill="1" applyAlignment="1">
      <alignment horizontal="center" vertical="center"/>
    </xf>
    <xf numFmtId="0" fontId="3" fillId="36" borderId="0" xfId="0" applyFont="1" applyFill="1" applyAlignment="1">
      <alignment horizontal="left" vertical="center" wrapText="1"/>
    </xf>
    <xf numFmtId="0" fontId="3" fillId="36" borderId="0" xfId="0" applyFont="1" applyFill="1" applyAlignment="1">
      <alignment horizontal="center" vertical="center"/>
    </xf>
    <xf numFmtId="0" fontId="3" fillId="36" borderId="0" xfId="0" applyFont="1" applyFill="1" applyAlignment="1">
      <alignment vertical="center" wrapText="1"/>
    </xf>
    <xf numFmtId="166" fontId="8" fillId="36" borderId="0" xfId="0" applyNumberFormat="1" applyFont="1" applyFill="1" applyAlignment="1">
      <alignment horizontal="center" vertical="center"/>
    </xf>
    <xf numFmtId="166" fontId="3" fillId="36" borderId="0" xfId="0" applyNumberFormat="1" applyFont="1" applyFill="1" applyAlignment="1">
      <alignment horizontal="center" vertical="center"/>
    </xf>
    <xf numFmtId="0" fontId="3" fillId="36" borderId="0" xfId="0" quotePrefix="1" applyFont="1" applyFill="1" applyAlignment="1">
      <alignment horizontal="left" vertical="center"/>
    </xf>
    <xf numFmtId="49" fontId="3" fillId="36" borderId="0" xfId="0" applyNumberFormat="1" applyFont="1" applyFill="1" applyAlignment="1">
      <alignment horizontal="left" vertical="center" wrapText="1"/>
    </xf>
    <xf numFmtId="166" fontId="3" fillId="36" borderId="0" xfId="9" applyNumberFormat="1" applyFont="1" applyFill="1" applyAlignment="1">
      <alignment horizontal="center" vertical="center"/>
    </xf>
    <xf numFmtId="164" fontId="11" fillId="36" borderId="0" xfId="0" applyNumberFormat="1" applyFont="1" applyFill="1" applyAlignment="1">
      <alignment horizontal="center" vertical="center" wrapText="1"/>
    </xf>
    <xf numFmtId="0" fontId="12" fillId="36" borderId="0" xfId="0" applyFont="1" applyFill="1" applyAlignment="1">
      <alignment vertical="center" wrapText="1"/>
    </xf>
    <xf numFmtId="0" fontId="3" fillId="36" borderId="0" xfId="2" applyFill="1" applyAlignment="1">
      <alignment vertical="center"/>
    </xf>
    <xf numFmtId="166" fontId="3" fillId="36" borderId="0" xfId="2" applyNumberFormat="1" applyFill="1" applyAlignment="1">
      <alignment horizontal="center" vertical="center"/>
    </xf>
    <xf numFmtId="166" fontId="3" fillId="36" borderId="0" xfId="0" applyNumberFormat="1" applyFont="1" applyFill="1" applyAlignment="1">
      <alignment horizontal="center" vertical="center" wrapText="1"/>
    </xf>
    <xf numFmtId="0" fontId="62" fillId="20" borderId="59" xfId="11" applyFont="1" applyFill="1" applyBorder="1" applyAlignment="1">
      <alignment vertical="center"/>
    </xf>
    <xf numFmtId="0" fontId="62" fillId="20" borderId="40" xfId="11" applyFont="1" applyFill="1" applyBorder="1" applyAlignment="1">
      <alignment vertical="center"/>
    </xf>
    <xf numFmtId="0" fontId="62" fillId="20" borderId="61" xfId="11" applyFont="1" applyFill="1" applyBorder="1" applyAlignment="1">
      <alignment vertical="center"/>
    </xf>
    <xf numFmtId="0" fontId="3" fillId="0" borderId="0" xfId="8" applyFont="1"/>
    <xf numFmtId="0" fontId="3" fillId="0" borderId="5" xfId="0" applyFont="1" applyBorder="1" applyAlignment="1">
      <alignment horizontal="center" vertical="center" wrapText="1"/>
    </xf>
    <xf numFmtId="166" fontId="11" fillId="0" borderId="0" xfId="9" applyNumberFormat="1" applyFont="1" applyFill="1" applyAlignment="1">
      <alignment horizontal="center" vertical="center" wrapText="1"/>
    </xf>
    <xf numFmtId="166" fontId="11" fillId="0" borderId="0" xfId="9" quotePrefix="1" applyNumberFormat="1" applyFont="1" applyFill="1" applyAlignment="1">
      <alignment horizontal="center" vertical="center" wrapText="1"/>
    </xf>
    <xf numFmtId="164" fontId="3" fillId="0" borderId="0" xfId="2" applyNumberFormat="1" applyAlignment="1">
      <alignment horizontal="left" vertical="center"/>
    </xf>
    <xf numFmtId="164" fontId="3" fillId="0" borderId="4" xfId="2" applyNumberFormat="1" applyBorder="1" applyAlignment="1">
      <alignment horizontal="left" vertical="center"/>
    </xf>
    <xf numFmtId="164" fontId="3" fillId="6" borderId="0" xfId="0" applyNumberFormat="1" applyFont="1" applyFill="1" applyAlignment="1">
      <alignment horizontal="center" vertical="center" wrapText="1"/>
    </xf>
    <xf numFmtId="0" fontId="11" fillId="0" borderId="0" xfId="2" applyFont="1" applyAlignment="1">
      <alignment horizontal="center" vertical="center"/>
    </xf>
    <xf numFmtId="0" fontId="3" fillId="0" borderId="0" xfId="2" applyAlignment="1">
      <alignment vertical="center" wrapText="1"/>
    </xf>
    <xf numFmtId="164" fontId="3" fillId="0" borderId="0" xfId="0" applyNumberFormat="1" applyFont="1" applyAlignment="1">
      <alignment horizontal="left" vertical="center" wrapText="1"/>
    </xf>
    <xf numFmtId="164" fontId="3" fillId="0" borderId="0" xfId="0" applyNumberFormat="1" applyFont="1" applyAlignment="1" applyProtection="1">
      <alignment horizontal="left" vertical="center"/>
      <protection locked="0"/>
    </xf>
    <xf numFmtId="0" fontId="8" fillId="0" borderId="4" xfId="0" applyFont="1" applyBorder="1" applyAlignment="1">
      <alignment horizontal="center" vertical="center" wrapText="1"/>
    </xf>
    <xf numFmtId="0" fontId="10" fillId="2" borderId="4" xfId="0" applyFont="1" applyFill="1" applyBorder="1" applyAlignment="1">
      <alignment vertical="center" wrapText="1"/>
    </xf>
    <xf numFmtId="167" fontId="3" fillId="0" borderId="4" xfId="2" applyNumberFormat="1" applyBorder="1" applyAlignment="1">
      <alignment vertical="center"/>
    </xf>
    <xf numFmtId="166" fontId="3" fillId="8" borderId="4" xfId="0" applyNumberFormat="1" applyFont="1" applyFill="1" applyBorder="1" applyAlignment="1">
      <alignment horizontal="center" vertical="center"/>
    </xf>
    <xf numFmtId="49" fontId="3" fillId="8" borderId="4" xfId="0" applyNumberFormat="1" applyFont="1" applyFill="1" applyBorder="1" applyAlignment="1">
      <alignment horizontal="center" vertical="center" wrapText="1"/>
    </xf>
    <xf numFmtId="166" fontId="3" fillId="0" borderId="0" xfId="9" applyNumberFormat="1" applyFont="1" applyFill="1" applyBorder="1" applyAlignment="1">
      <alignment horizontal="center" vertical="center"/>
    </xf>
    <xf numFmtId="166" fontId="3" fillId="5" borderId="0" xfId="2" applyNumberFormat="1" applyFill="1" applyAlignment="1">
      <alignment horizontal="center" vertical="center"/>
    </xf>
    <xf numFmtId="44" fontId="3" fillId="0" borderId="0" xfId="9" applyFont="1" applyFill="1" applyAlignment="1">
      <alignment horizontal="center" vertical="center"/>
    </xf>
    <xf numFmtId="164" fontId="11" fillId="2" borderId="0" xfId="0" applyNumberFormat="1" applyFont="1" applyFill="1" applyAlignment="1">
      <alignment horizontal="center" vertical="center" wrapText="1"/>
    </xf>
    <xf numFmtId="166" fontId="3" fillId="0" borderId="0" xfId="9" applyNumberFormat="1" applyFont="1" applyFill="1" applyBorder="1" applyAlignment="1">
      <alignment horizontal="center" vertical="center" wrapText="1"/>
    </xf>
    <xf numFmtId="166" fontId="3" fillId="0" borderId="0" xfId="9" quotePrefix="1" applyNumberFormat="1" applyFont="1" applyFill="1" applyBorder="1" applyAlignment="1">
      <alignment horizontal="center" vertical="center" wrapText="1"/>
    </xf>
    <xf numFmtId="164" fontId="8" fillId="7" borderId="0" xfId="2" applyNumberFormat="1" applyFont="1" applyFill="1" applyAlignment="1">
      <alignment horizontal="center" vertical="center"/>
    </xf>
    <xf numFmtId="164" fontId="3" fillId="0" borderId="0" xfId="2" applyNumberFormat="1" applyAlignment="1">
      <alignment horizontal="left" vertical="center" wrapText="1"/>
    </xf>
    <xf numFmtId="166" fontId="3" fillId="0" borderId="0" xfId="2" quotePrefix="1" applyNumberFormat="1" applyAlignment="1">
      <alignment horizontal="center" vertical="center" wrapText="1"/>
    </xf>
    <xf numFmtId="166" fontId="3" fillId="0" borderId="4" xfId="9" quotePrefix="1" applyNumberFormat="1" applyFont="1" applyFill="1" applyBorder="1" applyAlignment="1">
      <alignment horizontal="center" vertical="center" wrapText="1"/>
    </xf>
    <xf numFmtId="166" fontId="3" fillId="0" borderId="4" xfId="9" applyNumberFormat="1" applyFont="1" applyFill="1" applyBorder="1" applyAlignment="1">
      <alignment horizontal="center" vertical="center" wrapText="1"/>
    </xf>
    <xf numFmtId="164" fontId="3" fillId="6" borderId="4" xfId="0" applyNumberFormat="1" applyFont="1" applyFill="1" applyBorder="1" applyAlignment="1">
      <alignment horizontal="center" vertical="center" wrapText="1"/>
    </xf>
    <xf numFmtId="0" fontId="11" fillId="0" borderId="0" xfId="0" applyFont="1" applyAlignment="1">
      <alignment vertical="center" wrapText="1"/>
    </xf>
    <xf numFmtId="0" fontId="3" fillId="8" borderId="0" xfId="0" applyFont="1" applyFill="1" applyAlignment="1">
      <alignment vertical="center" wrapText="1"/>
    </xf>
    <xf numFmtId="0" fontId="3" fillId="9" borderId="0" xfId="2" applyFill="1" applyAlignment="1">
      <alignment vertical="center" wrapText="1"/>
    </xf>
    <xf numFmtId="0" fontId="3" fillId="8" borderId="0" xfId="0" applyFont="1" applyFill="1" applyAlignment="1">
      <alignment horizontal="center" vertical="center" wrapText="1"/>
    </xf>
    <xf numFmtId="0" fontId="12" fillId="8" borderId="0" xfId="0" applyFont="1" applyFill="1" applyAlignment="1">
      <alignment vertical="center" wrapText="1"/>
    </xf>
    <xf numFmtId="164" fontId="3" fillId="8" borderId="0" xfId="0" applyNumberFormat="1" applyFont="1" applyFill="1" applyAlignment="1">
      <alignment horizontal="center" vertical="center"/>
    </xf>
    <xf numFmtId="164" fontId="3" fillId="6" borderId="0" xfId="0" applyNumberFormat="1" applyFont="1" applyFill="1" applyAlignment="1">
      <alignment horizontal="center" vertical="center"/>
    </xf>
    <xf numFmtId="164" fontId="11" fillId="0" borderId="0" xfId="0" applyNumberFormat="1" applyFont="1" applyAlignment="1">
      <alignment horizontal="center" vertical="center"/>
    </xf>
    <xf numFmtId="0" fontId="65" fillId="31" borderId="0" xfId="0" applyFont="1" applyFill="1" applyAlignment="1">
      <alignment horizontal="center" vertical="center"/>
    </xf>
    <xf numFmtId="0" fontId="66" fillId="31" borderId="0" xfId="2" applyFont="1" applyFill="1" applyAlignment="1">
      <alignment horizontal="center" vertical="center" wrapText="1"/>
    </xf>
    <xf numFmtId="0" fontId="65" fillId="31" borderId="0" xfId="0" quotePrefix="1" applyFont="1" applyFill="1" applyAlignment="1">
      <alignment horizontal="center" vertical="center" wrapText="1"/>
    </xf>
    <xf numFmtId="167" fontId="3" fillId="31" borderId="0" xfId="2" applyNumberFormat="1" applyFill="1" applyAlignment="1">
      <alignment horizontal="left" vertical="center" wrapText="1"/>
    </xf>
    <xf numFmtId="164" fontId="3" fillId="36" borderId="0" xfId="0" applyNumberFormat="1" applyFont="1" applyFill="1" applyAlignment="1">
      <alignment horizontal="left" vertical="center" wrapText="1"/>
    </xf>
    <xf numFmtId="167" fontId="3" fillId="31" borderId="0" xfId="2" quotePrefix="1" applyNumberFormat="1" applyFill="1" applyAlignment="1">
      <alignment horizontal="center" vertical="center" wrapText="1"/>
    </xf>
    <xf numFmtId="165" fontId="3" fillId="31" borderId="0" xfId="0" quotePrefix="1" applyNumberFormat="1" applyFont="1" applyFill="1" applyAlignment="1">
      <alignment horizontal="center" vertical="center" wrapText="1"/>
    </xf>
    <xf numFmtId="0" fontId="3" fillId="36" borderId="0" xfId="2" applyFill="1" applyAlignment="1">
      <alignment vertical="center" wrapText="1"/>
    </xf>
    <xf numFmtId="0" fontId="3" fillId="31" borderId="4" xfId="0" quotePrefix="1" applyFont="1" applyFill="1" applyBorder="1" applyAlignment="1">
      <alignment horizontal="center" vertical="center" wrapText="1"/>
    </xf>
    <xf numFmtId="165" fontId="8" fillId="31" borderId="0" xfId="0" quotePrefix="1" applyNumberFormat="1" applyFont="1" applyFill="1" applyAlignment="1">
      <alignment horizontal="center" vertical="center" wrapText="1"/>
    </xf>
    <xf numFmtId="0" fontId="8" fillId="31" borderId="0" xfId="0" quotePrefix="1" applyFont="1" applyFill="1" applyAlignment="1">
      <alignment horizontal="center" vertical="center" wrapText="1"/>
    </xf>
    <xf numFmtId="0" fontId="11" fillId="31" borderId="0" xfId="0" quotePrefix="1" applyFont="1" applyFill="1" applyAlignment="1">
      <alignment horizontal="center" vertical="center" wrapText="1"/>
    </xf>
    <xf numFmtId="165" fontId="3" fillId="0" borderId="0" xfId="0" quotePrefix="1" applyNumberFormat="1" applyFont="1" applyAlignment="1">
      <alignment horizontal="center" vertical="center" wrapText="1"/>
    </xf>
    <xf numFmtId="0" fontId="3" fillId="37" borderId="0" xfId="0" applyFont="1" applyFill="1" applyAlignment="1">
      <alignment horizontal="center" vertical="center" wrapText="1"/>
    </xf>
    <xf numFmtId="0" fontId="3" fillId="37" borderId="4" xfId="0" applyFont="1" applyFill="1" applyBorder="1" applyAlignment="1">
      <alignment horizontal="center" vertical="center" wrapText="1"/>
    </xf>
    <xf numFmtId="0" fontId="3" fillId="37" borderId="0" xfId="0" applyFont="1" applyFill="1" applyAlignment="1">
      <alignment horizontal="left" vertical="center" wrapText="1"/>
    </xf>
    <xf numFmtId="0" fontId="3" fillId="37" borderId="0" xfId="2" applyFill="1" applyAlignment="1">
      <alignment horizontal="center" vertical="center" wrapText="1"/>
    </xf>
    <xf numFmtId="0" fontId="3" fillId="17" borderId="70" xfId="2" applyFill="1" applyBorder="1"/>
    <xf numFmtId="166" fontId="3" fillId="38" borderId="0" xfId="0" applyNumberFormat="1" applyFont="1" applyFill="1" applyAlignment="1">
      <alignment horizontal="center" vertical="center"/>
    </xf>
    <xf numFmtId="0" fontId="3" fillId="31" borderId="0" xfId="2" applyFill="1" applyAlignment="1" applyProtection="1">
      <alignment horizontal="center" vertical="center" wrapText="1"/>
      <protection locked="0"/>
    </xf>
    <xf numFmtId="0" fontId="3" fillId="31" borderId="0" xfId="2" quotePrefix="1" applyFill="1" applyAlignment="1" applyProtection="1">
      <alignment horizontal="center" vertical="center" wrapText="1"/>
      <protection locked="0"/>
    </xf>
    <xf numFmtId="0" fontId="3" fillId="0" borderId="71" xfId="2" applyBorder="1" applyAlignment="1">
      <alignment horizontal="center"/>
    </xf>
    <xf numFmtId="0" fontId="3" fillId="0" borderId="0" xfId="0" applyFont="1" applyAlignment="1">
      <alignment horizontal="center"/>
    </xf>
    <xf numFmtId="0" fontId="3" fillId="2" borderId="0" xfId="0" applyFont="1" applyFill="1" applyAlignment="1">
      <alignment horizontal="center"/>
    </xf>
    <xf numFmtId="0" fontId="3" fillId="2" borderId="34" xfId="2" applyFill="1" applyBorder="1" applyAlignment="1">
      <alignment horizontal="center"/>
    </xf>
    <xf numFmtId="164" fontId="3" fillId="7" borderId="0" xfId="0" applyNumberFormat="1" applyFont="1" applyFill="1" applyAlignment="1">
      <alignment horizontal="center" vertical="center" wrapText="1"/>
    </xf>
    <xf numFmtId="166" fontId="0" fillId="0" borderId="0" xfId="0" applyNumberFormat="1" applyAlignment="1">
      <alignment horizontal="center" vertical="center"/>
    </xf>
    <xf numFmtId="0" fontId="3" fillId="31" borderId="0" xfId="2" applyFill="1" applyAlignment="1">
      <alignment vertical="center" wrapText="1"/>
    </xf>
    <xf numFmtId="164" fontId="3" fillId="31" borderId="0" xfId="2" applyNumberFormat="1" applyFill="1" applyAlignment="1">
      <alignment horizontal="left" vertical="center"/>
    </xf>
    <xf numFmtId="166" fontId="0" fillId="31" borderId="0" xfId="0" applyNumberFormat="1" applyFill="1" applyAlignment="1">
      <alignment horizontal="center" vertical="center"/>
    </xf>
    <xf numFmtId="0" fontId="12" fillId="31" borderId="70" xfId="0" applyFont="1" applyFill="1" applyBorder="1" applyAlignment="1">
      <alignment vertical="center" wrapText="1"/>
    </xf>
    <xf numFmtId="0" fontId="12" fillId="31" borderId="13" xfId="0" applyFont="1" applyFill="1" applyBorder="1" applyAlignment="1">
      <alignment vertical="center" wrapText="1"/>
    </xf>
    <xf numFmtId="44" fontId="3" fillId="31" borderId="0" xfId="9" applyFont="1" applyFill="1" applyBorder="1" applyAlignment="1">
      <alignment horizontal="center" vertical="center" wrapText="1"/>
    </xf>
    <xf numFmtId="8" fontId="3" fillId="31" borderId="0" xfId="2" applyNumberFormat="1" applyFill="1" applyAlignment="1">
      <alignment horizontal="center" vertical="center" wrapText="1"/>
    </xf>
    <xf numFmtId="164" fontId="43" fillId="7" borderId="0" xfId="2" applyNumberFormat="1" applyFont="1" applyFill="1" applyAlignment="1">
      <alignment horizontal="left" vertical="center"/>
    </xf>
    <xf numFmtId="0" fontId="3" fillId="7" borderId="0" xfId="0" applyFont="1" applyFill="1" applyAlignment="1">
      <alignment vertical="center" wrapText="1"/>
    </xf>
    <xf numFmtId="0" fontId="8" fillId="7" borderId="0" xfId="0" applyFont="1" applyFill="1" applyAlignment="1">
      <alignment horizontal="center" vertical="center"/>
    </xf>
    <xf numFmtId="166" fontId="8" fillId="7" borderId="0" xfId="0" applyNumberFormat="1" applyFont="1" applyFill="1" applyAlignment="1">
      <alignment horizontal="center" vertical="center"/>
    </xf>
    <xf numFmtId="49" fontId="8" fillId="7" borderId="0" xfId="0" quotePrefix="1" applyNumberFormat="1" applyFont="1" applyFill="1" applyAlignment="1">
      <alignment horizontal="center" vertical="center" wrapText="1"/>
    </xf>
    <xf numFmtId="49" fontId="3" fillId="7" borderId="0" xfId="0" applyNumberFormat="1" applyFont="1" applyFill="1" applyAlignment="1">
      <alignment horizontal="center" vertical="center" wrapText="1"/>
    </xf>
    <xf numFmtId="44" fontId="3" fillId="7" borderId="0" xfId="0" applyNumberFormat="1" applyFont="1" applyFill="1" applyAlignment="1">
      <alignment horizontal="center" vertical="center"/>
    </xf>
    <xf numFmtId="167" fontId="3" fillId="7" borderId="0" xfId="2" applyNumberFormat="1" applyFill="1" applyAlignment="1">
      <alignment horizontal="center" vertical="center" wrapText="1"/>
    </xf>
    <xf numFmtId="0" fontId="3" fillId="7" borderId="0" xfId="0" applyFont="1" applyFill="1" applyAlignment="1">
      <alignment horizontal="center" vertical="center"/>
    </xf>
    <xf numFmtId="0" fontId="12" fillId="7" borderId="0" xfId="0" applyFont="1" applyFill="1" applyAlignment="1">
      <alignment vertical="center" wrapText="1"/>
    </xf>
    <xf numFmtId="0" fontId="3" fillId="7" borderId="0" xfId="2" applyFill="1" applyAlignment="1">
      <alignment vertical="center"/>
    </xf>
    <xf numFmtId="164" fontId="3" fillId="0" borderId="4" xfId="0" applyNumberFormat="1" applyFont="1" applyBorder="1" applyAlignment="1">
      <alignment horizontal="left" vertical="center"/>
    </xf>
    <xf numFmtId="49" fontId="3" fillId="0" borderId="4" xfId="12" applyNumberFormat="1" applyBorder="1" applyAlignment="1">
      <alignment horizontal="center" vertical="center" wrapText="1"/>
    </xf>
    <xf numFmtId="0" fontId="4" fillId="30" borderId="0" xfId="12" applyFont="1" applyFill="1" applyAlignment="1">
      <alignment horizontal="center" vertical="center" wrapText="1"/>
    </xf>
    <xf numFmtId="0" fontId="3" fillId="34" borderId="0" xfId="0" applyFont="1" applyFill="1" applyAlignment="1">
      <alignment horizontal="center" vertical="center"/>
    </xf>
    <xf numFmtId="0" fontId="43" fillId="35" borderId="0" xfId="12" applyFont="1" applyFill="1" applyAlignment="1">
      <alignment horizontal="center" vertical="center"/>
    </xf>
    <xf numFmtId="164" fontId="3" fillId="12" borderId="0" xfId="0" applyNumberFormat="1" applyFont="1" applyFill="1" applyAlignment="1">
      <alignment horizontal="center" vertical="center" wrapText="1"/>
    </xf>
    <xf numFmtId="0" fontId="0" fillId="39" borderId="0" xfId="0" applyFill="1"/>
    <xf numFmtId="0" fontId="8" fillId="14" borderId="0" xfId="11" applyFont="1" applyFill="1" applyAlignment="1">
      <alignment vertical="top"/>
    </xf>
    <xf numFmtId="0" fontId="8" fillId="18" borderId="0" xfId="11" applyFont="1" applyFill="1"/>
    <xf numFmtId="164" fontId="3" fillId="12" borderId="0" xfId="2" applyNumberFormat="1" applyFill="1" applyAlignment="1">
      <alignment horizontal="center" vertical="center" wrapText="1"/>
    </xf>
    <xf numFmtId="0" fontId="3" fillId="32" borderId="0" xfId="0" applyFont="1" applyFill="1" applyAlignment="1">
      <alignment horizontal="center" vertical="center" wrapText="1"/>
    </xf>
    <xf numFmtId="164" fontId="57" fillId="31" borderId="0" xfId="0" applyNumberFormat="1" applyFont="1" applyFill="1" applyAlignment="1">
      <alignment horizontal="center" vertical="center"/>
    </xf>
    <xf numFmtId="164" fontId="57" fillId="31" borderId="0" xfId="0" applyNumberFormat="1" applyFont="1" applyFill="1" applyAlignment="1">
      <alignment horizontal="center" vertical="center" wrapText="1"/>
    </xf>
    <xf numFmtId="164" fontId="3" fillId="37" borderId="0" xfId="2" quotePrefix="1" applyNumberFormat="1" applyFill="1" applyAlignment="1">
      <alignment horizontal="center" vertical="center"/>
    </xf>
    <xf numFmtId="0" fontId="8" fillId="37" borderId="0" xfId="0" applyFont="1" applyFill="1" applyAlignment="1">
      <alignment horizontal="center" vertical="center"/>
    </xf>
    <xf numFmtId="0" fontId="8" fillId="37" borderId="4" xfId="0" applyFont="1" applyFill="1" applyBorder="1" applyAlignment="1">
      <alignment horizontal="center" vertical="center"/>
    </xf>
    <xf numFmtId="164" fontId="8" fillId="2" borderId="0" xfId="2" applyNumberFormat="1" applyFont="1" applyFill="1" applyAlignment="1">
      <alignment horizontal="center" vertical="center"/>
    </xf>
    <xf numFmtId="0" fontId="3" fillId="37" borderId="0" xfId="0" quotePrefix="1" applyFont="1" applyFill="1" applyAlignment="1">
      <alignment horizontal="center" vertical="center" wrapText="1"/>
    </xf>
    <xf numFmtId="164" fontId="3" fillId="31" borderId="0" xfId="0" applyNumberFormat="1" applyFont="1" applyFill="1" applyAlignment="1">
      <alignment vertical="center"/>
    </xf>
    <xf numFmtId="164" fontId="32" fillId="14" borderId="5" xfId="0" applyNumberFormat="1" applyFont="1" applyFill="1" applyBorder="1" applyAlignment="1">
      <alignment horizontal="center" vertical="center"/>
    </xf>
    <xf numFmtId="164" fontId="32" fillId="14" borderId="4" xfId="0" applyNumberFormat="1" applyFont="1" applyFill="1" applyBorder="1" applyAlignment="1">
      <alignment horizontal="center" vertical="center"/>
    </xf>
    <xf numFmtId="0" fontId="22" fillId="0" borderId="12" xfId="0" applyFont="1" applyBorder="1" applyAlignment="1">
      <alignment horizontal="left" vertical="center"/>
    </xf>
    <xf numFmtId="0" fontId="3" fillId="11" borderId="0" xfId="0" applyFont="1" applyFill="1" applyAlignment="1">
      <alignment vertical="center" wrapText="1"/>
    </xf>
    <xf numFmtId="0" fontId="3" fillId="2" borderId="0" xfId="0" quotePrefix="1" applyFont="1" applyFill="1" applyAlignment="1">
      <alignment vertical="center" wrapText="1"/>
    </xf>
    <xf numFmtId="0" fontId="8" fillId="2" borderId="0" xfId="0" applyFont="1" applyFill="1" applyAlignment="1">
      <alignment horizontal="left" vertical="center"/>
    </xf>
    <xf numFmtId="0" fontId="3" fillId="0" borderId="4" xfId="12" applyBorder="1" applyAlignment="1">
      <alignment vertical="center" wrapText="1"/>
    </xf>
    <xf numFmtId="0" fontId="43" fillId="40" borderId="0" xfId="12" applyFont="1" applyFill="1" applyAlignment="1">
      <alignment horizontal="left" vertical="center"/>
    </xf>
    <xf numFmtId="0" fontId="3" fillId="40" borderId="0" xfId="12" applyFill="1" applyAlignment="1">
      <alignment horizontal="left" vertical="center" wrapText="1"/>
    </xf>
    <xf numFmtId="0" fontId="3" fillId="40" borderId="0" xfId="12" applyFill="1" applyAlignment="1">
      <alignment horizontal="center" vertical="center" wrapText="1"/>
    </xf>
    <xf numFmtId="0" fontId="8" fillId="33" borderId="0" xfId="0" applyFont="1" applyFill="1" applyAlignment="1">
      <alignment horizontal="center" vertical="center"/>
    </xf>
    <xf numFmtId="0" fontId="8" fillId="33" borderId="0" xfId="0" applyFont="1" applyFill="1" applyAlignment="1">
      <alignment horizontal="left" vertical="center"/>
    </xf>
    <xf numFmtId="0" fontId="8" fillId="33" borderId="0" xfId="0" applyFont="1" applyFill="1" applyAlignment="1">
      <alignment horizontal="left" vertical="center" wrapText="1"/>
    </xf>
    <xf numFmtId="0" fontId="12" fillId="33" borderId="0" xfId="0" applyFont="1" applyFill="1" applyAlignment="1">
      <alignment vertical="center" wrapText="1"/>
    </xf>
    <xf numFmtId="0" fontId="3" fillId="33" borderId="0" xfId="0" applyFont="1" applyFill="1" applyAlignment="1">
      <alignment vertical="center" wrapText="1"/>
    </xf>
    <xf numFmtId="0" fontId="3" fillId="33" borderId="0" xfId="0" quotePrefix="1" applyFont="1" applyFill="1" applyAlignment="1">
      <alignment vertical="center" wrapText="1"/>
    </xf>
    <xf numFmtId="0" fontId="3" fillId="33" borderId="0" xfId="0" applyFont="1" applyFill="1" applyAlignment="1">
      <alignment horizontal="left" vertical="center" wrapText="1"/>
    </xf>
    <xf numFmtId="0" fontId="3" fillId="33" borderId="0" xfId="0" applyFont="1" applyFill="1" applyAlignment="1">
      <alignment horizontal="center" vertical="center" wrapText="1"/>
    </xf>
    <xf numFmtId="0" fontId="3" fillId="33" borderId="0" xfId="12" applyFill="1" applyAlignment="1">
      <alignment horizontal="center" vertical="center"/>
    </xf>
    <xf numFmtId="0" fontId="3" fillId="33" borderId="0" xfId="12" quotePrefix="1" applyFill="1" applyAlignment="1">
      <alignment horizontal="left" vertical="center" wrapText="1"/>
    </xf>
    <xf numFmtId="0" fontId="3" fillId="41" borderId="0" xfId="12" applyFill="1" applyAlignment="1">
      <alignment horizontal="center" vertical="center" wrapText="1"/>
    </xf>
    <xf numFmtId="0" fontId="3" fillId="35" borderId="0" xfId="0" quotePrefix="1" applyFont="1" applyFill="1" applyAlignment="1">
      <alignment horizontal="center" vertical="center" wrapText="1"/>
    </xf>
    <xf numFmtId="0" fontId="3" fillId="0" borderId="70" xfId="12" applyBorder="1" applyAlignment="1">
      <alignment vertical="center" wrapText="1"/>
    </xf>
    <xf numFmtId="171" fontId="0" fillId="0" borderId="70" xfId="13" applyNumberFormat="1" applyFont="1" applyBorder="1" applyAlignment="1">
      <alignment horizontal="center" vertical="center"/>
    </xf>
    <xf numFmtId="44" fontId="3" fillId="8" borderId="0" xfId="0" applyNumberFormat="1" applyFont="1" applyFill="1" applyAlignment="1">
      <alignment horizontal="center" vertical="center"/>
    </xf>
    <xf numFmtId="44" fontId="3" fillId="8" borderId="0" xfId="0" applyNumberFormat="1" applyFont="1" applyFill="1" applyAlignment="1">
      <alignment vertical="center"/>
    </xf>
    <xf numFmtId="164" fontId="3" fillId="8" borderId="0" xfId="0" applyNumberFormat="1" applyFont="1" applyFill="1" applyAlignment="1">
      <alignment vertical="center" wrapText="1"/>
    </xf>
    <xf numFmtId="164" fontId="11" fillId="31" borderId="0" xfId="0" applyNumberFormat="1" applyFont="1" applyFill="1" applyAlignment="1">
      <alignment vertical="center" wrapText="1"/>
    </xf>
    <xf numFmtId="164" fontId="3" fillId="12" borderId="0" xfId="0" applyNumberFormat="1" applyFont="1" applyFill="1" applyAlignment="1">
      <alignment vertical="center"/>
    </xf>
    <xf numFmtId="164" fontId="3" fillId="0" borderId="5" xfId="0" applyNumberFormat="1" applyFont="1" applyBorder="1" applyAlignment="1">
      <alignment vertical="center"/>
    </xf>
    <xf numFmtId="164" fontId="3" fillId="31" borderId="0" xfId="0" applyNumberFormat="1" applyFont="1" applyFill="1" applyAlignment="1">
      <alignment vertical="center" wrapText="1"/>
    </xf>
    <xf numFmtId="164" fontId="57" fillId="31" borderId="0" xfId="0" applyNumberFormat="1" applyFont="1" applyFill="1" applyAlignment="1">
      <alignment vertical="center"/>
    </xf>
    <xf numFmtId="164" fontId="57" fillId="31" borderId="0" xfId="0" applyNumberFormat="1" applyFont="1" applyFill="1" applyAlignment="1">
      <alignment vertical="center" wrapText="1"/>
    </xf>
    <xf numFmtId="164" fontId="3" fillId="31" borderId="4" xfId="0" applyNumberFormat="1" applyFont="1" applyFill="1" applyBorder="1" applyAlignment="1">
      <alignment vertical="center"/>
    </xf>
    <xf numFmtId="164" fontId="32" fillId="0" borderId="9" xfId="0" applyNumberFormat="1" applyFont="1" applyBorder="1" applyAlignment="1">
      <alignment horizontal="center" vertical="center"/>
    </xf>
    <xf numFmtId="0" fontId="3" fillId="3" borderId="0" xfId="8" applyFont="1" applyFill="1"/>
    <xf numFmtId="0" fontId="48" fillId="3" borderId="0" xfId="8" applyFill="1"/>
    <xf numFmtId="167" fontId="3" fillId="31" borderId="0" xfId="2" applyNumberFormat="1" applyFill="1" applyAlignment="1">
      <alignment vertical="center"/>
    </xf>
    <xf numFmtId="0" fontId="5" fillId="31" borderId="0" xfId="2" applyFont="1" applyFill="1" applyAlignment="1">
      <alignment horizontal="center" vertical="center" wrapText="1"/>
    </xf>
    <xf numFmtId="166" fontId="5" fillId="31" borderId="0" xfId="2" applyNumberFormat="1" applyFont="1" applyFill="1" applyAlignment="1">
      <alignment horizontal="center" vertical="center" wrapText="1"/>
    </xf>
    <xf numFmtId="164" fontId="67" fillId="31" borderId="0" xfId="0" applyNumberFormat="1" applyFont="1" applyFill="1" applyAlignment="1">
      <alignment vertical="center" wrapText="1"/>
    </xf>
    <xf numFmtId="0" fontId="8" fillId="31" borderId="0" xfId="2" applyFont="1" applyFill="1" applyAlignment="1">
      <alignment horizontal="center" vertical="center" wrapText="1"/>
    </xf>
    <xf numFmtId="0" fontId="3" fillId="31" borderId="4" xfId="3" applyFill="1" applyBorder="1" applyAlignment="1">
      <alignment horizontal="center" vertical="center" wrapText="1"/>
    </xf>
    <xf numFmtId="0" fontId="11" fillId="31" borderId="4" xfId="0" applyFont="1" applyFill="1" applyBorder="1" applyAlignment="1">
      <alignment horizontal="left" vertical="center" wrapText="1"/>
    </xf>
    <xf numFmtId="166" fontId="11" fillId="31" borderId="4" xfId="9" applyNumberFormat="1" applyFont="1" applyFill="1" applyBorder="1" applyAlignment="1">
      <alignment horizontal="center" vertical="center"/>
    </xf>
    <xf numFmtId="164" fontId="3" fillId="31" borderId="4" xfId="2" applyNumberFormat="1" applyFill="1" applyBorder="1" applyAlignment="1">
      <alignment vertical="center"/>
    </xf>
    <xf numFmtId="0" fontId="3" fillId="31" borderId="4" xfId="0" applyFont="1" applyFill="1" applyBorder="1" applyAlignment="1">
      <alignment horizontal="left" vertical="center"/>
    </xf>
    <xf numFmtId="164" fontId="57" fillId="31" borderId="4" xfId="0" applyNumberFormat="1" applyFont="1" applyFill="1" applyBorder="1" applyAlignment="1">
      <alignment horizontal="center" vertical="center"/>
    </xf>
    <xf numFmtId="167" fontId="3" fillId="31" borderId="0" xfId="0" applyNumberFormat="1" applyFont="1" applyFill="1" applyAlignment="1">
      <alignment horizontal="center" vertical="center" wrapText="1"/>
    </xf>
    <xf numFmtId="164" fontId="3" fillId="31" borderId="0" xfId="2" applyNumberFormat="1" applyFill="1" applyAlignment="1" applyProtection="1">
      <alignment horizontal="center" vertical="center"/>
      <protection locked="0"/>
    </xf>
    <xf numFmtId="166" fontId="3" fillId="31" borderId="0" xfId="2" applyNumberFormat="1" applyFill="1" applyAlignment="1">
      <alignment horizontal="center" vertical="center" wrapText="1"/>
    </xf>
    <xf numFmtId="166" fontId="11" fillId="31" borderId="0" xfId="2" applyNumberFormat="1" applyFont="1" applyFill="1" applyAlignment="1">
      <alignment horizontal="center" vertical="center"/>
    </xf>
    <xf numFmtId="0" fontId="3" fillId="32" borderId="0" xfId="2" applyFill="1" applyAlignment="1">
      <alignment horizontal="center" vertical="center" wrapText="1"/>
    </xf>
    <xf numFmtId="164" fontId="11" fillId="31" borderId="0" xfId="2" applyNumberFormat="1" applyFont="1" applyFill="1" applyAlignment="1">
      <alignment horizontal="center" vertical="center" wrapText="1"/>
    </xf>
    <xf numFmtId="166" fontId="3" fillId="31" borderId="4" xfId="9" quotePrefix="1" applyNumberFormat="1" applyFont="1" applyFill="1" applyBorder="1" applyAlignment="1">
      <alignment horizontal="center" vertical="center"/>
    </xf>
    <xf numFmtId="49" fontId="8" fillId="31" borderId="4" xfId="0" quotePrefix="1" applyNumberFormat="1" applyFont="1" applyFill="1" applyBorder="1" applyAlignment="1">
      <alignment horizontal="center" vertical="center" wrapText="1"/>
    </xf>
    <xf numFmtId="167" fontId="3" fillId="31" borderId="4" xfId="0" applyNumberFormat="1" applyFont="1" applyFill="1" applyBorder="1" applyAlignment="1">
      <alignment horizontal="center" vertical="center" wrapText="1"/>
    </xf>
    <xf numFmtId="8" fontId="3" fillId="31" borderId="0" xfId="2" quotePrefix="1" applyNumberFormat="1" applyFill="1" applyAlignment="1">
      <alignment horizontal="center" vertical="center" wrapText="1"/>
    </xf>
    <xf numFmtId="166" fontId="3" fillId="31" borderId="0" xfId="2" quotePrefix="1" applyNumberFormat="1" applyFill="1" applyAlignment="1">
      <alignment horizontal="center" vertical="center"/>
    </xf>
    <xf numFmtId="0" fontId="3" fillId="31" borderId="0" xfId="9" applyNumberFormat="1" applyFont="1" applyFill="1" applyBorder="1" applyAlignment="1">
      <alignment horizontal="center" vertical="center" wrapText="1"/>
    </xf>
    <xf numFmtId="49" fontId="11" fillId="31" borderId="0" xfId="0" applyNumberFormat="1" applyFont="1" applyFill="1" applyAlignment="1">
      <alignment horizontal="center" vertical="center" wrapText="1"/>
    </xf>
    <xf numFmtId="166" fontId="3" fillId="31" borderId="4" xfId="14" quotePrefix="1" applyNumberFormat="1" applyFont="1" applyFill="1" applyBorder="1" applyAlignment="1">
      <alignment horizontal="center" vertical="center" wrapText="1"/>
    </xf>
    <xf numFmtId="166" fontId="3" fillId="31" borderId="4" xfId="14" applyNumberFormat="1" applyFont="1" applyFill="1" applyBorder="1" applyAlignment="1">
      <alignment horizontal="center" vertical="center" wrapText="1"/>
    </xf>
    <xf numFmtId="166" fontId="3" fillId="31" borderId="4" xfId="14" applyNumberFormat="1" applyFont="1" applyFill="1" applyBorder="1" applyAlignment="1">
      <alignment horizontal="center" vertical="center"/>
    </xf>
    <xf numFmtId="0" fontId="3" fillId="8" borderId="0" xfId="12" applyFill="1" applyAlignment="1">
      <alignment horizontal="center" vertical="center" wrapText="1"/>
    </xf>
    <xf numFmtId="166" fontId="3" fillId="0" borderId="0" xfId="9" quotePrefix="1" applyNumberFormat="1" applyFont="1" applyFill="1" applyAlignment="1">
      <alignment horizontal="center" vertical="center"/>
    </xf>
    <xf numFmtId="166" fontId="3" fillId="5" borderId="0" xfId="0" applyNumberFormat="1" applyFont="1" applyFill="1" applyAlignment="1">
      <alignment horizontal="center" vertical="center"/>
    </xf>
    <xf numFmtId="44" fontId="3" fillId="2" borderId="0" xfId="0" applyNumberFormat="1" applyFont="1" applyFill="1" applyAlignment="1">
      <alignment horizontal="center" vertical="center"/>
    </xf>
    <xf numFmtId="44" fontId="3" fillId="2" borderId="0" xfId="0" applyNumberFormat="1" applyFont="1" applyFill="1" applyAlignment="1">
      <alignment vertical="center"/>
    </xf>
    <xf numFmtId="0" fontId="0" fillId="14" borderId="2" xfId="0" applyFill="1" applyBorder="1" applyAlignment="1">
      <alignment horizontal="left" vertical="center" wrapText="1"/>
    </xf>
    <xf numFmtId="0" fontId="4" fillId="23" borderId="59" xfId="2" applyFont="1" applyFill="1" applyBorder="1" applyAlignment="1">
      <alignment horizontal="center" vertical="center"/>
    </xf>
    <xf numFmtId="17" fontId="4" fillId="23" borderId="40" xfId="2" applyNumberFormat="1" applyFont="1" applyFill="1" applyBorder="1" applyAlignment="1">
      <alignment horizontal="center"/>
    </xf>
    <xf numFmtId="0" fontId="4" fillId="23" borderId="61" xfId="2" applyFont="1" applyFill="1" applyBorder="1" applyAlignment="1">
      <alignment horizontal="center"/>
    </xf>
    <xf numFmtId="169" fontId="4" fillId="0" borderId="7" xfId="0" applyNumberFormat="1" applyFont="1" applyBorder="1" applyAlignment="1">
      <alignment horizontal="center"/>
    </xf>
    <xf numFmtId="164" fontId="58" fillId="14" borderId="0" xfId="2" applyNumberFormat="1" applyFont="1" applyFill="1" applyAlignment="1">
      <alignment horizontal="left"/>
    </xf>
    <xf numFmtId="164" fontId="32" fillId="14" borderId="4" xfId="0" applyNumberFormat="1" applyFont="1" applyFill="1" applyBorder="1" applyAlignment="1">
      <alignment horizontal="center"/>
    </xf>
    <xf numFmtId="164" fontId="32" fillId="0" borderId="39" xfId="0" applyNumberFormat="1" applyFont="1" applyBorder="1" applyAlignment="1">
      <alignment horizontal="center" vertical="center"/>
    </xf>
    <xf numFmtId="164" fontId="32" fillId="0" borderId="30" xfId="0" applyNumberFormat="1" applyFont="1" applyBorder="1" applyAlignment="1">
      <alignment horizontal="center" vertical="center"/>
    </xf>
    <xf numFmtId="0" fontId="3" fillId="0" borderId="9" xfId="2" applyBorder="1" applyAlignment="1">
      <alignment horizontal="center"/>
    </xf>
    <xf numFmtId="0" fontId="4" fillId="21" borderId="3" xfId="0" applyFont="1" applyFill="1" applyBorder="1" applyAlignment="1">
      <alignment horizontal="center"/>
    </xf>
    <xf numFmtId="164" fontId="3" fillId="19" borderId="4" xfId="0" applyNumberFormat="1" applyFont="1" applyFill="1" applyBorder="1" applyAlignment="1">
      <alignment horizontal="center"/>
    </xf>
    <xf numFmtId="0" fontId="8" fillId="19" borderId="13" xfId="0" applyFont="1" applyFill="1" applyBorder="1" applyAlignment="1">
      <alignment horizontal="left"/>
    </xf>
    <xf numFmtId="0" fontId="0" fillId="14" borderId="12" xfId="0" applyFill="1" applyBorder="1" applyAlignment="1">
      <alignment horizontal="left" vertical="center"/>
    </xf>
    <xf numFmtId="0" fontId="22" fillId="14" borderId="12" xfId="0" applyFont="1" applyFill="1" applyBorder="1" applyAlignment="1">
      <alignment horizontal="left" vertical="center"/>
    </xf>
    <xf numFmtId="0" fontId="22" fillId="14" borderId="71" xfId="0" applyFont="1" applyFill="1" applyBorder="1" applyAlignment="1">
      <alignment horizontal="left" vertical="center"/>
    </xf>
    <xf numFmtId="0" fontId="0" fillId="14" borderId="12" xfId="0" applyFill="1" applyBorder="1" applyAlignment="1">
      <alignment horizontal="left"/>
    </xf>
    <xf numFmtId="0" fontId="0" fillId="14" borderId="71" xfId="0" applyFill="1" applyBorder="1" applyAlignment="1">
      <alignment horizontal="left"/>
    </xf>
    <xf numFmtId="0" fontId="0" fillId="14" borderId="3" xfId="0" applyFill="1" applyBorder="1" applyAlignment="1">
      <alignment horizontal="left"/>
    </xf>
    <xf numFmtId="0" fontId="0" fillId="14" borderId="4" xfId="0" applyFill="1" applyBorder="1" applyAlignment="1">
      <alignment horizontal="left"/>
    </xf>
    <xf numFmtId="0" fontId="0" fillId="14" borderId="72" xfId="0" applyFill="1" applyBorder="1" applyAlignment="1">
      <alignment horizontal="left"/>
    </xf>
    <xf numFmtId="0" fontId="0" fillId="14" borderId="71" xfId="0" applyFill="1" applyBorder="1" applyAlignment="1">
      <alignment horizontal="left" vertical="center"/>
    </xf>
    <xf numFmtId="0" fontId="8" fillId="14" borderId="77" xfId="2" applyFont="1" applyFill="1" applyBorder="1" applyAlignment="1">
      <alignment horizontal="center" vertical="center"/>
    </xf>
    <xf numFmtId="0" fontId="8" fillId="14" borderId="77" xfId="2" applyFont="1" applyFill="1" applyBorder="1" applyAlignment="1">
      <alignment horizontal="center" vertical="center" wrapText="1"/>
    </xf>
    <xf numFmtId="0" fontId="8" fillId="14" borderId="77" xfId="2" quotePrefix="1" applyFont="1" applyFill="1" applyBorder="1" applyAlignment="1">
      <alignment horizontal="center" vertical="center"/>
    </xf>
    <xf numFmtId="0" fontId="8" fillId="14" borderId="78" xfId="0" applyFont="1" applyFill="1" applyBorder="1" applyAlignment="1">
      <alignment horizontal="center" vertical="center"/>
    </xf>
    <xf numFmtId="0" fontId="3" fillId="0" borderId="0" xfId="0" applyFont="1" applyAlignment="1">
      <alignment horizontal="center" wrapText="1"/>
    </xf>
    <xf numFmtId="0" fontId="3" fillId="0" borderId="0" xfId="0" quotePrefix="1" applyFont="1" applyAlignment="1">
      <alignment horizontal="center"/>
    </xf>
    <xf numFmtId="14" fontId="0" fillId="19" borderId="38" xfId="0" applyNumberFormat="1" applyFill="1" applyBorder="1"/>
    <xf numFmtId="0" fontId="49" fillId="22" borderId="38" xfId="0" applyFont="1" applyFill="1" applyBorder="1"/>
    <xf numFmtId="0" fontId="3" fillId="19" borderId="40" xfId="2" applyFill="1" applyBorder="1"/>
    <xf numFmtId="0" fontId="3" fillId="19" borderId="39" xfId="2" applyFill="1" applyBorder="1"/>
    <xf numFmtId="0" fontId="3" fillId="19" borderId="0" xfId="2" applyFill="1"/>
    <xf numFmtId="0" fontId="3" fillId="19" borderId="8" xfId="2" applyFill="1" applyBorder="1"/>
    <xf numFmtId="0" fontId="3" fillId="14" borderId="8" xfId="2" applyFill="1" applyBorder="1"/>
    <xf numFmtId="0" fontId="3" fillId="14" borderId="9" xfId="2" applyFill="1" applyBorder="1"/>
    <xf numFmtId="0" fontId="3" fillId="14" borderId="30" xfId="2" applyFill="1" applyBorder="1"/>
    <xf numFmtId="0" fontId="3" fillId="19" borderId="9" xfId="2" applyFill="1" applyBorder="1"/>
    <xf numFmtId="0" fontId="3" fillId="19" borderId="30" xfId="2" applyFill="1" applyBorder="1"/>
    <xf numFmtId="0" fontId="3" fillId="23" borderId="0" xfId="2" applyFill="1"/>
    <xf numFmtId="0" fontId="3" fillId="23" borderId="8" xfId="2" applyFill="1" applyBorder="1"/>
    <xf numFmtId="0" fontId="3" fillId="22" borderId="0" xfId="2" applyFill="1"/>
    <xf numFmtId="0" fontId="3" fillId="22" borderId="8" xfId="2" applyFill="1" applyBorder="1"/>
    <xf numFmtId="0" fontId="3" fillId="22" borderId="66" xfId="2" applyFill="1" applyBorder="1"/>
    <xf numFmtId="0" fontId="3" fillId="22" borderId="67" xfId="2" applyFill="1" applyBorder="1"/>
    <xf numFmtId="0" fontId="3" fillId="22" borderId="40" xfId="2" applyFill="1" applyBorder="1"/>
    <xf numFmtId="0" fontId="3" fillId="22" borderId="39" xfId="2" applyFill="1" applyBorder="1"/>
    <xf numFmtId="0" fontId="33" fillId="16" borderId="15" xfId="2" applyFont="1" applyFill="1" applyBorder="1" applyAlignment="1">
      <alignment horizontal="center" vertical="center"/>
    </xf>
    <xf numFmtId="164" fontId="32" fillId="14" borderId="30" xfId="0" applyNumberFormat="1" applyFont="1" applyFill="1" applyBorder="1" applyAlignment="1">
      <alignment horizontal="center"/>
    </xf>
    <xf numFmtId="166" fontId="3" fillId="14" borderId="0" xfId="6" applyNumberFormat="1" applyFill="1" applyAlignment="1">
      <alignment horizontal="center"/>
    </xf>
    <xf numFmtId="0" fontId="45" fillId="14" borderId="0" xfId="0" applyFont="1" applyFill="1"/>
    <xf numFmtId="0" fontId="22" fillId="14" borderId="0" xfId="0" applyFont="1" applyFill="1" applyAlignment="1">
      <alignment horizontal="left" vertical="center"/>
    </xf>
    <xf numFmtId="0" fontId="0" fillId="0" borderId="33" xfId="0" applyBorder="1" applyAlignment="1">
      <alignment horizontal="center" vertical="center"/>
    </xf>
    <xf numFmtId="0" fontId="0" fillId="19" borderId="0" xfId="0" applyFill="1" applyAlignment="1">
      <alignment horizontal="center" vertical="center"/>
    </xf>
    <xf numFmtId="0" fontId="0" fillId="0" borderId="71" xfId="0" applyBorder="1" applyAlignment="1">
      <alignment horizontal="center" vertical="center"/>
    </xf>
    <xf numFmtId="168" fontId="0" fillId="19" borderId="0" xfId="0" applyNumberFormat="1" applyFill="1" applyAlignment="1">
      <alignment horizontal="center" vertical="center"/>
    </xf>
    <xf numFmtId="0" fontId="0" fillId="21" borderId="0" xfId="0" applyFill="1" applyAlignment="1">
      <alignment horizontal="center" vertical="center"/>
    </xf>
    <xf numFmtId="0" fontId="0" fillId="0" borderId="72" xfId="0" applyBorder="1" applyAlignment="1">
      <alignment horizontal="center" vertical="center"/>
    </xf>
    <xf numFmtId="0" fontId="0" fillId="14" borderId="5" xfId="0" applyFill="1" applyBorder="1"/>
    <xf numFmtId="0" fontId="3" fillId="14" borderId="5" xfId="2" applyFill="1" applyBorder="1"/>
    <xf numFmtId="0" fontId="3" fillId="14" borderId="33" xfId="2" applyFill="1" applyBorder="1"/>
    <xf numFmtId="0" fontId="3" fillId="14" borderId="71" xfId="2" applyFill="1" applyBorder="1"/>
    <xf numFmtId="0" fontId="0" fillId="14" borderId="4" xfId="0" applyFill="1" applyBorder="1"/>
    <xf numFmtId="0" fontId="3" fillId="14" borderId="72" xfId="2" applyFill="1" applyBorder="1"/>
    <xf numFmtId="164" fontId="32" fillId="14" borderId="26" xfId="0" applyNumberFormat="1" applyFont="1" applyFill="1" applyBorder="1" applyAlignment="1">
      <alignment horizontal="center"/>
    </xf>
    <xf numFmtId="0" fontId="0" fillId="14" borderId="12" xfId="0" applyFill="1" applyBorder="1"/>
    <xf numFmtId="0" fontId="0" fillId="14" borderId="18" xfId="0" applyFill="1" applyBorder="1" applyAlignment="1">
      <alignment horizontal="left" vertical="center"/>
    </xf>
    <xf numFmtId="0" fontId="0" fillId="14" borderId="19" xfId="0" applyFill="1" applyBorder="1" applyAlignment="1">
      <alignment horizontal="left" vertical="center"/>
    </xf>
    <xf numFmtId="0" fontId="68" fillId="14" borderId="12" xfId="2" applyFont="1" applyFill="1" applyBorder="1"/>
    <xf numFmtId="0" fontId="49" fillId="22" borderId="11" xfId="0" applyFont="1" applyFill="1" applyBorder="1"/>
    <xf numFmtId="0" fontId="49" fillId="22" borderId="79" xfId="0" applyFont="1" applyFill="1" applyBorder="1"/>
    <xf numFmtId="0" fontId="3" fillId="22" borderId="5" xfId="2" applyFill="1" applyBorder="1"/>
    <xf numFmtId="0" fontId="3" fillId="22" borderId="33" xfId="2" applyFill="1" applyBorder="1"/>
    <xf numFmtId="0" fontId="3" fillId="22" borderId="71" xfId="2" applyFill="1" applyBorder="1"/>
    <xf numFmtId="0" fontId="50" fillId="22" borderId="68" xfId="0" applyFont="1" applyFill="1" applyBorder="1" applyAlignment="1">
      <alignment horizontal="center" vertical="center"/>
    </xf>
    <xf numFmtId="0" fontId="38" fillId="22" borderId="49" xfId="0" applyFont="1" applyFill="1" applyBorder="1" applyAlignment="1">
      <alignment horizontal="center" vertical="center"/>
    </xf>
    <xf numFmtId="0" fontId="38" fillId="22" borderId="69" xfId="0" applyFont="1" applyFill="1" applyBorder="1" applyAlignment="1">
      <alignment horizontal="center" vertical="center"/>
    </xf>
    <xf numFmtId="0" fontId="0" fillId="23" borderId="12" xfId="0" applyFill="1" applyBorder="1"/>
    <xf numFmtId="0" fontId="22" fillId="23" borderId="71" xfId="0" applyFont="1" applyFill="1" applyBorder="1"/>
    <xf numFmtId="14" fontId="0" fillId="14" borderId="11" xfId="0" applyNumberFormat="1" applyFill="1" applyBorder="1"/>
    <xf numFmtId="166" fontId="3" fillId="14" borderId="12" xfId="6" applyNumberFormat="1" applyFill="1" applyBorder="1" applyAlignment="1">
      <alignment horizontal="center"/>
    </xf>
    <xf numFmtId="0" fontId="45" fillId="14" borderId="12" xfId="0" applyFont="1" applyFill="1" applyBorder="1"/>
    <xf numFmtId="0" fontId="2" fillId="14" borderId="12" xfId="0" applyFont="1" applyFill="1" applyBorder="1"/>
    <xf numFmtId="0" fontId="0" fillId="14" borderId="3" xfId="0" applyFill="1" applyBorder="1"/>
    <xf numFmtId="0" fontId="3" fillId="14" borderId="0" xfId="6" applyFill="1" applyAlignment="1">
      <alignment horizontal="center" vertical="center"/>
    </xf>
    <xf numFmtId="0" fontId="3" fillId="21" borderId="76" xfId="6" applyFill="1" applyBorder="1" applyAlignment="1">
      <alignment horizontal="center" vertical="center"/>
    </xf>
    <xf numFmtId="0" fontId="4" fillId="23" borderId="68" xfId="6" applyFont="1" applyFill="1" applyBorder="1" applyAlignment="1">
      <alignment horizontal="center" vertical="center"/>
    </xf>
    <xf numFmtId="0" fontId="4" fillId="23" borderId="49" xfId="6" applyFont="1" applyFill="1" applyBorder="1" applyAlignment="1">
      <alignment horizontal="center" vertical="center"/>
    </xf>
    <xf numFmtId="17" fontId="4" fillId="23" borderId="49" xfId="6" applyNumberFormat="1" applyFont="1" applyFill="1" applyBorder="1" applyAlignment="1">
      <alignment horizontal="center" vertical="center"/>
    </xf>
    <xf numFmtId="0" fontId="3" fillId="0" borderId="0" xfId="6" applyAlignment="1">
      <alignment horizontal="center" vertical="center"/>
    </xf>
    <xf numFmtId="0" fontId="4" fillId="23" borderId="65" xfId="6" applyFont="1" applyFill="1" applyBorder="1" applyAlignment="1">
      <alignment horizontal="center" vertical="center"/>
    </xf>
    <xf numFmtId="0" fontId="0" fillId="17" borderId="0" xfId="0" applyFill="1" applyAlignment="1">
      <alignment horizontal="center" vertical="center"/>
    </xf>
    <xf numFmtId="0" fontId="0" fillId="17" borderId="71" xfId="0" applyFill="1" applyBorder="1" applyAlignment="1">
      <alignment horizontal="center" vertical="center"/>
    </xf>
    <xf numFmtId="0" fontId="4" fillId="23" borderId="62" xfId="6" applyFont="1" applyFill="1" applyBorder="1" applyAlignment="1">
      <alignment horizontal="center" vertical="center"/>
    </xf>
    <xf numFmtId="0" fontId="8" fillId="14" borderId="62" xfId="6" applyFont="1" applyFill="1" applyBorder="1" applyAlignment="1">
      <alignment horizontal="center" vertical="center"/>
    </xf>
    <xf numFmtId="169" fontId="8" fillId="14" borderId="62" xfId="6" applyNumberFormat="1" applyFont="1" applyFill="1" applyBorder="1" applyAlignment="1">
      <alignment horizontal="center" vertical="center"/>
    </xf>
    <xf numFmtId="0" fontId="44" fillId="21" borderId="11" xfId="2" applyFont="1" applyFill="1" applyBorder="1"/>
    <xf numFmtId="0" fontId="3" fillId="21" borderId="5" xfId="2" applyFill="1" applyBorder="1"/>
    <xf numFmtId="0" fontId="3" fillId="21" borderId="33" xfId="2" applyFill="1" applyBorder="1"/>
    <xf numFmtId="0" fontId="0" fillId="21" borderId="12" xfId="0" applyFill="1" applyBorder="1" applyAlignment="1">
      <alignment vertical="center" wrapText="1"/>
    </xf>
    <xf numFmtId="0" fontId="4" fillId="21" borderId="71" xfId="2" applyFont="1" applyFill="1" applyBorder="1" applyAlignment="1">
      <alignment horizontal="center"/>
    </xf>
    <xf numFmtId="0" fontId="3" fillId="23" borderId="80" xfId="2" applyFill="1" applyBorder="1"/>
    <xf numFmtId="0" fontId="3" fillId="21" borderId="17" xfId="2" applyFill="1" applyBorder="1" applyAlignment="1">
      <alignment horizontal="center"/>
    </xf>
    <xf numFmtId="0" fontId="4" fillId="23" borderId="81" xfId="2" applyFont="1" applyFill="1" applyBorder="1" applyAlignment="1">
      <alignment horizontal="center"/>
    </xf>
    <xf numFmtId="0" fontId="43" fillId="21" borderId="18" xfId="2" applyFont="1" applyFill="1" applyBorder="1"/>
    <xf numFmtId="0" fontId="3" fillId="21" borderId="40" xfId="2" applyFill="1" applyBorder="1"/>
    <xf numFmtId="0" fontId="3" fillId="21" borderId="19" xfId="2" applyFill="1" applyBorder="1"/>
    <xf numFmtId="0" fontId="3" fillId="23" borderId="68" xfId="2" applyFill="1" applyBorder="1"/>
    <xf numFmtId="0" fontId="3" fillId="17" borderId="3" xfId="2" applyFill="1" applyBorder="1"/>
    <xf numFmtId="0" fontId="3" fillId="17" borderId="4" xfId="2" applyFill="1" applyBorder="1"/>
    <xf numFmtId="0" fontId="3" fillId="17" borderId="72" xfId="2" applyFill="1" applyBorder="1"/>
    <xf numFmtId="0" fontId="3" fillId="0" borderId="76" xfId="2" applyBorder="1" applyAlignment="1">
      <alignment horizontal="center"/>
    </xf>
    <xf numFmtId="0" fontId="4" fillId="23" borderId="68" xfId="2" applyFont="1" applyFill="1" applyBorder="1"/>
    <xf numFmtId="17" fontId="4" fillId="23" borderId="49" xfId="2" applyNumberFormat="1" applyFont="1" applyFill="1" applyBorder="1" applyAlignment="1">
      <alignment horizontal="center"/>
    </xf>
    <xf numFmtId="17" fontId="4" fillId="23" borderId="67" xfId="2" applyNumberFormat="1" applyFont="1" applyFill="1" applyBorder="1" applyAlignment="1">
      <alignment horizontal="center"/>
    </xf>
    <xf numFmtId="0" fontId="4" fillId="23" borderId="69" xfId="2" applyFont="1" applyFill="1" applyBorder="1" applyAlignment="1">
      <alignment horizontal="center"/>
    </xf>
    <xf numFmtId="169" fontId="4" fillId="23" borderId="69" xfId="2" applyNumberFormat="1" applyFont="1" applyFill="1" applyBorder="1" applyAlignment="1">
      <alignment horizontal="center"/>
    </xf>
    <xf numFmtId="0" fontId="3" fillId="21" borderId="49" xfId="2" applyFill="1" applyBorder="1" applyAlignment="1">
      <alignment horizontal="center"/>
    </xf>
    <xf numFmtId="0" fontId="3" fillId="21" borderId="67" xfId="2" applyFill="1" applyBorder="1" applyAlignment="1">
      <alignment horizontal="center"/>
    </xf>
    <xf numFmtId="0" fontId="3" fillId="21" borderId="20" xfId="2" applyFill="1" applyBorder="1" applyAlignment="1">
      <alignment horizontal="center"/>
    </xf>
    <xf numFmtId="164" fontId="34" fillId="22" borderId="15" xfId="2" applyNumberFormat="1" applyFont="1" applyFill="1" applyBorder="1" applyAlignment="1">
      <alignment horizontal="center" vertical="center" wrapText="1"/>
    </xf>
    <xf numFmtId="164" fontId="34" fillId="15" borderId="15" xfId="2" applyNumberFormat="1" applyFont="1" applyFill="1" applyBorder="1" applyAlignment="1">
      <alignment horizontal="center" vertical="center" wrapText="1"/>
    </xf>
    <xf numFmtId="164" fontId="3" fillId="14" borderId="4" xfId="0" applyNumberFormat="1" applyFont="1" applyFill="1" applyBorder="1" applyAlignment="1">
      <alignment horizontal="center"/>
    </xf>
    <xf numFmtId="0" fontId="16" fillId="13" borderId="0" xfId="0" applyFont="1" applyFill="1" applyAlignment="1">
      <alignment vertical="center"/>
    </xf>
    <xf numFmtId="0" fontId="16" fillId="13" borderId="0" xfId="0" applyFont="1" applyFill="1" applyAlignment="1">
      <alignment horizontal="center" vertical="center"/>
    </xf>
    <xf numFmtId="166" fontId="47" fillId="13" borderId="0" xfId="0" applyNumberFormat="1" applyFont="1" applyFill="1" applyAlignment="1">
      <alignment horizontal="center" vertical="center"/>
    </xf>
    <xf numFmtId="0" fontId="47" fillId="13" borderId="0" xfId="0" applyFont="1" applyFill="1" applyAlignment="1">
      <alignment horizontal="center" vertical="center"/>
    </xf>
    <xf numFmtId="166" fontId="8" fillId="44" borderId="54" xfId="0" applyNumberFormat="1" applyFont="1" applyFill="1" applyBorder="1" applyAlignment="1">
      <alignment horizontal="center" vertical="center"/>
    </xf>
    <xf numFmtId="9" fontId="9" fillId="44" borderId="63" xfId="0" applyNumberFormat="1" applyFont="1" applyFill="1" applyBorder="1" applyAlignment="1">
      <alignment horizontal="center" vertical="center"/>
    </xf>
    <xf numFmtId="166" fontId="8" fillId="44" borderId="7" xfId="0" applyNumberFormat="1" applyFont="1" applyFill="1" applyBorder="1" applyAlignment="1">
      <alignment horizontal="center" vertical="center"/>
    </xf>
    <xf numFmtId="9" fontId="9" fillId="44" borderId="64" xfId="0" applyNumberFormat="1" applyFont="1" applyFill="1" applyBorder="1" applyAlignment="1">
      <alignment horizontal="center" vertical="center"/>
    </xf>
    <xf numFmtId="166" fontId="8" fillId="44" borderId="42" xfId="0" applyNumberFormat="1" applyFont="1" applyFill="1" applyBorder="1" applyAlignment="1">
      <alignment horizontal="center" vertical="center"/>
    </xf>
    <xf numFmtId="166" fontId="4" fillId="44" borderId="49" xfId="6" applyNumberFormat="1" applyFont="1" applyFill="1" applyBorder="1" applyAlignment="1">
      <alignment horizontal="center" vertical="center"/>
    </xf>
    <xf numFmtId="166" fontId="4" fillId="24" borderId="62" xfId="6" applyNumberFormat="1" applyFont="1" applyFill="1" applyBorder="1" applyAlignment="1">
      <alignment horizontal="center" vertical="center"/>
    </xf>
    <xf numFmtId="170" fontId="9" fillId="24" borderId="52" xfId="0" applyNumberFormat="1" applyFont="1" applyFill="1" applyBorder="1" applyAlignment="1">
      <alignment horizontal="center" vertical="center"/>
    </xf>
    <xf numFmtId="166" fontId="3" fillId="44" borderId="54" xfId="6" applyNumberFormat="1" applyFill="1" applyBorder="1" applyAlignment="1">
      <alignment horizontal="center" vertical="center"/>
    </xf>
    <xf numFmtId="9" fontId="4" fillId="44" borderId="61" xfId="1" applyFont="1" applyFill="1" applyBorder="1" applyAlignment="1">
      <alignment horizontal="center" vertical="center"/>
    </xf>
    <xf numFmtId="166" fontId="3" fillId="44" borderId="7" xfId="6" applyNumberFormat="1" applyFill="1" applyBorder="1" applyAlignment="1">
      <alignment horizontal="center" vertical="center"/>
    </xf>
    <xf numFmtId="9" fontId="4" fillId="44" borderId="58" xfId="1" applyFont="1" applyFill="1" applyBorder="1" applyAlignment="1">
      <alignment horizontal="center" vertical="center"/>
    </xf>
    <xf numFmtId="166" fontId="4" fillId="44" borderId="66" xfId="6" applyNumberFormat="1" applyFont="1" applyFill="1" applyBorder="1" applyAlignment="1">
      <alignment horizontal="center" vertical="center"/>
    </xf>
    <xf numFmtId="9" fontId="4" fillId="24" borderId="67" xfId="1" applyFont="1" applyFill="1" applyBorder="1" applyAlignment="1">
      <alignment horizontal="center" vertical="center"/>
    </xf>
    <xf numFmtId="14" fontId="0" fillId="19" borderId="11" xfId="0" applyNumberFormat="1" applyFill="1" applyBorder="1" applyAlignment="1">
      <alignment vertical="center"/>
    </xf>
    <xf numFmtId="0" fontId="0" fillId="19" borderId="5" xfId="0" applyFill="1" applyBorder="1" applyAlignment="1">
      <alignment vertical="center"/>
    </xf>
    <xf numFmtId="0" fontId="16" fillId="19" borderId="5" xfId="0" applyFont="1" applyFill="1" applyBorder="1" applyAlignment="1">
      <alignment vertical="center"/>
    </xf>
    <xf numFmtId="0" fontId="16" fillId="19" borderId="33" xfId="0" applyFont="1" applyFill="1" applyBorder="1" applyAlignment="1">
      <alignment vertical="center"/>
    </xf>
    <xf numFmtId="0" fontId="0" fillId="19" borderId="12" xfId="0" applyFill="1" applyBorder="1" applyAlignment="1">
      <alignment vertical="center"/>
    </xf>
    <xf numFmtId="0" fontId="0" fillId="19" borderId="0" xfId="0" applyFill="1" applyAlignment="1">
      <alignment vertical="center"/>
    </xf>
    <xf numFmtId="0" fontId="16" fillId="19" borderId="0" xfId="0" applyFont="1" applyFill="1" applyAlignment="1">
      <alignment vertical="center"/>
    </xf>
    <xf numFmtId="0" fontId="16" fillId="19" borderId="71" xfId="0" applyFont="1" applyFill="1" applyBorder="1" applyAlignment="1">
      <alignment vertical="center"/>
    </xf>
    <xf numFmtId="166" fontId="3" fillId="19" borderId="12" xfId="6" applyNumberFormat="1" applyFill="1" applyBorder="1" applyAlignment="1">
      <alignment horizontal="center" vertical="center"/>
    </xf>
    <xf numFmtId="0" fontId="38" fillId="26" borderId="49" xfId="0" applyFont="1" applyFill="1" applyBorder="1" applyAlignment="1">
      <alignment horizontal="center" vertical="center"/>
    </xf>
    <xf numFmtId="0" fontId="45" fillId="19" borderId="12" xfId="0" applyFont="1" applyFill="1" applyBorder="1" applyAlignment="1">
      <alignment vertical="center"/>
    </xf>
    <xf numFmtId="0" fontId="2" fillId="19" borderId="12" xfId="0" applyFont="1" applyFill="1" applyBorder="1" applyAlignment="1">
      <alignment vertical="center"/>
    </xf>
    <xf numFmtId="0" fontId="36" fillId="14" borderId="0" xfId="0" applyFont="1" applyFill="1" applyAlignment="1">
      <alignment horizontal="left" vertical="center"/>
    </xf>
    <xf numFmtId="0" fontId="36" fillId="14" borderId="0" xfId="0" applyFont="1" applyFill="1" applyAlignment="1">
      <alignment horizontal="left" vertical="center" wrapText="1"/>
    </xf>
    <xf numFmtId="0" fontId="0" fillId="19" borderId="3" xfId="0" applyFill="1" applyBorder="1" applyAlignment="1">
      <alignment vertical="center"/>
    </xf>
    <xf numFmtId="0" fontId="0" fillId="19" borderId="4" xfId="0" applyFill="1" applyBorder="1" applyAlignment="1">
      <alignment vertical="center"/>
    </xf>
    <xf numFmtId="0" fontId="16" fillId="19" borderId="4" xfId="0" applyFont="1" applyFill="1" applyBorder="1" applyAlignment="1">
      <alignment vertical="center"/>
    </xf>
    <xf numFmtId="0" fontId="16" fillId="19" borderId="72" xfId="0" applyFont="1" applyFill="1" applyBorder="1" applyAlignment="1">
      <alignment vertical="center"/>
    </xf>
    <xf numFmtId="0" fontId="16" fillId="26" borderId="49" xfId="0" applyFont="1" applyFill="1" applyBorder="1" applyAlignment="1">
      <alignment vertical="center"/>
    </xf>
    <xf numFmtId="0" fontId="16" fillId="26" borderId="9" xfId="0" applyFont="1" applyFill="1" applyBorder="1" applyAlignment="1">
      <alignment vertical="center"/>
    </xf>
    <xf numFmtId="166" fontId="47" fillId="18" borderId="25" xfId="0" applyNumberFormat="1" applyFont="1" applyFill="1" applyBorder="1" applyAlignment="1">
      <alignment horizontal="center" vertical="center"/>
    </xf>
    <xf numFmtId="0" fontId="16" fillId="24" borderId="14" xfId="0" applyFont="1" applyFill="1" applyBorder="1" applyAlignment="1">
      <alignment horizontal="center" vertical="center"/>
    </xf>
    <xf numFmtId="0" fontId="16" fillId="24" borderId="15" xfId="0" applyFont="1" applyFill="1" applyBorder="1" applyAlignment="1">
      <alignment horizontal="center" vertical="center"/>
    </xf>
    <xf numFmtId="0" fontId="47" fillId="24" borderId="73" xfId="0" applyFont="1" applyFill="1" applyBorder="1" applyAlignment="1">
      <alignment horizontal="right" vertical="center"/>
    </xf>
    <xf numFmtId="0" fontId="37" fillId="26" borderId="11" xfId="0" applyFont="1" applyFill="1" applyBorder="1" applyAlignment="1">
      <alignment vertical="center"/>
    </xf>
    <xf numFmtId="164" fontId="32" fillId="0" borderId="5" xfId="0" applyNumberFormat="1" applyFont="1" applyBorder="1" applyAlignment="1">
      <alignment horizontal="center" vertical="center"/>
    </xf>
    <xf numFmtId="0" fontId="16" fillId="26" borderId="5" xfId="0" applyFont="1" applyFill="1" applyBorder="1" applyAlignment="1">
      <alignment vertical="center"/>
    </xf>
    <xf numFmtId="0" fontId="16" fillId="26" borderId="33" xfId="0" applyFont="1" applyFill="1" applyBorder="1" applyAlignment="1">
      <alignment vertical="center"/>
    </xf>
    <xf numFmtId="0" fontId="37" fillId="26" borderId="79" xfId="0" applyFont="1" applyFill="1" applyBorder="1" applyAlignment="1">
      <alignment vertical="center"/>
    </xf>
    <xf numFmtId="0" fontId="16" fillId="26" borderId="82" xfId="0" applyFont="1" applyFill="1" applyBorder="1" applyAlignment="1">
      <alignment vertical="center"/>
    </xf>
    <xf numFmtId="0" fontId="16" fillId="13" borderId="12" xfId="0" applyFont="1" applyFill="1" applyBorder="1" applyAlignment="1">
      <alignment vertical="center"/>
    </xf>
    <xf numFmtId="0" fontId="16" fillId="13" borderId="71" xfId="0" applyFont="1" applyFill="1" applyBorder="1" applyAlignment="1">
      <alignment vertical="center"/>
    </xf>
    <xf numFmtId="0" fontId="38" fillId="26" borderId="68" xfId="0" applyFont="1" applyFill="1" applyBorder="1" applyAlignment="1">
      <alignment horizontal="center" vertical="center"/>
    </xf>
    <xf numFmtId="0" fontId="16" fillId="26" borderId="69" xfId="0" applyFont="1" applyFill="1" applyBorder="1" applyAlignment="1">
      <alignment vertical="center"/>
    </xf>
    <xf numFmtId="0" fontId="36" fillId="14" borderId="12" xfId="0" applyFont="1" applyFill="1" applyBorder="1" applyAlignment="1">
      <alignment horizontal="left" vertical="center"/>
    </xf>
    <xf numFmtId="0" fontId="16" fillId="14" borderId="71" xfId="0" applyFont="1" applyFill="1" applyBorder="1" applyAlignment="1">
      <alignment vertical="center"/>
    </xf>
    <xf numFmtId="0" fontId="36" fillId="14" borderId="3" xfId="0" applyFont="1" applyFill="1" applyBorder="1" applyAlignment="1">
      <alignment horizontal="left" vertical="center"/>
    </xf>
    <xf numFmtId="0" fontId="16" fillId="14" borderId="4" xfId="0" applyFont="1" applyFill="1" applyBorder="1" applyAlignment="1">
      <alignment vertical="center"/>
    </xf>
    <xf numFmtId="0" fontId="16" fillId="14" borderId="72" xfId="0" applyFont="1" applyFill="1" applyBorder="1" applyAlignment="1">
      <alignment vertical="center"/>
    </xf>
    <xf numFmtId="0" fontId="0" fillId="19" borderId="33" xfId="0" applyFill="1" applyBorder="1"/>
    <xf numFmtId="0" fontId="0" fillId="19" borderId="71" xfId="0" applyFill="1" applyBorder="1"/>
    <xf numFmtId="0" fontId="0" fillId="19" borderId="12" xfId="0" applyFill="1" applyBorder="1" applyAlignment="1">
      <alignment horizontal="center"/>
    </xf>
    <xf numFmtId="0" fontId="0" fillId="19" borderId="72" xfId="0" applyFill="1" applyBorder="1"/>
    <xf numFmtId="0" fontId="25" fillId="14" borderId="0" xfId="0" applyFont="1" applyFill="1" applyAlignment="1">
      <alignment horizontal="center" wrapText="1"/>
    </xf>
    <xf numFmtId="0" fontId="25" fillId="14" borderId="0" xfId="0" applyFont="1" applyFill="1" applyAlignment="1">
      <alignment horizontal="left"/>
    </xf>
    <xf numFmtId="0" fontId="25" fillId="14" borderId="0" xfId="0" applyFont="1" applyFill="1" applyAlignment="1">
      <alignment horizontal="center"/>
    </xf>
    <xf numFmtId="0" fontId="34" fillId="18" borderId="14" xfId="7" applyFont="1" applyFill="1" applyBorder="1" applyAlignment="1">
      <alignment vertical="center" wrapText="1"/>
    </xf>
    <xf numFmtId="0" fontId="34" fillId="18" borderId="73" xfId="7" applyFont="1" applyFill="1" applyBorder="1" applyAlignment="1">
      <alignment horizontal="center" vertical="center" wrapText="1"/>
    </xf>
    <xf numFmtId="0" fontId="0" fillId="0" borderId="12" xfId="0" applyBorder="1" applyAlignment="1">
      <alignment vertical="center"/>
    </xf>
    <xf numFmtId="0" fontId="0" fillId="0" borderId="3" xfId="0" applyBorder="1" applyAlignment="1">
      <alignment vertical="center"/>
    </xf>
    <xf numFmtId="0" fontId="0" fillId="0" borderId="4" xfId="0" applyBorder="1" applyAlignment="1">
      <alignment horizontal="center" vertical="center" wrapText="1"/>
    </xf>
    <xf numFmtId="0" fontId="0" fillId="0" borderId="4" xfId="0" applyBorder="1" applyAlignment="1">
      <alignment horizontal="center" vertical="center"/>
    </xf>
    <xf numFmtId="164" fontId="58" fillId="10" borderId="12" xfId="2" quotePrefix="1" applyNumberFormat="1" applyFont="1" applyFill="1" applyBorder="1" applyAlignment="1">
      <alignment horizontal="left" vertical="center"/>
    </xf>
    <xf numFmtId="164" fontId="58" fillId="10" borderId="0" xfId="2" quotePrefix="1" applyNumberFormat="1" applyFont="1" applyFill="1" applyAlignment="1">
      <alignment horizontal="left" vertical="center"/>
    </xf>
    <xf numFmtId="164" fontId="58" fillId="10" borderId="71" xfId="2" quotePrefix="1" applyNumberFormat="1" applyFont="1" applyFill="1" applyBorder="1" applyAlignment="1">
      <alignment horizontal="left" vertical="center"/>
    </xf>
    <xf numFmtId="164" fontId="58" fillId="10" borderId="3" xfId="2" quotePrefix="1" applyNumberFormat="1" applyFont="1" applyFill="1" applyBorder="1" applyAlignment="1">
      <alignment horizontal="left" vertical="center"/>
    </xf>
    <xf numFmtId="164" fontId="58" fillId="10" borderId="4" xfId="2" quotePrefix="1" applyNumberFormat="1" applyFont="1" applyFill="1" applyBorder="1" applyAlignment="1">
      <alignment horizontal="left" vertical="center"/>
    </xf>
    <xf numFmtId="164" fontId="58" fillId="10" borderId="72" xfId="2" quotePrefix="1" applyNumberFormat="1" applyFont="1" applyFill="1" applyBorder="1" applyAlignment="1">
      <alignment horizontal="left" vertical="center"/>
    </xf>
    <xf numFmtId="0" fontId="47" fillId="30" borderId="74" xfId="2" applyFont="1" applyFill="1" applyBorder="1" applyAlignment="1">
      <alignment horizontal="center" vertical="center"/>
    </xf>
    <xf numFmtId="0" fontId="47" fillId="30" borderId="75" xfId="2" applyFont="1" applyFill="1" applyBorder="1" applyAlignment="1">
      <alignment horizontal="center" vertical="center"/>
    </xf>
    <xf numFmtId="0" fontId="0" fillId="30" borderId="12" xfId="0" applyFill="1" applyBorder="1"/>
    <xf numFmtId="0" fontId="0" fillId="30" borderId="0" xfId="0" applyFill="1"/>
    <xf numFmtId="0" fontId="22" fillId="30" borderId="71" xfId="0" applyFont="1" applyFill="1" applyBorder="1"/>
    <xf numFmtId="0" fontId="0" fillId="0" borderId="0" xfId="0" applyAlignment="1">
      <alignment vertical="center" wrapText="1"/>
    </xf>
    <xf numFmtId="0" fontId="62" fillId="18" borderId="14" xfId="7" applyFont="1" applyFill="1" applyBorder="1" applyAlignment="1">
      <alignment horizontal="center" vertical="center"/>
    </xf>
    <xf numFmtId="0" fontId="62" fillId="18" borderId="15" xfId="7" applyFont="1" applyFill="1" applyBorder="1" applyAlignment="1">
      <alignment horizontal="center" vertical="center"/>
    </xf>
    <xf numFmtId="0" fontId="62" fillId="18" borderId="15" xfId="7" applyFont="1" applyFill="1" applyBorder="1" applyAlignment="1">
      <alignment horizontal="center" vertical="center" wrapText="1"/>
    </xf>
    <xf numFmtId="0" fontId="62" fillId="18" borderId="73" xfId="7" applyFont="1" applyFill="1" applyBorder="1" applyAlignment="1">
      <alignment horizontal="center" vertical="center" wrapText="1"/>
    </xf>
    <xf numFmtId="0" fontId="0" fillId="14" borderId="71" xfId="0" applyFill="1" applyBorder="1"/>
    <xf numFmtId="0" fontId="0" fillId="14" borderId="72" xfId="0" applyFill="1" applyBorder="1"/>
    <xf numFmtId="0" fontId="0" fillId="14" borderId="12" xfId="0" applyFill="1" applyBorder="1" applyAlignment="1">
      <alignment horizontal="left" vertical="top"/>
    </xf>
    <xf numFmtId="0" fontId="0" fillId="0" borderId="12" xfId="0" applyBorder="1"/>
    <xf numFmtId="0" fontId="2" fillId="0" borderId="71" xfId="0" applyFont="1" applyBorder="1" applyAlignment="1">
      <alignment horizontal="center" vertical="center"/>
    </xf>
    <xf numFmtId="172" fontId="48" fillId="14" borderId="29" xfId="8" applyNumberFormat="1" applyFill="1" applyBorder="1" applyAlignment="1">
      <alignment horizontal="center"/>
    </xf>
    <xf numFmtId="172" fontId="3" fillId="14" borderId="29" xfId="8" applyNumberFormat="1" applyFont="1" applyFill="1" applyBorder="1" applyAlignment="1">
      <alignment horizontal="center"/>
    </xf>
    <xf numFmtId="0" fontId="48" fillId="14" borderId="29" xfId="8" applyFill="1" applyBorder="1" applyAlignment="1">
      <alignment horizontal="center"/>
    </xf>
    <xf numFmtId="0" fontId="48" fillId="14" borderId="30" xfId="8" applyFill="1" applyBorder="1" applyAlignment="1">
      <alignment horizontal="center"/>
    </xf>
    <xf numFmtId="164" fontId="3" fillId="0" borderId="0" xfId="0" applyNumberFormat="1" applyFont="1" applyAlignment="1">
      <alignment horizontal="center"/>
    </xf>
    <xf numFmtId="164" fontId="3" fillId="0" borderId="0" xfId="0" quotePrefix="1" applyNumberFormat="1" applyFont="1" applyAlignment="1">
      <alignment horizontal="center"/>
    </xf>
    <xf numFmtId="164" fontId="3" fillId="0" borderId="0" xfId="0" applyNumberFormat="1" applyFont="1" applyAlignment="1">
      <alignment horizontal="center" vertical="top" wrapText="1"/>
    </xf>
    <xf numFmtId="164" fontId="4" fillId="0" borderId="0" xfId="0" applyNumberFormat="1" applyFont="1" applyAlignment="1">
      <alignment horizontal="center"/>
    </xf>
    <xf numFmtId="164" fontId="3" fillId="2" borderId="0" xfId="0" applyNumberFormat="1" applyFont="1" applyFill="1" applyAlignment="1">
      <alignment horizontal="center" vertical="center" wrapText="1"/>
    </xf>
    <xf numFmtId="166" fontId="3" fillId="6" borderId="0" xfId="0" applyNumberFormat="1" applyFont="1" applyFill="1" applyAlignment="1">
      <alignment horizontal="center" vertical="center"/>
    </xf>
    <xf numFmtId="0" fontId="3" fillId="0" borderId="77" xfId="12" applyBorder="1" applyAlignment="1">
      <alignment vertical="center" wrapText="1"/>
    </xf>
    <xf numFmtId="171" fontId="0" fillId="0" borderId="76" xfId="13" applyNumberFormat="1" applyFont="1" applyBorder="1" applyAlignment="1">
      <alignment vertical="center"/>
    </xf>
    <xf numFmtId="0" fontId="3" fillId="0" borderId="77" xfId="12" applyBorder="1" applyAlignment="1">
      <alignment vertical="center"/>
    </xf>
    <xf numFmtId="171" fontId="0" fillId="0" borderId="76" xfId="13" applyNumberFormat="1" applyFont="1" applyBorder="1" applyAlignment="1">
      <alignment horizontal="center" vertical="center"/>
    </xf>
    <xf numFmtId="0" fontId="3" fillId="0" borderId="77" xfId="12" applyBorder="1" applyAlignment="1">
      <alignment horizontal="center" vertical="center"/>
    </xf>
    <xf numFmtId="0" fontId="0" fillId="14" borderId="0" xfId="0" applyFill="1" applyAlignment="1">
      <alignment horizontal="left" vertical="center" wrapText="1"/>
    </xf>
    <xf numFmtId="14" fontId="0" fillId="19" borderId="83" xfId="0" applyNumberFormat="1" applyFill="1" applyBorder="1"/>
    <xf numFmtId="0" fontId="0" fillId="19" borderId="84" xfId="0" applyFill="1" applyBorder="1"/>
    <xf numFmtId="0" fontId="0" fillId="19" borderId="85" xfId="0" applyFill="1" applyBorder="1"/>
    <xf numFmtId="0" fontId="0" fillId="19" borderId="76" xfId="0" applyFill="1" applyBorder="1"/>
    <xf numFmtId="0" fontId="37" fillId="23" borderId="83" xfId="0" applyFont="1" applyFill="1" applyBorder="1"/>
    <xf numFmtId="164" fontId="32" fillId="14" borderId="84" xfId="0" applyNumberFormat="1" applyFont="1" applyFill="1" applyBorder="1" applyAlignment="1">
      <alignment horizontal="center"/>
    </xf>
    <xf numFmtId="0" fontId="0" fillId="23" borderId="84" xfId="0" applyFill="1" applyBorder="1"/>
    <xf numFmtId="0" fontId="0" fillId="23" borderId="85" xfId="0" applyFill="1" applyBorder="1"/>
    <xf numFmtId="0" fontId="0" fillId="21" borderId="0" xfId="0" applyFill="1"/>
    <xf numFmtId="0" fontId="22" fillId="21" borderId="76" xfId="0" applyFont="1" applyFill="1" applyBorder="1"/>
    <xf numFmtId="0" fontId="38" fillId="23" borderId="65" xfId="0" applyFont="1" applyFill="1" applyBorder="1" applyAlignment="1">
      <alignment horizontal="center" vertical="center"/>
    </xf>
    <xf numFmtId="0" fontId="38" fillId="23" borderId="49" xfId="0" applyFont="1" applyFill="1" applyBorder="1" applyAlignment="1">
      <alignment horizontal="center" vertical="center"/>
    </xf>
    <xf numFmtId="0" fontId="38" fillId="23" borderId="67" xfId="0" applyFont="1" applyFill="1" applyBorder="1" applyAlignment="1">
      <alignment horizontal="center" vertical="center"/>
    </xf>
    <xf numFmtId="0" fontId="0" fillId="14" borderId="83" xfId="0" applyFill="1" applyBorder="1" applyAlignment="1">
      <alignment horizontal="left" vertical="center"/>
    </xf>
    <xf numFmtId="0" fontId="0" fillId="14" borderId="84" xfId="0" applyFill="1" applyBorder="1" applyAlignment="1">
      <alignment horizontal="left" vertical="center"/>
    </xf>
    <xf numFmtId="0" fontId="0" fillId="14" borderId="85" xfId="0" applyFill="1" applyBorder="1" applyAlignment="1">
      <alignment horizontal="left" vertical="center"/>
    </xf>
    <xf numFmtId="0" fontId="0" fillId="14" borderId="76" xfId="0" applyFill="1" applyBorder="1" applyAlignment="1">
      <alignment horizontal="left" vertical="center"/>
    </xf>
    <xf numFmtId="0" fontId="0" fillId="14" borderId="76" xfId="0" applyFill="1" applyBorder="1" applyAlignment="1">
      <alignment horizontal="left" vertical="center" wrapText="1"/>
    </xf>
    <xf numFmtId="0" fontId="0" fillId="14" borderId="76" xfId="0" applyFill="1" applyBorder="1" applyAlignment="1">
      <alignment horizontal="left"/>
    </xf>
    <xf numFmtId="0" fontId="0" fillId="14" borderId="76" xfId="0" applyFill="1" applyBorder="1"/>
    <xf numFmtId="0" fontId="0" fillId="14" borderId="30" xfId="0" applyFill="1" applyBorder="1"/>
    <xf numFmtId="0" fontId="0" fillId="19" borderId="30" xfId="0" applyFill="1" applyBorder="1"/>
    <xf numFmtId="0" fontId="2" fillId="21" borderId="86" xfId="0" applyFont="1" applyFill="1" applyBorder="1" applyAlignment="1">
      <alignment horizontal="center"/>
    </xf>
    <xf numFmtId="0" fontId="2" fillId="21" borderId="87" xfId="0" applyFont="1" applyFill="1" applyBorder="1" applyAlignment="1">
      <alignment horizontal="center"/>
    </xf>
    <xf numFmtId="0" fontId="2" fillId="23" borderId="88" xfId="0" applyFont="1" applyFill="1" applyBorder="1" applyAlignment="1">
      <alignment horizontal="center"/>
    </xf>
    <xf numFmtId="0" fontId="24" fillId="22" borderId="15" xfId="0" applyFont="1" applyFill="1" applyBorder="1" applyAlignment="1">
      <alignment horizontal="center" wrapText="1"/>
    </xf>
    <xf numFmtId="0" fontId="33" fillId="16" borderId="89" xfId="2" applyFont="1" applyFill="1" applyBorder="1" applyAlignment="1">
      <alignment horizontal="center" vertical="center"/>
    </xf>
    <xf numFmtId="164" fontId="3" fillId="14" borderId="77" xfId="0" applyNumberFormat="1" applyFont="1" applyFill="1" applyBorder="1" applyAlignment="1">
      <alignment horizontal="center"/>
    </xf>
    <xf numFmtId="164" fontId="3" fillId="14" borderId="77" xfId="0" quotePrefix="1" applyNumberFormat="1" applyFont="1" applyFill="1" applyBorder="1" applyAlignment="1">
      <alignment horizontal="center"/>
    </xf>
    <xf numFmtId="164" fontId="3" fillId="14" borderId="77" xfId="0" applyNumberFormat="1" applyFont="1" applyFill="1" applyBorder="1" applyAlignment="1">
      <alignment horizontal="center" vertical="top" wrapText="1"/>
    </xf>
    <xf numFmtId="164" fontId="3" fillId="14" borderId="77" xfId="0" applyNumberFormat="1" applyFont="1" applyFill="1" applyBorder="1" applyAlignment="1">
      <alignment horizontal="center" vertical="center"/>
    </xf>
    <xf numFmtId="164" fontId="34" fillId="7" borderId="6" xfId="2" applyNumberFormat="1" applyFont="1" applyFill="1" applyBorder="1" applyAlignment="1">
      <alignment horizontal="center" vertical="center" wrapText="1"/>
    </xf>
    <xf numFmtId="0" fontId="3" fillId="3" borderId="0" xfId="2" applyFill="1" applyAlignment="1">
      <alignment horizontal="center"/>
    </xf>
    <xf numFmtId="0" fontId="3" fillId="3" borderId="0" xfId="2" applyFill="1" applyAlignment="1">
      <alignment horizontal="center" wrapText="1"/>
    </xf>
    <xf numFmtId="0" fontId="3" fillId="3" borderId="0" xfId="2" quotePrefix="1" applyFill="1" applyAlignment="1">
      <alignment horizontal="center"/>
    </xf>
    <xf numFmtId="0" fontId="3" fillId="3" borderId="13" xfId="2" applyFill="1" applyBorder="1" applyAlignment="1">
      <alignment horizontal="center"/>
    </xf>
    <xf numFmtId="0" fontId="3" fillId="3" borderId="5" xfId="2" applyFill="1" applyBorder="1" applyAlignment="1">
      <alignment horizontal="center"/>
    </xf>
    <xf numFmtId="164" fontId="34" fillId="22" borderId="90" xfId="2" applyNumberFormat="1" applyFont="1" applyFill="1" applyBorder="1" applyAlignment="1">
      <alignment horizontal="center" vertical="center"/>
    </xf>
    <xf numFmtId="0" fontId="24" fillId="22" borderId="33" xfId="0" applyFont="1" applyFill="1" applyBorder="1" applyAlignment="1">
      <alignment horizontal="center" vertical="center" wrapText="1"/>
    </xf>
    <xf numFmtId="0" fontId="8" fillId="14" borderId="91" xfId="2" applyFont="1" applyFill="1" applyBorder="1" applyAlignment="1">
      <alignment horizontal="center" vertical="center"/>
    </xf>
    <xf numFmtId="0" fontId="3" fillId="14" borderId="91" xfId="2" applyFill="1" applyBorder="1" applyAlignment="1">
      <alignment horizontal="center"/>
    </xf>
    <xf numFmtId="0" fontId="3" fillId="14" borderId="77" xfId="2" applyFill="1" applyBorder="1" applyAlignment="1">
      <alignment horizontal="center"/>
    </xf>
    <xf numFmtId="0" fontId="3" fillId="14" borderId="77" xfId="2" applyFill="1" applyBorder="1" applyAlignment="1">
      <alignment horizontal="center" wrapText="1"/>
    </xf>
    <xf numFmtId="0" fontId="3" fillId="14" borderId="77" xfId="2" quotePrefix="1" applyFill="1" applyBorder="1" applyAlignment="1">
      <alignment horizontal="center"/>
    </xf>
    <xf numFmtId="0" fontId="3" fillId="14" borderId="77" xfId="2" applyFill="1" applyBorder="1" applyAlignment="1">
      <alignment horizontal="center" vertical="center"/>
    </xf>
    <xf numFmtId="0" fontId="3" fillId="14" borderId="78" xfId="2" applyFill="1" applyBorder="1" applyAlignment="1">
      <alignment horizontal="center"/>
    </xf>
    <xf numFmtId="164" fontId="4" fillId="14" borderId="78" xfId="0" applyNumberFormat="1" applyFont="1" applyFill="1" applyBorder="1" applyAlignment="1">
      <alignment horizontal="center"/>
    </xf>
    <xf numFmtId="0" fontId="2" fillId="2" borderId="0" xfId="0" applyFont="1" applyFill="1" applyAlignment="1">
      <alignment vertical="center" wrapText="1"/>
    </xf>
    <xf numFmtId="0" fontId="0" fillId="2" borderId="0" xfId="0" applyFill="1" applyAlignment="1">
      <alignment vertical="center" wrapText="1"/>
    </xf>
    <xf numFmtId="0" fontId="0" fillId="2" borderId="0" xfId="0" applyFill="1" applyAlignment="1">
      <alignment horizontal="center" vertical="center" wrapText="1"/>
    </xf>
    <xf numFmtId="0" fontId="0" fillId="0" borderId="26" xfId="0" applyBorder="1" applyAlignment="1">
      <alignment horizontal="center" vertical="center" wrapText="1"/>
    </xf>
    <xf numFmtId="0" fontId="0" fillId="2" borderId="76" xfId="0" applyFill="1" applyBorder="1" applyAlignment="1">
      <alignment horizontal="center" vertical="center" wrapText="1"/>
    </xf>
    <xf numFmtId="0" fontId="0" fillId="0" borderId="76" xfId="0" applyBorder="1" applyAlignment="1">
      <alignment horizontal="center" vertical="center" wrapText="1"/>
    </xf>
    <xf numFmtId="0" fontId="2" fillId="2" borderId="76" xfId="0" applyFont="1" applyFill="1" applyBorder="1" applyAlignment="1">
      <alignment horizontal="center" vertical="center" wrapText="1"/>
    </xf>
    <xf numFmtId="0" fontId="2" fillId="2" borderId="9" xfId="0" applyFont="1" applyFill="1" applyBorder="1" applyAlignment="1">
      <alignment vertical="center" wrapText="1"/>
    </xf>
    <xf numFmtId="0" fontId="0" fillId="2" borderId="9" xfId="0" applyFill="1" applyBorder="1" applyAlignment="1">
      <alignment vertical="center" wrapText="1"/>
    </xf>
    <xf numFmtId="0" fontId="0" fillId="2" borderId="9" xfId="0" applyFill="1" applyBorder="1" applyAlignment="1">
      <alignment horizontal="center" vertical="center" wrapText="1"/>
    </xf>
    <xf numFmtId="0" fontId="2" fillId="2" borderId="30" xfId="0" applyFont="1" applyFill="1" applyBorder="1" applyAlignment="1">
      <alignment horizontal="center" vertical="center" wrapText="1"/>
    </xf>
    <xf numFmtId="0" fontId="4" fillId="23" borderId="92" xfId="6" applyFont="1" applyFill="1" applyBorder="1" applyAlignment="1">
      <alignment horizontal="center" vertical="center"/>
    </xf>
    <xf numFmtId="14" fontId="0" fillId="19" borderId="83" xfId="0" applyNumberFormat="1" applyFill="1" applyBorder="1" applyAlignment="1">
      <alignment horizontal="center" vertical="center"/>
    </xf>
    <xf numFmtId="0" fontId="0" fillId="19" borderId="84" xfId="0" applyFill="1" applyBorder="1" applyAlignment="1">
      <alignment horizontal="center" vertical="center"/>
    </xf>
    <xf numFmtId="0" fontId="0" fillId="19" borderId="85" xfId="0" applyFill="1" applyBorder="1" applyAlignment="1">
      <alignment horizontal="center" vertical="center"/>
    </xf>
    <xf numFmtId="0" fontId="3" fillId="14" borderId="2" xfId="6" applyFill="1" applyBorder="1" applyAlignment="1">
      <alignment horizontal="center" vertical="center"/>
    </xf>
    <xf numFmtId="169" fontId="3" fillId="14" borderId="2" xfId="1" applyNumberFormat="1" applyFont="1" applyFill="1" applyBorder="1" applyAlignment="1">
      <alignment horizontal="center" vertical="center"/>
    </xf>
    <xf numFmtId="1" fontId="3" fillId="14" borderId="77" xfId="6" applyNumberFormat="1" applyFill="1" applyBorder="1" applyAlignment="1">
      <alignment horizontal="center" vertical="center"/>
    </xf>
    <xf numFmtId="0" fontId="0" fillId="19" borderId="2" xfId="0" applyFill="1" applyBorder="1" applyAlignment="1">
      <alignment horizontal="center" vertical="center"/>
    </xf>
    <xf numFmtId="0" fontId="0" fillId="19" borderId="76" xfId="0" applyFill="1" applyBorder="1" applyAlignment="1">
      <alignment horizontal="center" vertical="center"/>
    </xf>
    <xf numFmtId="0" fontId="4" fillId="14" borderId="49" xfId="6" applyFont="1" applyFill="1" applyBorder="1" applyAlignment="1">
      <alignment horizontal="center" vertical="center"/>
    </xf>
    <xf numFmtId="0" fontId="4" fillId="14" borderId="65" xfId="6" applyFont="1" applyFill="1" applyBorder="1" applyAlignment="1">
      <alignment horizontal="center" vertical="center"/>
    </xf>
    <xf numFmtId="169" fontId="3" fillId="14" borderId="65" xfId="6" applyNumberFormat="1" applyFill="1" applyBorder="1" applyAlignment="1">
      <alignment horizontal="center" vertical="center"/>
    </xf>
    <xf numFmtId="1" fontId="3" fillId="14" borderId="62" xfId="6" applyNumberFormat="1" applyFill="1" applyBorder="1" applyAlignment="1">
      <alignment horizontal="center" vertical="center"/>
    </xf>
    <xf numFmtId="0" fontId="2" fillId="19" borderId="2" xfId="0" applyFont="1" applyFill="1" applyBorder="1" applyAlignment="1">
      <alignment horizontal="center" vertical="center"/>
    </xf>
    <xf numFmtId="0" fontId="28" fillId="15" borderId="83" xfId="0" applyFont="1" applyFill="1" applyBorder="1" applyAlignment="1">
      <alignment horizontal="center" vertical="center"/>
    </xf>
    <xf numFmtId="0" fontId="27" fillId="15" borderId="84" xfId="6" applyFont="1" applyFill="1" applyBorder="1" applyAlignment="1">
      <alignment horizontal="center" vertical="center"/>
    </xf>
    <xf numFmtId="0" fontId="26" fillId="15" borderId="84" xfId="6" applyFont="1" applyFill="1" applyBorder="1" applyAlignment="1">
      <alignment horizontal="center" vertical="center"/>
    </xf>
    <xf numFmtId="0" fontId="27" fillId="15" borderId="93" xfId="6" applyFont="1" applyFill="1" applyBorder="1" applyAlignment="1">
      <alignment horizontal="center" vertical="center"/>
    </xf>
    <xf numFmtId="0" fontId="0" fillId="23" borderId="26" xfId="0" applyFill="1" applyBorder="1" applyAlignment="1">
      <alignment horizontal="center" vertical="center"/>
    </xf>
    <xf numFmtId="0" fontId="0" fillId="23" borderId="13" xfId="0" applyFill="1" applyBorder="1" applyAlignment="1">
      <alignment horizontal="center" vertical="center"/>
    </xf>
    <xf numFmtId="0" fontId="22" fillId="21" borderId="76" xfId="0" applyFont="1" applyFill="1" applyBorder="1" applyAlignment="1">
      <alignment horizontal="center" vertical="center"/>
    </xf>
    <xf numFmtId="0" fontId="28" fillId="21" borderId="10" xfId="0" applyFont="1" applyFill="1" applyBorder="1" applyAlignment="1">
      <alignment horizontal="center" vertical="center"/>
    </xf>
    <xf numFmtId="0" fontId="27" fillId="21" borderId="9" xfId="6" applyFont="1" applyFill="1" applyBorder="1" applyAlignment="1">
      <alignment horizontal="center" vertical="center"/>
    </xf>
    <xf numFmtId="0" fontId="8" fillId="21" borderId="9" xfId="6" applyFont="1" applyFill="1" applyBorder="1" applyAlignment="1">
      <alignment horizontal="center" vertical="center"/>
    </xf>
    <xf numFmtId="0" fontId="8" fillId="14" borderId="16" xfId="6" applyFont="1" applyFill="1" applyBorder="1" applyAlignment="1">
      <alignment horizontal="center" vertical="center"/>
    </xf>
    <xf numFmtId="0" fontId="0" fillId="0" borderId="76" xfId="0" applyBorder="1" applyAlignment="1">
      <alignment horizontal="left" vertical="center"/>
    </xf>
    <xf numFmtId="0" fontId="0" fillId="19" borderId="10" xfId="0" applyFill="1" applyBorder="1" applyAlignment="1">
      <alignment horizontal="center" vertical="center"/>
    </xf>
    <xf numFmtId="0" fontId="0" fillId="19" borderId="9" xfId="0" applyFill="1" applyBorder="1" applyAlignment="1">
      <alignment horizontal="center" vertical="center"/>
    </xf>
    <xf numFmtId="0" fontId="0" fillId="19" borderId="30" xfId="0" applyFill="1" applyBorder="1" applyAlignment="1">
      <alignment horizontal="center" vertical="center"/>
    </xf>
    <xf numFmtId="0" fontId="4" fillId="23" borderId="94" xfId="6" applyFont="1" applyFill="1" applyBorder="1" applyAlignment="1">
      <alignment horizontal="center" vertical="center" wrapText="1"/>
    </xf>
    <xf numFmtId="0" fontId="4" fillId="23" borderId="84" xfId="6" applyFont="1" applyFill="1" applyBorder="1" applyAlignment="1">
      <alignment horizontal="center" vertical="center"/>
    </xf>
    <xf numFmtId="17" fontId="4" fillId="23" borderId="84" xfId="6" applyNumberFormat="1" applyFont="1" applyFill="1" applyBorder="1" applyAlignment="1">
      <alignment horizontal="center" vertical="center"/>
    </xf>
    <xf numFmtId="0" fontId="4" fillId="23" borderId="93" xfId="6" applyFont="1" applyFill="1" applyBorder="1" applyAlignment="1">
      <alignment horizontal="center" vertical="center"/>
    </xf>
    <xf numFmtId="0" fontId="3" fillId="21" borderId="95" xfId="6" applyFill="1" applyBorder="1" applyAlignment="1">
      <alignment horizontal="center" vertical="center"/>
    </xf>
    <xf numFmtId="0" fontId="3" fillId="21" borderId="85" xfId="6" applyFill="1" applyBorder="1" applyAlignment="1">
      <alignment horizontal="center" vertical="center"/>
    </xf>
    <xf numFmtId="0" fontId="3" fillId="14" borderId="83" xfId="6" applyFill="1" applyBorder="1" applyAlignment="1">
      <alignment horizontal="center" vertical="center"/>
    </xf>
    <xf numFmtId="169" fontId="3" fillId="14" borderId="83" xfId="6" applyNumberFormat="1" applyFill="1" applyBorder="1" applyAlignment="1">
      <alignment horizontal="center" vertical="center"/>
    </xf>
    <xf numFmtId="1" fontId="3" fillId="14" borderId="91" xfId="6" applyNumberFormat="1" applyFill="1" applyBorder="1" applyAlignment="1">
      <alignment horizontal="center" vertical="center"/>
    </xf>
    <xf numFmtId="0" fontId="3" fillId="21" borderId="87" xfId="6" applyFill="1" applyBorder="1" applyAlignment="1">
      <alignment horizontal="center" vertical="center"/>
    </xf>
    <xf numFmtId="169" fontId="3" fillId="14" borderId="2" xfId="6" applyNumberFormat="1" applyFill="1" applyBorder="1" applyAlignment="1">
      <alignment horizontal="center" vertical="center"/>
    </xf>
    <xf numFmtId="0" fontId="4" fillId="23" borderId="96" xfId="6" applyFont="1" applyFill="1" applyBorder="1" applyAlignment="1">
      <alignment horizontal="center" vertical="center"/>
    </xf>
    <xf numFmtId="0" fontId="4" fillId="14" borderId="17" xfId="6" applyFont="1" applyFill="1" applyBorder="1" applyAlignment="1">
      <alignment horizontal="center" vertical="center"/>
    </xf>
    <xf numFmtId="0" fontId="4" fillId="14" borderId="21" xfId="6" applyFont="1" applyFill="1" applyBorder="1" applyAlignment="1">
      <alignment horizontal="center" vertical="center"/>
    </xf>
    <xf numFmtId="169" fontId="4" fillId="14" borderId="21" xfId="6" applyNumberFormat="1" applyFont="1" applyFill="1" applyBorder="1" applyAlignment="1">
      <alignment horizontal="center" vertical="center"/>
    </xf>
    <xf numFmtId="1" fontId="4" fillId="14" borderId="62" xfId="6" applyNumberFormat="1" applyFont="1" applyFill="1" applyBorder="1" applyAlignment="1">
      <alignment horizontal="center" vertical="center"/>
    </xf>
    <xf numFmtId="0" fontId="3" fillId="0" borderId="0" xfId="2" applyAlignment="1">
      <alignment horizontal="center" vertical="center" wrapText="1"/>
    </xf>
    <xf numFmtId="0" fontId="3" fillId="0" borderId="0" xfId="0" applyFont="1" applyAlignment="1">
      <alignment horizontal="left" vertical="center" wrapText="1"/>
    </xf>
    <xf numFmtId="166" fontId="3" fillId="0" borderId="0" xfId="2" applyNumberFormat="1" applyAlignment="1">
      <alignment horizontal="center" vertical="center" wrapText="1"/>
    </xf>
    <xf numFmtId="167" fontId="3" fillId="0" borderId="0" xfId="0" applyNumberFormat="1" applyFont="1" applyAlignment="1">
      <alignment horizontal="center" vertical="center"/>
    </xf>
    <xf numFmtId="0" fontId="3" fillId="4" borderId="0" xfId="0" applyFont="1" applyFill="1" applyAlignment="1">
      <alignment horizontal="center" vertical="center" wrapText="1"/>
    </xf>
    <xf numFmtId="0" fontId="12" fillId="2" borderId="0" xfId="0" applyFont="1" applyFill="1" applyAlignment="1">
      <alignment horizontal="left" vertical="center" wrapText="1"/>
    </xf>
    <xf numFmtId="0" fontId="12" fillId="0" borderId="5" xfId="0" applyFont="1" applyBorder="1" applyAlignment="1">
      <alignment horizontal="left" vertical="center" wrapText="1"/>
    </xf>
    <xf numFmtId="0" fontId="12" fillId="0" borderId="0" xfId="0" applyFont="1" applyAlignment="1">
      <alignment horizontal="left" vertical="center" wrapText="1"/>
    </xf>
    <xf numFmtId="166" fontId="3" fillId="31" borderId="0" xfId="9" quotePrefix="1" applyNumberFormat="1" applyFont="1" applyFill="1" applyAlignment="1">
      <alignment horizontal="center" vertical="center"/>
    </xf>
    <xf numFmtId="166" fontId="3" fillId="31" borderId="0" xfId="2" applyNumberFormat="1" applyFill="1" applyAlignment="1">
      <alignment horizontal="center" vertical="center"/>
    </xf>
    <xf numFmtId="166" fontId="3" fillId="0" borderId="0" xfId="2" applyNumberFormat="1" applyAlignment="1">
      <alignment horizontal="center" vertical="center"/>
    </xf>
    <xf numFmtId="0" fontId="3" fillId="0" borderId="0" xfId="0" quotePrefix="1" applyFont="1" applyAlignment="1">
      <alignment horizontal="center" vertical="center"/>
    </xf>
    <xf numFmtId="167" fontId="3" fillId="31" borderId="0" xfId="2" applyNumberFormat="1" applyFill="1" applyAlignment="1">
      <alignment horizontal="center" vertical="center"/>
    </xf>
    <xf numFmtId="0" fontId="3" fillId="31" borderId="0" xfId="0" applyFont="1" applyFill="1" applyAlignment="1">
      <alignment horizontal="center" vertical="center"/>
    </xf>
    <xf numFmtId="0" fontId="10" fillId="31" borderId="0" xfId="2" applyFont="1" applyFill="1" applyAlignment="1">
      <alignment horizontal="left" vertical="center" wrapText="1"/>
    </xf>
    <xf numFmtId="166" fontId="8" fillId="31" borderId="0" xfId="2" applyNumberFormat="1" applyFont="1" applyFill="1" applyAlignment="1">
      <alignment horizontal="center" vertical="center"/>
    </xf>
    <xf numFmtId="166" fontId="3" fillId="31" borderId="0" xfId="9" applyNumberFormat="1" applyFont="1" applyFill="1" applyAlignment="1">
      <alignment horizontal="center" vertical="center"/>
    </xf>
    <xf numFmtId="0" fontId="3" fillId="4" borderId="0" xfId="0" applyFont="1" applyFill="1" applyAlignment="1">
      <alignment horizontal="center" vertical="center"/>
    </xf>
    <xf numFmtId="164" fontId="3" fillId="31" borderId="0" xfId="0" applyNumberFormat="1" applyFont="1" applyFill="1" applyAlignment="1">
      <alignment horizontal="center" vertical="center"/>
    </xf>
    <xf numFmtId="0" fontId="3" fillId="0" borderId="0" xfId="0" applyFont="1" applyAlignment="1">
      <alignment horizontal="center" vertical="center"/>
    </xf>
    <xf numFmtId="166" fontId="8" fillId="0" borderId="0" xfId="0" applyNumberFormat="1" applyFont="1" applyAlignment="1">
      <alignment horizontal="center" vertical="center"/>
    </xf>
    <xf numFmtId="0" fontId="3" fillId="0" borderId="0" xfId="2" quotePrefix="1" applyAlignment="1">
      <alignment horizontal="center" vertical="center" wrapText="1"/>
    </xf>
    <xf numFmtId="166" fontId="3" fillId="0" borderId="0" xfId="0" applyNumberFormat="1" applyFont="1" applyAlignment="1">
      <alignment horizontal="center" vertical="center" wrapText="1"/>
    </xf>
    <xf numFmtId="0" fontId="3" fillId="3" borderId="0" xfId="0" applyFont="1" applyFill="1" applyAlignment="1">
      <alignment horizontal="center" vertical="center"/>
    </xf>
    <xf numFmtId="0" fontId="3" fillId="31" borderId="0" xfId="2" applyFill="1" applyAlignment="1">
      <alignment horizontal="left" vertical="center" wrapText="1"/>
    </xf>
    <xf numFmtId="166" fontId="3" fillId="31" borderId="0" xfId="2" applyNumberFormat="1" applyFill="1" applyAlignment="1">
      <alignment horizontal="center" vertical="center" wrapText="1"/>
    </xf>
    <xf numFmtId="0" fontId="3" fillId="31" borderId="0" xfId="2" quotePrefix="1" applyFill="1" applyAlignment="1">
      <alignment horizontal="center" vertical="center" wrapText="1"/>
    </xf>
    <xf numFmtId="49" fontId="3" fillId="31" borderId="0" xfId="0" applyNumberFormat="1" applyFont="1" applyFill="1" applyAlignment="1">
      <alignment horizontal="center" vertical="center" wrapText="1"/>
    </xf>
    <xf numFmtId="166" fontId="8" fillId="31" borderId="0" xfId="0" applyNumberFormat="1" applyFont="1" applyFill="1" applyAlignment="1">
      <alignment horizontal="center" vertical="center"/>
    </xf>
    <xf numFmtId="167" fontId="12" fillId="31" borderId="0" xfId="0" applyNumberFormat="1" applyFont="1" applyFill="1" applyAlignment="1">
      <alignment horizontal="left" vertical="center" wrapText="1"/>
    </xf>
    <xf numFmtId="164" fontId="3" fillId="31" borderId="0" xfId="2" applyNumberFormat="1" applyFill="1" applyAlignment="1">
      <alignment horizontal="center" vertical="center"/>
    </xf>
    <xf numFmtId="165" fontId="3" fillId="31" borderId="0" xfId="2" applyNumberFormat="1" applyFill="1" applyAlignment="1">
      <alignment horizontal="center" vertical="center"/>
    </xf>
    <xf numFmtId="0" fontId="3" fillId="32" borderId="0" xfId="0" applyFont="1" applyFill="1" applyAlignment="1">
      <alignment horizontal="center" vertical="center"/>
    </xf>
    <xf numFmtId="0" fontId="12" fillId="31" borderId="0" xfId="0" applyFont="1" applyFill="1" applyAlignment="1">
      <alignment horizontal="left" vertical="center" wrapText="1"/>
    </xf>
    <xf numFmtId="166" fontId="3" fillId="31" borderId="0" xfId="0" applyNumberFormat="1" applyFont="1" applyFill="1" applyAlignment="1">
      <alignment horizontal="center" vertical="center"/>
    </xf>
    <xf numFmtId="0" fontId="3" fillId="31" borderId="0" xfId="0" applyFont="1" applyFill="1" applyAlignment="1">
      <alignment horizontal="left" vertical="center" wrapText="1"/>
    </xf>
    <xf numFmtId="166" fontId="3" fillId="31" borderId="0" xfId="9" quotePrefix="1" applyNumberFormat="1" applyFont="1" applyFill="1" applyAlignment="1">
      <alignment horizontal="center" vertical="center" wrapText="1"/>
    </xf>
    <xf numFmtId="0" fontId="3" fillId="31" borderId="0" xfId="0" quotePrefix="1" applyFont="1" applyFill="1" applyAlignment="1">
      <alignment horizontal="center" vertical="center" wrapText="1"/>
    </xf>
    <xf numFmtId="165" fontId="3" fillId="31" borderId="0" xfId="0" applyNumberFormat="1" applyFont="1" applyFill="1" applyAlignment="1">
      <alignment horizontal="center" vertical="center"/>
    </xf>
    <xf numFmtId="0" fontId="8" fillId="31" borderId="0" xfId="2" applyFont="1" applyFill="1" applyAlignment="1">
      <alignment horizontal="center" vertical="center"/>
    </xf>
    <xf numFmtId="167" fontId="3" fillId="31" borderId="0" xfId="0" applyNumberFormat="1" applyFont="1" applyFill="1" applyAlignment="1">
      <alignment horizontal="center" vertical="center"/>
    </xf>
    <xf numFmtId="0" fontId="3" fillId="32" borderId="0" xfId="0" applyFont="1" applyFill="1" applyAlignment="1">
      <alignment horizontal="center" vertical="center" wrapText="1"/>
    </xf>
    <xf numFmtId="0" fontId="3" fillId="31" borderId="0" xfId="2" applyFill="1" applyAlignment="1">
      <alignment horizontal="center" vertical="center" wrapText="1"/>
    </xf>
    <xf numFmtId="166" fontId="11" fillId="31" borderId="0" xfId="0" applyNumberFormat="1" applyFont="1" applyFill="1" applyAlignment="1">
      <alignment horizontal="center" vertical="center"/>
    </xf>
    <xf numFmtId="0" fontId="11" fillId="31" borderId="0" xfId="0" applyFont="1" applyFill="1" applyAlignment="1">
      <alignment horizontal="center" vertical="center"/>
    </xf>
    <xf numFmtId="0" fontId="11" fillId="31" borderId="0" xfId="0" applyFont="1" applyFill="1" applyAlignment="1">
      <alignment horizontal="left" vertical="center" wrapText="1"/>
    </xf>
    <xf numFmtId="0" fontId="3" fillId="31" borderId="0" xfId="0" applyFont="1" applyFill="1" applyAlignment="1">
      <alignment horizontal="center" vertical="center" wrapText="1"/>
    </xf>
    <xf numFmtId="167" fontId="3" fillId="31" borderId="0" xfId="2" applyNumberFormat="1" applyFill="1" applyAlignment="1">
      <alignment horizontal="center" vertical="center" wrapText="1"/>
    </xf>
    <xf numFmtId="0" fontId="12" fillId="31" borderId="4" xfId="0" applyFont="1" applyFill="1" applyBorder="1" applyAlignment="1">
      <alignment horizontal="left" vertical="center" wrapText="1"/>
    </xf>
    <xf numFmtId="166" fontId="3" fillId="31" borderId="4" xfId="2" applyNumberFormat="1" applyFill="1" applyBorder="1" applyAlignment="1">
      <alignment horizontal="center" vertical="center"/>
    </xf>
    <xf numFmtId="0" fontId="3" fillId="31" borderId="4" xfId="0" quotePrefix="1" applyFont="1" applyFill="1" applyBorder="1" applyAlignment="1">
      <alignment horizontal="center" vertical="center" wrapText="1"/>
    </xf>
    <xf numFmtId="167" fontId="3" fillId="31" borderId="4" xfId="0" applyNumberFormat="1" applyFont="1" applyFill="1" applyBorder="1" applyAlignment="1">
      <alignment horizontal="center" vertical="center"/>
    </xf>
    <xf numFmtId="0" fontId="3" fillId="31" borderId="4" xfId="0" applyFont="1" applyFill="1" applyBorder="1" applyAlignment="1">
      <alignment horizontal="center" vertical="center"/>
    </xf>
    <xf numFmtId="0" fontId="5" fillId="31" borderId="0" xfId="2" applyFont="1" applyFill="1" applyAlignment="1">
      <alignment horizontal="center" vertical="center"/>
    </xf>
    <xf numFmtId="0" fontId="3" fillId="31" borderId="4" xfId="0" applyFont="1" applyFill="1" applyBorder="1" applyAlignment="1">
      <alignment horizontal="left" vertical="center" wrapText="1"/>
    </xf>
    <xf numFmtId="0" fontId="11" fillId="32" borderId="0" xfId="0" applyFont="1" applyFill="1" applyAlignment="1">
      <alignment horizontal="center" vertical="center"/>
    </xf>
    <xf numFmtId="0" fontId="3" fillId="31" borderId="0" xfId="2" applyFill="1" applyAlignment="1">
      <alignment horizontal="center" vertical="center"/>
    </xf>
    <xf numFmtId="0" fontId="3" fillId="0" borderId="0" xfId="2" applyAlignment="1">
      <alignment horizontal="center"/>
    </xf>
    <xf numFmtId="0" fontId="34" fillId="16" borderId="31" xfId="2" applyFont="1" applyFill="1" applyBorder="1" applyAlignment="1">
      <alignment horizontal="center" vertical="center"/>
    </xf>
    <xf numFmtId="0" fontId="4" fillId="16" borderId="1" xfId="2" applyFont="1" applyFill="1" applyBorder="1" applyAlignment="1">
      <alignment horizontal="center" vertical="center"/>
    </xf>
    <xf numFmtId="0" fontId="4" fillId="16" borderId="32" xfId="2" applyFont="1" applyFill="1" applyBorder="1" applyAlignment="1">
      <alignment horizontal="center" vertical="center"/>
    </xf>
    <xf numFmtId="0" fontId="4" fillId="16" borderId="2" xfId="2" applyFont="1" applyFill="1" applyBorder="1" applyAlignment="1">
      <alignment horizontal="center" vertical="center"/>
    </xf>
    <xf numFmtId="0" fontId="4" fillId="16" borderId="0" xfId="2" applyFont="1" applyFill="1" applyAlignment="1">
      <alignment horizontal="center" vertical="center"/>
    </xf>
    <xf numFmtId="0" fontId="4" fillId="16" borderId="29" xfId="2" applyFont="1" applyFill="1" applyBorder="1" applyAlignment="1">
      <alignment horizontal="center" vertical="center"/>
    </xf>
    <xf numFmtId="0" fontId="3" fillId="22" borderId="2" xfId="2" applyFill="1" applyBorder="1" applyAlignment="1">
      <alignment horizontal="center"/>
    </xf>
    <xf numFmtId="0" fontId="3" fillId="22" borderId="0" xfId="2" applyFill="1" applyAlignment="1">
      <alignment horizontal="center"/>
    </xf>
    <xf numFmtId="0" fontId="3" fillId="22" borderId="70" xfId="2" applyFill="1" applyBorder="1" applyAlignment="1">
      <alignment horizontal="center"/>
    </xf>
    <xf numFmtId="0" fontId="52" fillId="23" borderId="11" xfId="2" applyFont="1" applyFill="1" applyBorder="1" applyAlignment="1">
      <alignment horizontal="center" vertical="center" wrapText="1"/>
    </xf>
    <xf numFmtId="0" fontId="51" fillId="23" borderId="12" xfId="2" applyFont="1" applyFill="1" applyBorder="1" applyAlignment="1">
      <alignment horizontal="center" vertical="center" wrapText="1"/>
    </xf>
    <xf numFmtId="0" fontId="4" fillId="23" borderId="5" xfId="2" applyFont="1" applyFill="1" applyBorder="1" applyAlignment="1">
      <alignment horizontal="center" vertical="center" wrapText="1"/>
    </xf>
    <xf numFmtId="0" fontId="4" fillId="23" borderId="0" xfId="2" applyFont="1" applyFill="1" applyAlignment="1">
      <alignment horizontal="center" vertical="center" wrapText="1"/>
    </xf>
    <xf numFmtId="0" fontId="4" fillId="23" borderId="33" xfId="2" applyFont="1" applyFill="1" applyBorder="1" applyAlignment="1">
      <alignment horizontal="center" wrapText="1"/>
    </xf>
    <xf numFmtId="0" fontId="4" fillId="23" borderId="34" xfId="2" applyFont="1" applyFill="1" applyBorder="1" applyAlignment="1">
      <alignment horizontal="center" wrapText="1"/>
    </xf>
    <xf numFmtId="0" fontId="0" fillId="14" borderId="12" xfId="0" applyFill="1" applyBorder="1" applyAlignment="1">
      <alignment horizontal="left" vertical="center"/>
    </xf>
    <xf numFmtId="0" fontId="0" fillId="14" borderId="0" xfId="0" applyFill="1" applyAlignment="1">
      <alignment horizontal="left" vertical="center"/>
    </xf>
    <xf numFmtId="0" fontId="0" fillId="14" borderId="71" xfId="0" applyFill="1" applyBorder="1" applyAlignment="1">
      <alignment horizontal="left" vertical="center"/>
    </xf>
    <xf numFmtId="0" fontId="34" fillId="16" borderId="11" xfId="2" applyFont="1" applyFill="1" applyBorder="1" applyAlignment="1">
      <alignment horizontal="center" vertical="center"/>
    </xf>
    <xf numFmtId="0" fontId="4" fillId="16" borderId="5" xfId="2" applyFont="1" applyFill="1" applyBorder="1" applyAlignment="1">
      <alignment horizontal="center" vertical="center"/>
    </xf>
    <xf numFmtId="0" fontId="4" fillId="16" borderId="33" xfId="2" applyFont="1" applyFill="1" applyBorder="1" applyAlignment="1">
      <alignment horizontal="center" vertical="center"/>
    </xf>
    <xf numFmtId="0" fontId="4" fillId="16" borderId="12" xfId="2" applyFont="1" applyFill="1" applyBorder="1" applyAlignment="1">
      <alignment horizontal="center" vertical="center"/>
    </xf>
    <xf numFmtId="0" fontId="4" fillId="16" borderId="71" xfId="2" applyFont="1" applyFill="1" applyBorder="1" applyAlignment="1">
      <alignment horizontal="center" vertical="center"/>
    </xf>
    <xf numFmtId="0" fontId="3" fillId="22" borderId="79" xfId="2" applyFill="1" applyBorder="1" applyAlignment="1">
      <alignment horizontal="center"/>
    </xf>
    <xf numFmtId="0" fontId="3" fillId="22" borderId="9" xfId="2" applyFill="1" applyBorder="1" applyAlignment="1">
      <alignment horizontal="center"/>
    </xf>
    <xf numFmtId="0" fontId="3" fillId="22" borderId="82" xfId="2" applyFill="1" applyBorder="1" applyAlignment="1">
      <alignment horizontal="center"/>
    </xf>
    <xf numFmtId="0" fontId="22" fillId="14" borderId="12" xfId="0" applyFont="1" applyFill="1" applyBorder="1" applyAlignment="1">
      <alignment horizontal="left" vertical="center"/>
    </xf>
    <xf numFmtId="0" fontId="22" fillId="14" borderId="0" xfId="0" applyFont="1" applyFill="1" applyAlignment="1">
      <alignment horizontal="left" vertical="center"/>
    </xf>
    <xf numFmtId="0" fontId="22" fillId="14" borderId="71" xfId="0" applyFont="1" applyFill="1" applyBorder="1" applyAlignment="1">
      <alignment horizontal="left" vertical="center"/>
    </xf>
    <xf numFmtId="0" fontId="29" fillId="16" borderId="11" xfId="6" applyFont="1" applyFill="1" applyBorder="1" applyAlignment="1">
      <alignment horizontal="center" vertical="center"/>
    </xf>
    <xf numFmtId="0" fontId="29" fillId="16" borderId="5" xfId="6" applyFont="1" applyFill="1" applyBorder="1" applyAlignment="1">
      <alignment horizontal="center" vertical="center"/>
    </xf>
    <xf numFmtId="0" fontId="29" fillId="16" borderId="33" xfId="6" applyFont="1" applyFill="1" applyBorder="1" applyAlignment="1">
      <alignment horizontal="center" vertical="center"/>
    </xf>
    <xf numFmtId="0" fontId="38" fillId="23" borderId="94" xfId="0" applyFont="1" applyFill="1" applyBorder="1" applyAlignment="1">
      <alignment horizontal="center" vertical="center"/>
    </xf>
    <xf numFmtId="0" fontId="38" fillId="23" borderId="84" xfId="0" applyFont="1" applyFill="1" applyBorder="1" applyAlignment="1">
      <alignment horizontal="center" vertical="center"/>
    </xf>
    <xf numFmtId="0" fontId="38" fillId="23" borderId="85" xfId="0" applyFont="1" applyFill="1" applyBorder="1" applyAlignment="1">
      <alignment horizontal="center" vertical="center"/>
    </xf>
    <xf numFmtId="0" fontId="29" fillId="0" borderId="0" xfId="6" applyFont="1" applyAlignment="1">
      <alignment horizontal="center" vertical="center"/>
    </xf>
    <xf numFmtId="0" fontId="36" fillId="23" borderId="65" xfId="0" applyFont="1" applyFill="1" applyBorder="1" applyAlignment="1">
      <alignment horizontal="center" vertical="center"/>
    </xf>
    <xf numFmtId="0" fontId="36" fillId="23" borderId="92" xfId="0" applyFont="1" applyFill="1" applyBorder="1" applyAlignment="1">
      <alignment horizontal="center" vertical="center"/>
    </xf>
    <xf numFmtId="0" fontId="4" fillId="21" borderId="83" xfId="6" applyFont="1" applyFill="1" applyBorder="1" applyAlignment="1">
      <alignment horizontal="left" vertical="center"/>
    </xf>
    <xf numFmtId="0" fontId="4" fillId="21" borderId="85" xfId="6" applyFont="1" applyFill="1" applyBorder="1" applyAlignment="1">
      <alignment horizontal="left" vertical="center"/>
    </xf>
    <xf numFmtId="0" fontId="4" fillId="21" borderId="2" xfId="6" applyFont="1" applyFill="1" applyBorder="1" applyAlignment="1">
      <alignment horizontal="left" vertical="center"/>
    </xf>
    <xf numFmtId="0" fontId="4" fillId="21" borderId="76" xfId="6" applyFont="1" applyFill="1" applyBorder="1" applyAlignment="1">
      <alignment horizontal="left" vertical="center"/>
    </xf>
    <xf numFmtId="0" fontId="4" fillId="21" borderId="10" xfId="6" applyFont="1" applyFill="1" applyBorder="1" applyAlignment="1">
      <alignment horizontal="left" vertical="center"/>
    </xf>
    <xf numFmtId="0" fontId="4" fillId="21" borderId="30" xfId="6" applyFont="1" applyFill="1" applyBorder="1" applyAlignment="1">
      <alignment horizontal="left" vertical="center"/>
    </xf>
    <xf numFmtId="0" fontId="0" fillId="14" borderId="76" xfId="0" applyFill="1" applyBorder="1" applyAlignment="1">
      <alignment horizontal="left" vertical="center"/>
    </xf>
    <xf numFmtId="0" fontId="0" fillId="14" borderId="11" xfId="0" applyFill="1" applyBorder="1" applyAlignment="1">
      <alignment horizontal="left" vertical="center"/>
    </xf>
    <xf numFmtId="0" fontId="0" fillId="14" borderId="5" xfId="0" applyFill="1" applyBorder="1" applyAlignment="1">
      <alignment horizontal="left" vertical="center"/>
    </xf>
    <xf numFmtId="0" fontId="0" fillId="14" borderId="26" xfId="0" applyFill="1" applyBorder="1" applyAlignment="1">
      <alignment horizontal="left" vertical="center"/>
    </xf>
    <xf numFmtId="0" fontId="0" fillId="14" borderId="12" xfId="0" applyFill="1" applyBorder="1" applyAlignment="1">
      <alignment horizontal="left" vertical="center" wrapText="1"/>
    </xf>
    <xf numFmtId="0" fontId="0" fillId="14" borderId="0" xfId="0" applyFill="1" applyAlignment="1">
      <alignment horizontal="left" vertical="center" wrapText="1"/>
    </xf>
    <xf numFmtId="0" fontId="0" fillId="14" borderId="76" xfId="0" applyFill="1" applyBorder="1" applyAlignment="1">
      <alignment horizontal="left" vertical="center" wrapText="1"/>
    </xf>
    <xf numFmtId="0" fontId="0" fillId="14" borderId="3" xfId="0" applyFill="1" applyBorder="1" applyAlignment="1">
      <alignment horizontal="left" vertical="center"/>
    </xf>
    <xf numFmtId="0" fontId="0" fillId="14" borderId="4" xfId="0" applyFill="1" applyBorder="1" applyAlignment="1">
      <alignment horizontal="left" vertical="center"/>
    </xf>
    <xf numFmtId="0" fontId="0" fillId="14" borderId="13" xfId="0" applyFill="1" applyBorder="1" applyAlignment="1">
      <alignment horizontal="left" vertical="center"/>
    </xf>
    <xf numFmtId="0" fontId="4" fillId="43" borderId="10" xfId="0" applyFont="1" applyFill="1" applyBorder="1" applyAlignment="1">
      <alignment horizontal="left"/>
    </xf>
    <xf numFmtId="0" fontId="4" fillId="43" borderId="9" xfId="0" applyFont="1" applyFill="1" applyBorder="1" applyAlignment="1">
      <alignment horizontal="left"/>
    </xf>
    <xf numFmtId="0" fontId="4" fillId="43" borderId="82" xfId="0" applyFont="1" applyFill="1" applyBorder="1" applyAlignment="1">
      <alignment horizontal="left"/>
    </xf>
    <xf numFmtId="0" fontId="69" fillId="42" borderId="83" xfId="0" applyFont="1" applyFill="1" applyBorder="1" applyAlignment="1">
      <alignment horizontal="center"/>
    </xf>
    <xf numFmtId="0" fontId="69" fillId="42" borderId="84" xfId="0" applyFont="1" applyFill="1" applyBorder="1" applyAlignment="1">
      <alignment horizontal="center"/>
    </xf>
    <xf numFmtId="0" fontId="69" fillId="42" borderId="85" xfId="0" applyFont="1" applyFill="1" applyBorder="1" applyAlignment="1">
      <alignment horizontal="center"/>
    </xf>
    <xf numFmtId="0" fontId="33" fillId="16" borderId="14" xfId="2" applyFont="1" applyFill="1" applyBorder="1" applyAlignment="1">
      <alignment horizontal="center" vertical="center"/>
    </xf>
    <xf numFmtId="0" fontId="33" fillId="16" borderId="15" xfId="2" applyFont="1" applyFill="1" applyBorder="1" applyAlignment="1">
      <alignment horizontal="center" vertical="center"/>
    </xf>
    <xf numFmtId="0" fontId="33" fillId="16" borderId="24" xfId="2" applyFont="1" applyFill="1" applyBorder="1" applyAlignment="1">
      <alignment horizontal="center" vertical="center"/>
    </xf>
    <xf numFmtId="164" fontId="70" fillId="14" borderId="2" xfId="0" applyNumberFormat="1" applyFont="1" applyFill="1" applyBorder="1" applyAlignment="1">
      <alignment horizontal="left"/>
    </xf>
    <xf numFmtId="164" fontId="70" fillId="14" borderId="0" xfId="0" applyNumberFormat="1" applyFont="1" applyFill="1" applyAlignment="1">
      <alignment horizontal="left"/>
    </xf>
    <xf numFmtId="164" fontId="70" fillId="14" borderId="71" xfId="0" applyNumberFormat="1" applyFont="1" applyFill="1" applyBorder="1" applyAlignment="1">
      <alignment horizontal="left"/>
    </xf>
    <xf numFmtId="0" fontId="35" fillId="25" borderId="43" xfId="0" applyFont="1" applyFill="1" applyBorder="1" applyAlignment="1">
      <alignment horizontal="center" vertical="center"/>
    </xf>
    <xf numFmtId="0" fontId="41" fillId="25" borderId="44" xfId="0" applyFont="1" applyFill="1" applyBorder="1" applyAlignment="1">
      <alignment horizontal="center" vertical="center"/>
    </xf>
    <xf numFmtId="9" fontId="41" fillId="25" borderId="44" xfId="0" applyNumberFormat="1" applyFont="1" applyFill="1" applyBorder="1" applyAlignment="1">
      <alignment horizontal="center" vertical="center"/>
    </xf>
    <xf numFmtId="9" fontId="41" fillId="25" borderId="45" xfId="0" applyNumberFormat="1" applyFont="1" applyFill="1" applyBorder="1" applyAlignment="1">
      <alignment horizontal="center" vertical="center"/>
    </xf>
    <xf numFmtId="0" fontId="62" fillId="20" borderId="14" xfId="0" applyFont="1" applyFill="1" applyBorder="1" applyAlignment="1">
      <alignment horizontal="center"/>
    </xf>
    <xf numFmtId="0" fontId="62" fillId="20" borderId="15" xfId="0" applyFont="1" applyFill="1" applyBorder="1" applyAlignment="1">
      <alignment horizontal="center"/>
    </xf>
    <xf numFmtId="0" fontId="62" fillId="20" borderId="73" xfId="0" applyFont="1" applyFill="1" applyBorder="1" applyAlignment="1">
      <alignment horizontal="center"/>
    </xf>
    <xf numFmtId="0" fontId="35" fillId="20" borderId="14" xfId="0" applyFont="1" applyFill="1" applyBorder="1" applyAlignment="1">
      <alignment horizontal="center" vertical="center"/>
    </xf>
    <xf numFmtId="0" fontId="35" fillId="20" borderId="15" xfId="0" applyFont="1" applyFill="1" applyBorder="1" applyAlignment="1">
      <alignment horizontal="center" vertical="center"/>
    </xf>
    <xf numFmtId="0" fontId="35" fillId="20" borderId="73" xfId="0" applyFont="1" applyFill="1" applyBorder="1" applyAlignment="1">
      <alignment horizontal="center" vertical="center"/>
    </xf>
    <xf numFmtId="0" fontId="30" fillId="20" borderId="68" xfId="0" applyFont="1" applyFill="1" applyBorder="1" applyAlignment="1">
      <alignment horizontal="center" vertical="center"/>
    </xf>
    <xf numFmtId="0" fontId="30" fillId="20" borderId="49" xfId="0" applyFont="1" applyFill="1" applyBorder="1" applyAlignment="1">
      <alignment horizontal="center" vertical="center"/>
    </xf>
    <xf numFmtId="0" fontId="30" fillId="20" borderId="69" xfId="0" applyFont="1" applyFill="1" applyBorder="1" applyAlignment="1">
      <alignment horizontal="center" vertical="center"/>
    </xf>
    <xf numFmtId="0" fontId="39" fillId="14" borderId="18" xfId="0" applyFont="1" applyFill="1" applyBorder="1" applyAlignment="1">
      <alignment horizontal="left" vertical="center"/>
    </xf>
    <xf numFmtId="0" fontId="40" fillId="14" borderId="40" xfId="0" applyFont="1" applyFill="1" applyBorder="1" applyAlignment="1">
      <alignment horizontal="left" vertical="center"/>
    </xf>
    <xf numFmtId="0" fontId="40" fillId="14" borderId="19" xfId="0" applyFont="1" applyFill="1" applyBorder="1" applyAlignment="1">
      <alignment horizontal="left" vertical="center"/>
    </xf>
    <xf numFmtId="0" fontId="22" fillId="14" borderId="12" xfId="0" applyFont="1" applyFill="1" applyBorder="1" applyAlignment="1">
      <alignment horizontal="left" vertical="center" wrapText="1"/>
    </xf>
    <xf numFmtId="0" fontId="22" fillId="14" borderId="0" xfId="0" applyFont="1" applyFill="1" applyAlignment="1">
      <alignment horizontal="left" vertical="center" wrapText="1"/>
    </xf>
    <xf numFmtId="0" fontId="22" fillId="14" borderId="71" xfId="0" applyFont="1" applyFill="1" applyBorder="1" applyAlignment="1">
      <alignment horizontal="left" vertical="center" wrapText="1"/>
    </xf>
    <xf numFmtId="0" fontId="0" fillId="14" borderId="12" xfId="0" applyFill="1" applyBorder="1" applyAlignment="1">
      <alignment horizontal="left"/>
    </xf>
    <xf numFmtId="0" fontId="0" fillId="14" borderId="0" xfId="0" applyFill="1" applyAlignment="1">
      <alignment horizontal="left"/>
    </xf>
    <xf numFmtId="0" fontId="0" fillId="14" borderId="71" xfId="0" applyFill="1" applyBorder="1" applyAlignment="1">
      <alignment horizontal="left"/>
    </xf>
    <xf numFmtId="0" fontId="0" fillId="14" borderId="3" xfId="0" applyFill="1" applyBorder="1" applyAlignment="1">
      <alignment horizontal="left"/>
    </xf>
    <xf numFmtId="0" fontId="0" fillId="14" borderId="4" xfId="0" applyFill="1" applyBorder="1" applyAlignment="1">
      <alignment horizontal="left"/>
    </xf>
    <xf numFmtId="0" fontId="0" fillId="14" borderId="72" xfId="0" applyFill="1" applyBorder="1" applyAlignment="1">
      <alignment horizontal="left"/>
    </xf>
    <xf numFmtId="0" fontId="0" fillId="14" borderId="4" xfId="0" applyFill="1" applyBorder="1" applyAlignment="1">
      <alignment horizontal="center"/>
    </xf>
    <xf numFmtId="0" fontId="35" fillId="20" borderId="11" xfId="0" applyFont="1" applyFill="1" applyBorder="1" applyAlignment="1">
      <alignment horizontal="center" vertical="center"/>
    </xf>
    <xf numFmtId="0" fontId="35" fillId="20" borderId="5" xfId="0" applyFont="1" applyFill="1" applyBorder="1" applyAlignment="1">
      <alignment horizontal="center" vertical="center"/>
    </xf>
    <xf numFmtId="0" fontId="35" fillId="20" borderId="33" xfId="0" applyFont="1" applyFill="1" applyBorder="1" applyAlignment="1">
      <alignment horizontal="center" vertical="center"/>
    </xf>
    <xf numFmtId="0" fontId="22" fillId="14" borderId="11" xfId="0" applyFont="1" applyFill="1" applyBorder="1" applyAlignment="1">
      <alignment horizontal="left" vertical="center"/>
    </xf>
    <xf numFmtId="0" fontId="22" fillId="14" borderId="5" xfId="0" applyFont="1" applyFill="1" applyBorder="1" applyAlignment="1">
      <alignment horizontal="left" vertical="center"/>
    </xf>
    <xf numFmtId="0" fontId="22" fillId="14" borderId="33" xfId="0" applyFont="1" applyFill="1" applyBorder="1" applyAlignment="1">
      <alignment horizontal="left" vertical="center"/>
    </xf>
    <xf numFmtId="0" fontId="0" fillId="39" borderId="0" xfId="0" applyFill="1" applyAlignment="1">
      <alignment horizontal="left" vertical="center" wrapText="1"/>
    </xf>
    <xf numFmtId="0" fontId="0" fillId="0" borderId="0" xfId="0" applyAlignment="1">
      <alignment horizontal="left" vertical="center" wrapText="1"/>
    </xf>
    <xf numFmtId="0" fontId="34" fillId="20" borderId="55" xfId="8" applyFont="1" applyFill="1" applyBorder="1" applyAlignment="1">
      <alignment horizontal="center" vertical="center"/>
    </xf>
    <xf numFmtId="0" fontId="34" fillId="20" borderId="56" xfId="8" applyFont="1" applyFill="1" applyBorder="1" applyAlignment="1">
      <alignment horizontal="center" vertical="center"/>
    </xf>
    <xf numFmtId="0" fontId="34" fillId="20" borderId="2" xfId="8" applyFont="1" applyFill="1" applyBorder="1" applyAlignment="1">
      <alignment horizontal="center" vertical="center"/>
    </xf>
    <xf numFmtId="0" fontId="34" fillId="20" borderId="29" xfId="8" applyFont="1" applyFill="1" applyBorder="1" applyAlignment="1">
      <alignment horizontal="center" vertical="center"/>
    </xf>
  </cellXfs>
  <cellStyles count="16">
    <cellStyle name="Comma 2" xfId="10" xr:uid="{B1A128FA-00C7-4637-95B5-4DAED0CC9D32}"/>
    <cellStyle name="Comma 2 2" xfId="13" xr:uid="{1E076C50-38B5-4DAA-B97E-D0C51FF95FC2}"/>
    <cellStyle name="Comma 2 3" xfId="15" xr:uid="{DC9E9647-4ED5-4CF2-8C35-769E7A615FEF}"/>
    <cellStyle name="Currency" xfId="9" builtinId="4"/>
    <cellStyle name="Currency 2" xfId="14" xr:uid="{783CA536-8ED3-4092-B892-ABE931ADA5E5}"/>
    <cellStyle name="Hyperlink 2" xfId="5" xr:uid="{0B2837B5-747F-44C1-AE54-9466C027C1E3}"/>
    <cellStyle name="Normal" xfId="0" builtinId="0"/>
    <cellStyle name="Normal 2" xfId="2" xr:uid="{32053D9A-1BF3-4677-9EA9-7A72019124FA}"/>
    <cellStyle name="Normal 3" xfId="3" xr:uid="{8712D8FE-DB31-43D6-975F-CA7F6E90BA2F}"/>
    <cellStyle name="Normal 3 2" xfId="4" xr:uid="{B033FC53-DFAF-4FB8-AF77-E2AC1B442E72}"/>
    <cellStyle name="Normal 4" xfId="7" xr:uid="{1C0B7A08-15B6-4731-A931-D76DE6DB102D}"/>
    <cellStyle name="Normal 5" xfId="6" xr:uid="{26B10AF5-9051-4120-A8BF-5738FAC87963}"/>
    <cellStyle name="Normal 6" xfId="8" xr:uid="{22C30A3D-5FC5-4523-8964-DA670A386B58}"/>
    <cellStyle name="Normal 6 2" xfId="12" xr:uid="{2B91BB0C-2756-4551-93B8-B26C54244537}"/>
    <cellStyle name="Normal 7" xfId="11" xr:uid="{DCBDB329-411C-4AA6-9BE3-259C56B9E844}"/>
    <cellStyle name="Percent" xfId="1" builtinId="5"/>
  </cellStyles>
  <dxfs count="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dxf>
    <dxf>
      <font>
        <b/>
        <i val="0"/>
      </font>
    </dxf>
  </dxfs>
  <tableStyles count="0" defaultTableStyle="TableStyleMedium2" defaultPivotStyle="PivotStyleLight16"/>
  <colors>
    <mruColors>
      <color rgb="FFFF9966"/>
      <color rgb="FF339966"/>
      <color rgb="FFFF33CC"/>
      <color rgb="FF00A86B"/>
      <color rgb="FF6EC38A"/>
      <color rgb="FF0E8B44"/>
      <color rgb="FF00CC99"/>
      <color rgb="FF077366"/>
      <color rgb="FF006666"/>
      <color rgb="FFFFE7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11.xml"/><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CA"/>
              <a:t>Usage of CPCC 1998 - yyyy</a:t>
            </a:r>
          </a:p>
        </c:rich>
      </c:tx>
      <c:overlay val="0"/>
    </c:title>
    <c:autoTitleDeleted val="0"/>
    <c:plotArea>
      <c:layout>
        <c:manualLayout>
          <c:layoutTarget val="inner"/>
          <c:xMode val="edge"/>
          <c:yMode val="edge"/>
          <c:x val="0.14727646910824302"/>
          <c:y val="9.3220791207444656E-2"/>
          <c:w val="0.81081870372292364"/>
          <c:h val="0.68614635944372593"/>
        </c:manualLayout>
      </c:layout>
      <c:lineChart>
        <c:grouping val="standard"/>
        <c:varyColors val="0"/>
        <c:ser>
          <c:idx val="0"/>
          <c:order val="0"/>
          <c:tx>
            <c:v>Number of Requests</c:v>
          </c:tx>
          <c:marker>
            <c:symbol val="none"/>
          </c:marker>
          <c:dPt>
            <c:idx val="0"/>
            <c:bubble3D val="0"/>
            <c:extLst>
              <c:ext xmlns:c16="http://schemas.microsoft.com/office/drawing/2014/chart" uri="{C3380CC4-5D6E-409C-BE32-E72D297353CC}">
                <c16:uniqueId val="{00000000-9D9A-498C-BDC3-1BE3C14496CF}"/>
              </c:ext>
            </c:extLst>
          </c:dPt>
          <c:cat>
            <c:strRef>
              <c:f>Usage!$A$16:$A$42</c:f>
              <c:strCache>
                <c:ptCount val="27"/>
                <c:pt idx="0">
                  <c:v>1998-1999</c:v>
                </c:pt>
                <c:pt idx="1">
                  <c:v>1999-2000</c:v>
                </c:pt>
                <c:pt idx="2">
                  <c:v>2000-2001</c:v>
                </c:pt>
                <c:pt idx="3">
                  <c:v>2001-2002</c:v>
                </c:pt>
                <c:pt idx="4">
                  <c:v>2002-2003</c:v>
                </c:pt>
                <c:pt idx="5">
                  <c:v>2003-2004</c:v>
                </c:pt>
                <c:pt idx="6">
                  <c:v>2004-2005</c:v>
                </c:pt>
                <c:pt idx="7">
                  <c:v>2005-2006</c:v>
                </c:pt>
                <c:pt idx="8">
                  <c:v>2006-2007</c:v>
                </c:pt>
                <c:pt idx="9">
                  <c:v>2007-2008</c:v>
                </c:pt>
                <c:pt idx="10">
                  <c:v>2008-2009</c:v>
                </c:pt>
                <c:pt idx="11">
                  <c:v>2009-2010</c:v>
                </c:pt>
                <c:pt idx="12">
                  <c:v>2010-2011</c:v>
                </c:pt>
                <c:pt idx="13">
                  <c:v>2011-2012</c:v>
                </c:pt>
                <c:pt idx="14">
                  <c:v>2012-2013</c:v>
                </c:pt>
                <c:pt idx="15">
                  <c:v>2013-2014</c:v>
                </c:pt>
                <c:pt idx="16">
                  <c:v>2014-2015</c:v>
                </c:pt>
                <c:pt idx="17">
                  <c:v>2015-2016</c:v>
                </c:pt>
                <c:pt idx="18">
                  <c:v>2016-2017</c:v>
                </c:pt>
                <c:pt idx="19">
                  <c:v>2017-2018</c:v>
                </c:pt>
                <c:pt idx="20">
                  <c:v>2018-2019</c:v>
                </c:pt>
                <c:pt idx="21">
                  <c:v>2019-2020</c:v>
                </c:pt>
                <c:pt idx="22">
                  <c:v>2020-2021</c:v>
                </c:pt>
                <c:pt idx="23">
                  <c:v>2021-2022</c:v>
                </c:pt>
                <c:pt idx="24">
                  <c:v>2022-2023</c:v>
                </c:pt>
                <c:pt idx="25">
                  <c:v>2023-2024</c:v>
                </c:pt>
                <c:pt idx="26">
                  <c:v>2024-2025</c:v>
                </c:pt>
              </c:strCache>
            </c:strRef>
          </c:cat>
          <c:val>
            <c:numRef>
              <c:f>Usage!$B$16:$B$42</c:f>
              <c:numCache>
                <c:formatCode>General</c:formatCode>
                <c:ptCount val="27"/>
                <c:pt idx="0">
                  <c:v>70</c:v>
                </c:pt>
                <c:pt idx="1">
                  <c:v>107</c:v>
                </c:pt>
                <c:pt idx="2">
                  <c:v>107</c:v>
                </c:pt>
                <c:pt idx="3">
                  <c:v>115</c:v>
                </c:pt>
                <c:pt idx="4">
                  <c:v>138</c:v>
                </c:pt>
                <c:pt idx="5">
                  <c:v>167</c:v>
                </c:pt>
                <c:pt idx="6">
                  <c:v>164</c:v>
                </c:pt>
                <c:pt idx="7">
                  <c:v>184</c:v>
                </c:pt>
                <c:pt idx="8">
                  <c:v>184</c:v>
                </c:pt>
                <c:pt idx="9">
                  <c:v>190</c:v>
                </c:pt>
                <c:pt idx="10">
                  <c:v>166</c:v>
                </c:pt>
                <c:pt idx="11">
                  <c:v>148</c:v>
                </c:pt>
                <c:pt idx="12">
                  <c:v>173</c:v>
                </c:pt>
                <c:pt idx="13">
                  <c:v>149</c:v>
                </c:pt>
                <c:pt idx="14">
                  <c:v>163</c:v>
                </c:pt>
                <c:pt idx="15">
                  <c:v>143</c:v>
                </c:pt>
                <c:pt idx="16">
                  <c:v>158</c:v>
                </c:pt>
                <c:pt idx="17">
                  <c:v>160</c:v>
                </c:pt>
                <c:pt idx="18">
                  <c:v>178</c:v>
                </c:pt>
                <c:pt idx="19">
                  <c:v>154</c:v>
                </c:pt>
                <c:pt idx="20">
                  <c:v>152</c:v>
                </c:pt>
                <c:pt idx="21">
                  <c:v>126</c:v>
                </c:pt>
                <c:pt idx="22">
                  <c:v>107</c:v>
                </c:pt>
                <c:pt idx="23">
                  <c:v>114</c:v>
                </c:pt>
                <c:pt idx="24">
                  <c:v>117</c:v>
                </c:pt>
                <c:pt idx="25">
                  <c:v>147</c:v>
                </c:pt>
              </c:numCache>
            </c:numRef>
          </c:val>
          <c:smooth val="0"/>
          <c:extLst>
            <c:ext xmlns:c16="http://schemas.microsoft.com/office/drawing/2014/chart" uri="{C3380CC4-5D6E-409C-BE32-E72D297353CC}">
              <c16:uniqueId val="{00000001-9D9A-498C-BDC3-1BE3C14496CF}"/>
            </c:ext>
          </c:extLst>
        </c:ser>
        <c:ser>
          <c:idx val="1"/>
          <c:order val="1"/>
          <c:tx>
            <c:v>Number of Cultures</c:v>
          </c:tx>
          <c:marker>
            <c:symbol val="none"/>
          </c:marker>
          <c:dPt>
            <c:idx val="0"/>
            <c:bubble3D val="0"/>
            <c:extLst>
              <c:ext xmlns:c16="http://schemas.microsoft.com/office/drawing/2014/chart" uri="{C3380CC4-5D6E-409C-BE32-E72D297353CC}">
                <c16:uniqueId val="{00000002-9D9A-498C-BDC3-1BE3C14496CF}"/>
              </c:ext>
            </c:extLst>
          </c:dPt>
          <c:cat>
            <c:strRef>
              <c:f>Usage!$A$16:$A$42</c:f>
              <c:strCache>
                <c:ptCount val="27"/>
                <c:pt idx="0">
                  <c:v>1998-1999</c:v>
                </c:pt>
                <c:pt idx="1">
                  <c:v>1999-2000</c:v>
                </c:pt>
                <c:pt idx="2">
                  <c:v>2000-2001</c:v>
                </c:pt>
                <c:pt idx="3">
                  <c:v>2001-2002</c:v>
                </c:pt>
                <c:pt idx="4">
                  <c:v>2002-2003</c:v>
                </c:pt>
                <c:pt idx="5">
                  <c:v>2003-2004</c:v>
                </c:pt>
                <c:pt idx="6">
                  <c:v>2004-2005</c:v>
                </c:pt>
                <c:pt idx="7">
                  <c:v>2005-2006</c:v>
                </c:pt>
                <c:pt idx="8">
                  <c:v>2006-2007</c:v>
                </c:pt>
                <c:pt idx="9">
                  <c:v>2007-2008</c:v>
                </c:pt>
                <c:pt idx="10">
                  <c:v>2008-2009</c:v>
                </c:pt>
                <c:pt idx="11">
                  <c:v>2009-2010</c:v>
                </c:pt>
                <c:pt idx="12">
                  <c:v>2010-2011</c:v>
                </c:pt>
                <c:pt idx="13">
                  <c:v>2011-2012</c:v>
                </c:pt>
                <c:pt idx="14">
                  <c:v>2012-2013</c:v>
                </c:pt>
                <c:pt idx="15">
                  <c:v>2013-2014</c:v>
                </c:pt>
                <c:pt idx="16">
                  <c:v>2014-2015</c:v>
                </c:pt>
                <c:pt idx="17">
                  <c:v>2015-2016</c:v>
                </c:pt>
                <c:pt idx="18">
                  <c:v>2016-2017</c:v>
                </c:pt>
                <c:pt idx="19">
                  <c:v>2017-2018</c:v>
                </c:pt>
                <c:pt idx="20">
                  <c:v>2018-2019</c:v>
                </c:pt>
                <c:pt idx="21">
                  <c:v>2019-2020</c:v>
                </c:pt>
                <c:pt idx="22">
                  <c:v>2020-2021</c:v>
                </c:pt>
                <c:pt idx="23">
                  <c:v>2021-2022</c:v>
                </c:pt>
                <c:pt idx="24">
                  <c:v>2022-2023</c:v>
                </c:pt>
                <c:pt idx="25">
                  <c:v>2023-2024</c:v>
                </c:pt>
                <c:pt idx="26">
                  <c:v>2024-2025</c:v>
                </c:pt>
              </c:strCache>
            </c:strRef>
          </c:cat>
          <c:val>
            <c:numRef>
              <c:f>Usage!$C$16:$C$42</c:f>
              <c:numCache>
                <c:formatCode>General</c:formatCode>
                <c:ptCount val="27"/>
                <c:pt idx="0">
                  <c:v>145</c:v>
                </c:pt>
                <c:pt idx="1">
                  <c:v>193</c:v>
                </c:pt>
                <c:pt idx="2">
                  <c:v>257</c:v>
                </c:pt>
                <c:pt idx="3">
                  <c:v>272</c:v>
                </c:pt>
                <c:pt idx="4">
                  <c:v>239</c:v>
                </c:pt>
                <c:pt idx="5">
                  <c:v>383</c:v>
                </c:pt>
                <c:pt idx="6">
                  <c:v>338</c:v>
                </c:pt>
                <c:pt idx="7">
                  <c:v>348</c:v>
                </c:pt>
                <c:pt idx="8">
                  <c:v>419</c:v>
                </c:pt>
                <c:pt idx="9">
                  <c:v>435</c:v>
                </c:pt>
                <c:pt idx="10">
                  <c:v>303</c:v>
                </c:pt>
                <c:pt idx="11">
                  <c:v>339</c:v>
                </c:pt>
                <c:pt idx="12">
                  <c:v>264</c:v>
                </c:pt>
                <c:pt idx="13">
                  <c:v>264</c:v>
                </c:pt>
                <c:pt idx="14">
                  <c:v>270</c:v>
                </c:pt>
                <c:pt idx="15">
                  <c:v>220</c:v>
                </c:pt>
                <c:pt idx="16">
                  <c:v>324</c:v>
                </c:pt>
                <c:pt idx="17">
                  <c:v>247</c:v>
                </c:pt>
                <c:pt idx="18">
                  <c:v>370</c:v>
                </c:pt>
                <c:pt idx="19">
                  <c:v>303</c:v>
                </c:pt>
                <c:pt idx="20">
                  <c:v>289</c:v>
                </c:pt>
                <c:pt idx="21">
                  <c:v>244</c:v>
                </c:pt>
                <c:pt idx="22">
                  <c:v>222</c:v>
                </c:pt>
                <c:pt idx="23">
                  <c:v>237</c:v>
                </c:pt>
                <c:pt idx="24">
                  <c:v>216</c:v>
                </c:pt>
                <c:pt idx="25">
                  <c:v>323</c:v>
                </c:pt>
              </c:numCache>
            </c:numRef>
          </c:val>
          <c:smooth val="0"/>
          <c:extLst>
            <c:ext xmlns:c16="http://schemas.microsoft.com/office/drawing/2014/chart" uri="{C3380CC4-5D6E-409C-BE32-E72D297353CC}">
              <c16:uniqueId val="{00000003-9D9A-498C-BDC3-1BE3C14496CF}"/>
            </c:ext>
          </c:extLst>
        </c:ser>
        <c:dLbls>
          <c:showLegendKey val="0"/>
          <c:showVal val="0"/>
          <c:showCatName val="0"/>
          <c:showSerName val="0"/>
          <c:showPercent val="0"/>
          <c:showBubbleSize val="0"/>
        </c:dLbls>
        <c:smooth val="0"/>
        <c:axId val="1117299520"/>
        <c:axId val="1117311584"/>
      </c:lineChart>
      <c:catAx>
        <c:axId val="1117299520"/>
        <c:scaling>
          <c:orientation val="minMax"/>
        </c:scaling>
        <c:delete val="0"/>
        <c:axPos val="b"/>
        <c:numFmt formatCode="General" sourceLinked="1"/>
        <c:majorTickMark val="none"/>
        <c:minorTickMark val="none"/>
        <c:tickLblPos val="nextTo"/>
        <c:crossAx val="1117311584"/>
        <c:crosses val="autoZero"/>
        <c:auto val="1"/>
        <c:lblAlgn val="ctr"/>
        <c:lblOffset val="100"/>
        <c:noMultiLvlLbl val="0"/>
      </c:catAx>
      <c:valAx>
        <c:axId val="1117311584"/>
        <c:scaling>
          <c:orientation val="minMax"/>
        </c:scaling>
        <c:delete val="0"/>
        <c:axPos val="l"/>
        <c:majorGridlines/>
        <c:title>
          <c:tx>
            <c:rich>
              <a:bodyPr/>
              <a:lstStyle/>
              <a:p>
                <a:pPr>
                  <a:defRPr sz="1000">
                    <a:latin typeface="Arial"/>
                    <a:ea typeface="Arial"/>
                    <a:cs typeface="Arial"/>
                  </a:defRPr>
                </a:pPr>
                <a:r>
                  <a:rPr lang="en-CA"/>
                  <a:t>Amount</a:t>
                </a:r>
              </a:p>
            </c:rich>
          </c:tx>
          <c:overlay val="0"/>
        </c:title>
        <c:numFmt formatCode="General" sourceLinked="1"/>
        <c:majorTickMark val="none"/>
        <c:minorTickMark val="none"/>
        <c:tickLblPos val="nextTo"/>
        <c:crossAx val="1117299520"/>
        <c:crosses val="autoZero"/>
        <c:crossBetween val="between"/>
      </c:valAx>
    </c:plotArea>
    <c:legend>
      <c:legendPos val="b"/>
      <c:layout>
        <c:manualLayout>
          <c:xMode val="edge"/>
          <c:yMode val="edge"/>
          <c:x val="0.19149069632068083"/>
          <c:y val="0.94107183958406715"/>
          <c:w val="0.62192096929345775"/>
          <c:h val="5.8928160415932691E-2"/>
        </c:manualLayout>
      </c:layout>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CA"/>
              <a:t>Source of Requests to CPCC  (2024 - 2025)</a:t>
            </a:r>
          </a:p>
        </c:rich>
      </c:tx>
      <c:overlay val="0"/>
    </c:title>
    <c:autoTitleDeleted val="0"/>
    <c:view3D>
      <c:rotX val="15"/>
      <c:rotY val="0"/>
      <c:rAngAx val="0"/>
    </c:view3D>
    <c:floor>
      <c:thickness val="0"/>
    </c:floor>
    <c:sideWall>
      <c:thickness val="0"/>
    </c:sideWall>
    <c:backWall>
      <c:thickness val="0"/>
    </c:backWall>
    <c:plotArea>
      <c:layout>
        <c:manualLayout>
          <c:xMode val="edge"/>
          <c:yMode val="edge"/>
          <c:x val="0.28895531321832729"/>
          <c:y val="0.26145212614194147"/>
          <c:w val="0.44454663572050357"/>
          <c:h val="0.73854787385805853"/>
        </c:manualLayout>
      </c:layout>
      <c:pie3DChart>
        <c:varyColors val="1"/>
        <c:ser>
          <c:idx val="0"/>
          <c:order val="0"/>
          <c:dPt>
            <c:idx val="0"/>
            <c:bubble3D val="0"/>
            <c:spPr>
              <a:solidFill>
                <a:srgbClr val="9999FF"/>
              </a:solidFill>
            </c:spPr>
            <c:extLst>
              <c:ext xmlns:c16="http://schemas.microsoft.com/office/drawing/2014/chart" uri="{C3380CC4-5D6E-409C-BE32-E72D297353CC}">
                <c16:uniqueId val="{00000007-256A-42DF-8F9B-0C99FCC03498}"/>
              </c:ext>
            </c:extLst>
          </c:dPt>
          <c:dPt>
            <c:idx val="1"/>
            <c:bubble3D val="0"/>
            <c:spPr>
              <a:solidFill>
                <a:srgbClr val="993366"/>
              </a:solidFill>
            </c:spPr>
            <c:extLst>
              <c:ext xmlns:c16="http://schemas.microsoft.com/office/drawing/2014/chart" uri="{C3380CC4-5D6E-409C-BE32-E72D297353CC}">
                <c16:uniqueId val="{00000008-256A-42DF-8F9B-0C99FCC03498}"/>
              </c:ext>
            </c:extLst>
          </c:dPt>
          <c:dPt>
            <c:idx val="2"/>
            <c:bubble3D val="0"/>
            <c:spPr>
              <a:solidFill>
                <a:srgbClr val="FFFECC"/>
              </a:solidFill>
            </c:spPr>
            <c:extLst>
              <c:ext xmlns:c16="http://schemas.microsoft.com/office/drawing/2014/chart" uri="{C3380CC4-5D6E-409C-BE32-E72D297353CC}">
                <c16:uniqueId val="{00000009-256A-42DF-8F9B-0C99FCC03498}"/>
              </c:ext>
            </c:extLst>
          </c:dPt>
          <c:dPt>
            <c:idx val="3"/>
            <c:bubble3D val="0"/>
            <c:spPr>
              <a:solidFill>
                <a:srgbClr val="008000"/>
              </a:solidFill>
            </c:spPr>
            <c:extLst>
              <c:ext xmlns:c16="http://schemas.microsoft.com/office/drawing/2014/chart" uri="{C3380CC4-5D6E-409C-BE32-E72D297353CC}">
                <c16:uniqueId val="{0000000A-256A-42DF-8F9B-0C99FCC03498}"/>
              </c:ext>
            </c:extLst>
          </c:dPt>
          <c:dPt>
            <c:idx val="4"/>
            <c:bubble3D val="0"/>
            <c:spPr>
              <a:solidFill>
                <a:srgbClr val="FF8080"/>
              </a:solidFill>
            </c:spPr>
            <c:extLst>
              <c:ext xmlns:c16="http://schemas.microsoft.com/office/drawing/2014/chart" uri="{C3380CC4-5D6E-409C-BE32-E72D297353CC}">
                <c16:uniqueId val="{0000000B-256A-42DF-8F9B-0C99FCC03498}"/>
              </c:ext>
            </c:extLst>
          </c:dPt>
          <c:dPt>
            <c:idx val="5"/>
            <c:bubble3D val="0"/>
            <c:spPr>
              <a:solidFill>
                <a:srgbClr val="3399FF"/>
              </a:solidFill>
            </c:spPr>
            <c:extLst>
              <c:ext xmlns:c16="http://schemas.microsoft.com/office/drawing/2014/chart" uri="{C3380CC4-5D6E-409C-BE32-E72D297353CC}">
                <c16:uniqueId val="{0000000C-256A-42DF-8F9B-0C99FCC03498}"/>
              </c:ext>
            </c:extLst>
          </c:dPt>
          <c:dLbls>
            <c:spPr>
              <a:noFill/>
              <a:ln>
                <a:noFill/>
              </a:ln>
              <a:effectLst/>
            </c:spPr>
            <c:txPr>
              <a:bodyPr wrap="square" lIns="38100" tIns="19050" rIns="38100" bIns="19050" anchor="ctr">
                <a:spAutoFit/>
              </a:bodyPr>
              <a:lstStyle/>
              <a:p>
                <a:pPr>
                  <a:defRPr sz="1100">
                    <a:latin typeface="Arial"/>
                    <a:ea typeface="Arial"/>
                    <a:cs typeface="Arial"/>
                  </a:defRPr>
                </a:pPr>
                <a:endParaRPr lang="en-US"/>
              </a:p>
            </c:txPr>
            <c:showLegendKey val="0"/>
            <c:showVal val="1"/>
            <c:showCatName val="1"/>
            <c:showSerName val="0"/>
            <c:showPercent val="1"/>
            <c:showBubbleSize val="0"/>
            <c:separator>
</c:separator>
            <c:showLeaderLines val="1"/>
            <c:extLst>
              <c:ext xmlns:c15="http://schemas.microsoft.com/office/drawing/2012/chart" uri="{CE6537A1-D6FC-4f65-9D91-7224C49458BB}"/>
            </c:extLst>
          </c:dLbls>
          <c:cat>
            <c:strRef>
              <c:f>'Source Requests'!$A$4:$A$9</c:f>
              <c:strCache>
                <c:ptCount val="6"/>
                <c:pt idx="0">
                  <c:v>Canadian Academic</c:v>
                </c:pt>
                <c:pt idx="1">
                  <c:v>International Academic</c:v>
                </c:pt>
                <c:pt idx="2">
                  <c:v>Canadian Government</c:v>
                </c:pt>
                <c:pt idx="3">
                  <c:v>International Government</c:v>
                </c:pt>
                <c:pt idx="4">
                  <c:v>Canadian Commercial</c:v>
                </c:pt>
                <c:pt idx="5">
                  <c:v>International Commercial</c:v>
                </c:pt>
              </c:strCache>
            </c:strRef>
          </c:cat>
          <c:val>
            <c:numRef>
              <c:f>'Source Requests'!$O$4:$O$9</c:f>
              <c:numCache>
                <c:formatCode>General</c:formatCode>
                <c:ptCount val="6"/>
                <c:pt idx="0">
                  <c:v>67</c:v>
                </c:pt>
                <c:pt idx="1">
                  <c:v>0</c:v>
                </c:pt>
                <c:pt idx="2">
                  <c:v>27</c:v>
                </c:pt>
                <c:pt idx="3">
                  <c:v>0</c:v>
                </c:pt>
                <c:pt idx="4">
                  <c:v>33</c:v>
                </c:pt>
                <c:pt idx="5">
                  <c:v>3</c:v>
                </c:pt>
              </c:numCache>
            </c:numRef>
          </c:val>
          <c:extLst>
            <c:ext xmlns:c16="http://schemas.microsoft.com/office/drawing/2014/chart" uri="{C3380CC4-5D6E-409C-BE32-E72D297353CC}">
              <c16:uniqueId val="{00000000-256A-42DF-8F9B-0C99FCC03498}"/>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'Source Requests'!$A$4:$A$9</c:f>
              <c:strCache>
                <c:ptCount val="6"/>
                <c:pt idx="0">
                  <c:v>Canadian Academic</c:v>
                </c:pt>
                <c:pt idx="1">
                  <c:v>International Academic</c:v>
                </c:pt>
                <c:pt idx="2">
                  <c:v>Canadian Government</c:v>
                </c:pt>
                <c:pt idx="3">
                  <c:v>International Government</c:v>
                </c:pt>
                <c:pt idx="4">
                  <c:v>Canadian Commercial</c:v>
                </c:pt>
                <c:pt idx="5">
                  <c:v>International Commercial</c:v>
                </c:pt>
              </c:strCache>
            </c:strRef>
          </c:cat>
          <c:val>
            <c:numRef>
              <c:f>'Source Requests'!$P$4:$P$9</c:f>
              <c:numCache>
                <c:formatCode>0.0</c:formatCode>
                <c:ptCount val="6"/>
                <c:pt idx="0">
                  <c:v>51.538461538461533</c:v>
                </c:pt>
                <c:pt idx="1">
                  <c:v>0</c:v>
                </c:pt>
                <c:pt idx="2">
                  <c:v>20.76923076923077</c:v>
                </c:pt>
                <c:pt idx="3">
                  <c:v>0</c:v>
                </c:pt>
                <c:pt idx="4">
                  <c:v>25.384615384615383</c:v>
                </c:pt>
                <c:pt idx="5">
                  <c:v>2.3076923076923079</c:v>
                </c:pt>
              </c:numCache>
            </c:numRef>
          </c:val>
          <c:extLst>
            <c:ext xmlns:c16="http://schemas.microsoft.com/office/drawing/2014/chart" uri="{C3380CC4-5D6E-409C-BE32-E72D297353CC}">
              <c16:uniqueId val="{00000001-256A-42DF-8F9B-0C99FCC03498}"/>
            </c:ext>
          </c:extLst>
        </c:ser>
        <c:dLbls>
          <c:showLegendKey val="0"/>
          <c:showVal val="0"/>
          <c:showCatName val="1"/>
          <c:showSerName val="0"/>
          <c:showPercent val="1"/>
          <c:showBubbleSize val="0"/>
          <c:showLeaderLines val="1"/>
        </c:dLbls>
      </c:pie3DChart>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0"/>
            </a:pPr>
            <a:r>
              <a:rPr lang="en-CA"/>
              <a:t>Ordered - All Services  (2023 - 2024)</a:t>
            </a:r>
          </a:p>
        </c:rich>
      </c:tx>
      <c:overlay val="0"/>
    </c:title>
    <c:autoTitleDeleted val="0"/>
    <c:view3D>
      <c:rotX val="15"/>
      <c:rotY val="0"/>
      <c:rAngAx val="0"/>
    </c:view3D>
    <c:floor>
      <c:thickness val="0"/>
    </c:floor>
    <c:sideWall>
      <c:thickness val="0"/>
    </c:sideWall>
    <c:backWall>
      <c:thickness val="0"/>
    </c:backWall>
    <c:plotArea>
      <c:layout>
        <c:manualLayout>
          <c:xMode val="edge"/>
          <c:yMode val="edge"/>
          <c:x val="0.28888888888888886"/>
          <c:y val="0.25925925925925924"/>
          <c:w val="0.44444444444444442"/>
          <c:h val="0.7407407407407407"/>
        </c:manualLayout>
      </c:layout>
      <c:pie3DChart>
        <c:varyColors val="1"/>
        <c:ser>
          <c:idx val="0"/>
          <c:order val="0"/>
          <c:dLbls>
            <c:spPr>
              <a:noFill/>
              <a:ln>
                <a:noFill/>
              </a:ln>
              <a:effectLst/>
            </c:spPr>
            <c:txPr>
              <a:bodyPr wrap="square" lIns="38100" tIns="19050" rIns="38100" bIns="19050" anchor="ctr">
                <a:spAutoFit/>
              </a:bodyPr>
              <a:lstStyle/>
              <a:p>
                <a:pPr>
                  <a:defRPr sz="900">
                    <a:latin typeface="Arial"/>
                    <a:ea typeface="Arial"/>
                    <a:cs typeface="Arial"/>
                  </a:defRPr>
                </a:pPr>
                <a:endParaRPr lang="en-US"/>
              </a:p>
            </c:txPr>
            <c:showLegendKey val="0"/>
            <c:showVal val="1"/>
            <c:showCatName val="1"/>
            <c:showSerName val="0"/>
            <c:showPercent val="1"/>
            <c:showBubbleSize val="0"/>
            <c:showLeaderLines val="1"/>
            <c:extLst>
              <c:ext xmlns:c15="http://schemas.microsoft.com/office/drawing/2012/chart" uri="{CE6537A1-D6FC-4f65-9D91-7224C49458BB}"/>
            </c:extLst>
          </c:dLbls>
          <c:cat>
            <c:strRef>
              <c:f>'Service Revenue Breakdown'!$A$6:$A$15</c:f>
              <c:strCache>
                <c:ptCount val="10"/>
                <c:pt idx="0">
                  <c:v>Cultures</c:v>
                </c:pt>
                <c:pt idx="1">
                  <c:v>Medium</c:v>
                </c:pt>
                <c:pt idx="2">
                  <c:v>Concentrate</c:v>
                </c:pt>
                <c:pt idx="3">
                  <c:v>Safe-deposit</c:v>
                </c:pt>
                <c:pt idx="4">
                  <c:v>Workshop</c:v>
                </c:pt>
                <c:pt idx="5">
                  <c:v>Equipment Rental</c:v>
                </c:pt>
                <c:pt idx="6">
                  <c:v>Consultation</c:v>
                </c:pt>
                <c:pt idx="7">
                  <c:v>Enumeration</c:v>
                </c:pt>
                <c:pt idx="8">
                  <c:v>Identification</c:v>
                </c:pt>
                <c:pt idx="9">
                  <c:v>Isolation &amp; Purification</c:v>
                </c:pt>
              </c:strCache>
            </c:strRef>
          </c:cat>
          <c:val>
            <c:numRef>
              <c:f>'Service Revenue Breakdown'!$N$6:$N$15</c:f>
              <c:numCache>
                <c:formatCode>"$"#,##0.00</c:formatCode>
                <c:ptCount val="10"/>
                <c:pt idx="0">
                  <c:v>38365</c:v>
                </c:pt>
                <c:pt idx="1">
                  <c:v>6655</c:v>
                </c:pt>
                <c:pt idx="2">
                  <c:v>8555</c:v>
                </c:pt>
                <c:pt idx="3">
                  <c:v>2235</c:v>
                </c:pt>
                <c:pt idx="4">
                  <c:v>3575</c:v>
                </c:pt>
                <c:pt idx="5">
                  <c:v>360</c:v>
                </c:pt>
                <c:pt idx="6">
                  <c:v>220</c:v>
                </c:pt>
                <c:pt idx="7">
                  <c:v>0</c:v>
                </c:pt>
                <c:pt idx="8">
                  <c:v>0</c:v>
                </c:pt>
                <c:pt idx="9">
                  <c:v>0</c:v>
                </c:pt>
              </c:numCache>
            </c:numRef>
          </c:val>
          <c:extLst>
            <c:ext xmlns:c16="http://schemas.microsoft.com/office/drawing/2014/chart" uri="{C3380CC4-5D6E-409C-BE32-E72D297353CC}">
              <c16:uniqueId val="{00000000-4833-4C8A-B64E-BE1EE490E12C}"/>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'Service Revenue Breakdown'!$A$6:$A$15</c:f>
              <c:strCache>
                <c:ptCount val="10"/>
                <c:pt idx="0">
                  <c:v>Cultures</c:v>
                </c:pt>
                <c:pt idx="1">
                  <c:v>Medium</c:v>
                </c:pt>
                <c:pt idx="2">
                  <c:v>Concentrate</c:v>
                </c:pt>
                <c:pt idx="3">
                  <c:v>Safe-deposit</c:v>
                </c:pt>
                <c:pt idx="4">
                  <c:v>Workshop</c:v>
                </c:pt>
                <c:pt idx="5">
                  <c:v>Equipment Rental</c:v>
                </c:pt>
                <c:pt idx="6">
                  <c:v>Consultation</c:v>
                </c:pt>
                <c:pt idx="7">
                  <c:v>Enumeration</c:v>
                </c:pt>
                <c:pt idx="8">
                  <c:v>Identification</c:v>
                </c:pt>
                <c:pt idx="9">
                  <c:v>Isolation &amp; Purification</c:v>
                </c:pt>
              </c:strCache>
            </c:strRef>
          </c:cat>
          <c:val>
            <c:numRef>
              <c:f>'Service Revenue Breakdown'!$O$6:$O$15</c:f>
              <c:numCache>
                <c:formatCode>0%</c:formatCode>
                <c:ptCount val="10"/>
                <c:pt idx="0">
                  <c:v>0.59973425042988904</c:v>
                </c:pt>
                <c:pt idx="1">
                  <c:v>0.1040331405346256</c:v>
                </c:pt>
                <c:pt idx="2">
                  <c:v>0.13373456307644208</c:v>
                </c:pt>
                <c:pt idx="3">
                  <c:v>3.493825230576833E-2</c:v>
                </c:pt>
                <c:pt idx="4">
                  <c:v>5.5885571361575737E-2</c:v>
                </c:pt>
                <c:pt idx="5">
                  <c:v>5.6276379552915425E-3</c:v>
                </c:pt>
                <c:pt idx="6">
                  <c:v>3.4391120837892761E-3</c:v>
                </c:pt>
                <c:pt idx="7">
                  <c:v>0</c:v>
                </c:pt>
                <c:pt idx="8">
                  <c:v>0</c:v>
                </c:pt>
                <c:pt idx="9">
                  <c:v>0</c:v>
                </c:pt>
              </c:numCache>
            </c:numRef>
          </c:val>
          <c:extLst>
            <c:ext xmlns:c16="http://schemas.microsoft.com/office/drawing/2014/chart" uri="{C3380CC4-5D6E-409C-BE32-E72D297353CC}">
              <c16:uniqueId val="{00000001-4833-4C8A-B64E-BE1EE490E12C}"/>
            </c:ext>
          </c:extLst>
        </c:ser>
        <c:dLbls>
          <c:showLegendKey val="0"/>
          <c:showVal val="0"/>
          <c:showCatName val="1"/>
          <c:showSerName val="0"/>
          <c:showPercent val="1"/>
          <c:showBubbleSize val="0"/>
          <c:showLeaderLines val="1"/>
        </c:dLbls>
      </c:pie3DChart>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a:lstStyle/>
          <a:p>
            <a:pPr>
              <a:defRPr sz="1500"/>
            </a:pPr>
            <a:r>
              <a:rPr lang="en-CA"/>
              <a:t>Ordered - Special Services  (2023 - 2024)</a:t>
            </a:r>
          </a:p>
        </c:rich>
      </c:tx>
      <c:overlay val="0"/>
    </c:title>
    <c:autoTitleDeleted val="0"/>
    <c:view3D>
      <c:rotX val="15"/>
      <c:rotY val="0"/>
      <c:rAngAx val="0"/>
    </c:view3D>
    <c:floor>
      <c:thickness val="0"/>
    </c:floor>
    <c:sideWall>
      <c:thickness val="0"/>
    </c:sideWall>
    <c:backWall>
      <c:thickness val="0"/>
    </c:backWall>
    <c:plotArea>
      <c:layout>
        <c:manualLayout>
          <c:xMode val="edge"/>
          <c:yMode val="edge"/>
          <c:x val="0.28888888888888886"/>
          <c:y val="0.25925925925925924"/>
          <c:w val="0.44444444444444442"/>
          <c:h val="0.7407407407407407"/>
        </c:manualLayout>
      </c:layout>
      <c:pie3DChart>
        <c:varyColors val="1"/>
        <c:ser>
          <c:idx val="0"/>
          <c:order val="0"/>
          <c:dLbls>
            <c:spPr>
              <a:noFill/>
              <a:ln>
                <a:noFill/>
              </a:ln>
              <a:effectLst/>
            </c:spPr>
            <c:txPr>
              <a:bodyPr wrap="square" lIns="38100" tIns="19050" rIns="38100" bIns="19050" anchor="ctr">
                <a:spAutoFit/>
              </a:bodyPr>
              <a:lstStyle/>
              <a:p>
                <a:pPr>
                  <a:defRPr sz="900">
                    <a:latin typeface="Arial"/>
                    <a:ea typeface="Arial"/>
                    <a:cs typeface="Arial"/>
                  </a:defRPr>
                </a:pPr>
                <a:endParaRPr lang="en-US"/>
              </a:p>
            </c:txPr>
            <c:showLegendKey val="0"/>
            <c:showVal val="1"/>
            <c:showCatName val="1"/>
            <c:showSerName val="0"/>
            <c:showPercent val="1"/>
            <c:showBubbleSize val="0"/>
            <c:showLeaderLines val="1"/>
            <c:extLst>
              <c:ext xmlns:c15="http://schemas.microsoft.com/office/drawing/2012/chart" uri="{CE6537A1-D6FC-4f65-9D91-7224C49458BB}"/>
            </c:extLst>
          </c:dLbls>
          <c:cat>
            <c:strRef>
              <c:f>'Service Revenue Breakdown'!$A$7:$A$15</c:f>
              <c:strCache>
                <c:ptCount val="9"/>
                <c:pt idx="0">
                  <c:v>Medium</c:v>
                </c:pt>
                <c:pt idx="1">
                  <c:v>Concentrate</c:v>
                </c:pt>
                <c:pt idx="2">
                  <c:v>Safe-deposit</c:v>
                </c:pt>
                <c:pt idx="3">
                  <c:v>Workshop</c:v>
                </c:pt>
                <c:pt idx="4">
                  <c:v>Equipment Rental</c:v>
                </c:pt>
                <c:pt idx="5">
                  <c:v>Consultation</c:v>
                </c:pt>
                <c:pt idx="6">
                  <c:v>Enumeration</c:v>
                </c:pt>
                <c:pt idx="7">
                  <c:v>Identification</c:v>
                </c:pt>
                <c:pt idx="8">
                  <c:v>Isolation &amp; Purification</c:v>
                </c:pt>
              </c:strCache>
            </c:strRef>
          </c:cat>
          <c:val>
            <c:numRef>
              <c:f>'Service Revenue Breakdown'!$N$7:$N$15</c:f>
              <c:numCache>
                <c:formatCode>"$"#,##0.00</c:formatCode>
                <c:ptCount val="9"/>
                <c:pt idx="0">
                  <c:v>6655</c:v>
                </c:pt>
                <c:pt idx="1">
                  <c:v>8555</c:v>
                </c:pt>
                <c:pt idx="2">
                  <c:v>2235</c:v>
                </c:pt>
                <c:pt idx="3">
                  <c:v>3575</c:v>
                </c:pt>
                <c:pt idx="4">
                  <c:v>360</c:v>
                </c:pt>
                <c:pt idx="5">
                  <c:v>220</c:v>
                </c:pt>
                <c:pt idx="6">
                  <c:v>0</c:v>
                </c:pt>
                <c:pt idx="7">
                  <c:v>0</c:v>
                </c:pt>
                <c:pt idx="8">
                  <c:v>0</c:v>
                </c:pt>
              </c:numCache>
            </c:numRef>
          </c:val>
          <c:extLst>
            <c:ext xmlns:c16="http://schemas.microsoft.com/office/drawing/2014/chart" uri="{C3380CC4-5D6E-409C-BE32-E72D297353CC}">
              <c16:uniqueId val="{00000000-8931-43FC-B3F0-D0C05FE8A0AC}"/>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'Service Revenue Breakdown'!$A$7:$A$15</c:f>
              <c:strCache>
                <c:ptCount val="9"/>
                <c:pt idx="0">
                  <c:v>Medium</c:v>
                </c:pt>
                <c:pt idx="1">
                  <c:v>Concentrate</c:v>
                </c:pt>
                <c:pt idx="2">
                  <c:v>Safe-deposit</c:v>
                </c:pt>
                <c:pt idx="3">
                  <c:v>Workshop</c:v>
                </c:pt>
                <c:pt idx="4">
                  <c:v>Equipment Rental</c:v>
                </c:pt>
                <c:pt idx="5">
                  <c:v>Consultation</c:v>
                </c:pt>
                <c:pt idx="6">
                  <c:v>Enumeration</c:v>
                </c:pt>
                <c:pt idx="7">
                  <c:v>Identification</c:v>
                </c:pt>
                <c:pt idx="8">
                  <c:v>Isolation &amp; Purification</c:v>
                </c:pt>
              </c:strCache>
            </c:strRef>
          </c:cat>
          <c:val>
            <c:numRef>
              <c:f>'Service Revenue Breakdown'!$O$7:$O$15</c:f>
              <c:numCache>
                <c:formatCode>0%</c:formatCode>
                <c:ptCount val="9"/>
                <c:pt idx="0">
                  <c:v>0.1040331405346256</c:v>
                </c:pt>
                <c:pt idx="1">
                  <c:v>0.13373456307644208</c:v>
                </c:pt>
                <c:pt idx="2">
                  <c:v>3.493825230576833E-2</c:v>
                </c:pt>
                <c:pt idx="3">
                  <c:v>5.5885571361575737E-2</c:v>
                </c:pt>
                <c:pt idx="4">
                  <c:v>5.6276379552915425E-3</c:v>
                </c:pt>
                <c:pt idx="5">
                  <c:v>3.4391120837892761E-3</c:v>
                </c:pt>
                <c:pt idx="6">
                  <c:v>0</c:v>
                </c:pt>
                <c:pt idx="7">
                  <c:v>0</c:v>
                </c:pt>
                <c:pt idx="8">
                  <c:v>0</c:v>
                </c:pt>
              </c:numCache>
            </c:numRef>
          </c:val>
          <c:extLst>
            <c:ext xmlns:c16="http://schemas.microsoft.com/office/drawing/2014/chart" uri="{C3380CC4-5D6E-409C-BE32-E72D297353CC}">
              <c16:uniqueId val="{00000001-8931-43FC-B3F0-D0C05FE8A0AC}"/>
            </c:ext>
          </c:extLst>
        </c:ser>
        <c:dLbls>
          <c:showLegendKey val="0"/>
          <c:showVal val="0"/>
          <c:showCatName val="1"/>
          <c:showSerName val="0"/>
          <c:showPercent val="1"/>
          <c:showBubbleSize val="0"/>
          <c:showLeaderLines val="1"/>
        </c:dLbls>
      </c:pie3DChart>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0"/>
            </a:pPr>
            <a:r>
              <a:rPr lang="en-CA"/>
              <a:t>Invoiced - All Services  (2023 - 2024)</a:t>
            </a:r>
          </a:p>
        </c:rich>
      </c:tx>
      <c:overlay val="0"/>
    </c:title>
    <c:autoTitleDeleted val="0"/>
    <c:view3D>
      <c:rotX val="15"/>
      <c:rotY val="0"/>
      <c:rAngAx val="0"/>
    </c:view3D>
    <c:floor>
      <c:thickness val="0"/>
    </c:floor>
    <c:sideWall>
      <c:thickness val="0"/>
    </c:sideWall>
    <c:backWall>
      <c:thickness val="0"/>
    </c:backWall>
    <c:plotArea>
      <c:layout>
        <c:manualLayout>
          <c:xMode val="edge"/>
          <c:yMode val="edge"/>
          <c:x val="0.28888888888888886"/>
          <c:y val="0.25925925925925924"/>
          <c:w val="0.44444444444444442"/>
          <c:h val="0.7407407407407407"/>
        </c:manualLayout>
      </c:layout>
      <c:pie3DChart>
        <c:varyColors val="1"/>
        <c:ser>
          <c:idx val="0"/>
          <c:order val="0"/>
          <c:dLbls>
            <c:spPr>
              <a:noFill/>
              <a:ln>
                <a:noFill/>
              </a:ln>
              <a:effectLst/>
            </c:spPr>
            <c:txPr>
              <a:bodyPr wrap="square" lIns="38100" tIns="19050" rIns="38100" bIns="19050" anchor="ctr">
                <a:spAutoFit/>
              </a:bodyPr>
              <a:lstStyle/>
              <a:p>
                <a:pPr>
                  <a:defRPr sz="900">
                    <a:latin typeface="Arial"/>
                    <a:ea typeface="Arial"/>
                    <a:cs typeface="Arial"/>
                  </a:defRPr>
                </a:pPr>
                <a:endParaRPr lang="en-US"/>
              </a:p>
            </c:txPr>
            <c:showLegendKey val="0"/>
            <c:showVal val="1"/>
            <c:showCatName val="1"/>
            <c:showSerName val="0"/>
            <c:showPercent val="1"/>
            <c:showBubbleSize val="0"/>
            <c:showLeaderLines val="1"/>
            <c:extLst>
              <c:ext xmlns:c15="http://schemas.microsoft.com/office/drawing/2012/chart" uri="{CE6537A1-D6FC-4f65-9D91-7224C49458BB}"/>
            </c:extLst>
          </c:dLbls>
          <c:cat>
            <c:strRef>
              <c:f>'Service Revenue Breakdown'!$A$21:$A$30</c:f>
              <c:strCache>
                <c:ptCount val="10"/>
                <c:pt idx="0">
                  <c:v>Cultures</c:v>
                </c:pt>
                <c:pt idx="1">
                  <c:v>Medium</c:v>
                </c:pt>
                <c:pt idx="2">
                  <c:v>Concentrate</c:v>
                </c:pt>
                <c:pt idx="3">
                  <c:v>Safe-deposit</c:v>
                </c:pt>
                <c:pt idx="4">
                  <c:v>Workshop</c:v>
                </c:pt>
                <c:pt idx="5">
                  <c:v>Equipment Rental</c:v>
                </c:pt>
                <c:pt idx="6">
                  <c:v>Consultation</c:v>
                </c:pt>
                <c:pt idx="7">
                  <c:v>Enumeration</c:v>
                </c:pt>
                <c:pt idx="8">
                  <c:v>Identification</c:v>
                </c:pt>
                <c:pt idx="9">
                  <c:v>Isolation &amp; Purification</c:v>
                </c:pt>
              </c:strCache>
            </c:strRef>
          </c:cat>
          <c:val>
            <c:numRef>
              <c:f>'Service Revenue Breakdown'!$N$21:$N$30</c:f>
              <c:numCache>
                <c:formatCode>"$"#,##0.00</c:formatCode>
                <c:ptCount val="10"/>
                <c:pt idx="0">
                  <c:v>34560</c:v>
                </c:pt>
                <c:pt idx="1">
                  <c:v>4640</c:v>
                </c:pt>
                <c:pt idx="2">
                  <c:v>8115</c:v>
                </c:pt>
                <c:pt idx="3">
                  <c:v>2235</c:v>
                </c:pt>
                <c:pt idx="4">
                  <c:v>3575</c:v>
                </c:pt>
                <c:pt idx="5">
                  <c:v>360</c:v>
                </c:pt>
                <c:pt idx="6">
                  <c:v>220</c:v>
                </c:pt>
                <c:pt idx="7">
                  <c:v>0</c:v>
                </c:pt>
                <c:pt idx="8">
                  <c:v>0</c:v>
                </c:pt>
                <c:pt idx="9">
                  <c:v>0</c:v>
                </c:pt>
              </c:numCache>
            </c:numRef>
          </c:val>
          <c:extLst>
            <c:ext xmlns:c16="http://schemas.microsoft.com/office/drawing/2014/chart" uri="{C3380CC4-5D6E-409C-BE32-E72D297353CC}">
              <c16:uniqueId val="{00000000-62E8-447D-82AF-062C951BB245}"/>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'Service Revenue Breakdown'!$A$21:$A$30</c:f>
              <c:strCache>
                <c:ptCount val="10"/>
                <c:pt idx="0">
                  <c:v>Cultures</c:v>
                </c:pt>
                <c:pt idx="1">
                  <c:v>Medium</c:v>
                </c:pt>
                <c:pt idx="2">
                  <c:v>Concentrate</c:v>
                </c:pt>
                <c:pt idx="3">
                  <c:v>Safe-deposit</c:v>
                </c:pt>
                <c:pt idx="4">
                  <c:v>Workshop</c:v>
                </c:pt>
                <c:pt idx="5">
                  <c:v>Equipment Rental</c:v>
                </c:pt>
                <c:pt idx="6">
                  <c:v>Consultation</c:v>
                </c:pt>
                <c:pt idx="7">
                  <c:v>Enumeration</c:v>
                </c:pt>
                <c:pt idx="8">
                  <c:v>Identification</c:v>
                </c:pt>
                <c:pt idx="9">
                  <c:v>Isolation &amp; Purification</c:v>
                </c:pt>
              </c:strCache>
            </c:strRef>
          </c:cat>
          <c:val>
            <c:numRef>
              <c:f>'Service Revenue Breakdown'!$O$21:$O$30</c:f>
              <c:numCache>
                <c:formatCode>0%</c:formatCode>
                <c:ptCount val="10"/>
                <c:pt idx="0">
                  <c:v>0.60203814998693495</c:v>
                </c:pt>
                <c:pt idx="1">
                  <c:v>8.0829196063060715E-2</c:v>
                </c:pt>
                <c:pt idx="2">
                  <c:v>0.14136399268356414</c:v>
                </c:pt>
                <c:pt idx="3">
                  <c:v>3.8933890776064801E-2</c:v>
                </c:pt>
                <c:pt idx="4">
                  <c:v>6.2276805156345268E-2</c:v>
                </c:pt>
                <c:pt idx="5">
                  <c:v>6.2712307290305721E-3</c:v>
                </c:pt>
                <c:pt idx="6">
                  <c:v>3.8324187788520165E-3</c:v>
                </c:pt>
                <c:pt idx="7">
                  <c:v>0</c:v>
                </c:pt>
                <c:pt idx="8">
                  <c:v>0</c:v>
                </c:pt>
                <c:pt idx="9">
                  <c:v>0</c:v>
                </c:pt>
              </c:numCache>
            </c:numRef>
          </c:val>
          <c:extLst>
            <c:ext xmlns:c16="http://schemas.microsoft.com/office/drawing/2014/chart" uri="{C3380CC4-5D6E-409C-BE32-E72D297353CC}">
              <c16:uniqueId val="{00000001-62E8-447D-82AF-062C951BB245}"/>
            </c:ext>
          </c:extLst>
        </c:ser>
        <c:dLbls>
          <c:showLegendKey val="0"/>
          <c:showVal val="0"/>
          <c:showCatName val="1"/>
          <c:showSerName val="0"/>
          <c:showPercent val="1"/>
          <c:showBubbleSize val="0"/>
          <c:showLeaderLines val="1"/>
        </c:dLbls>
      </c:pie3DChart>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0"/>
            </a:pPr>
            <a:r>
              <a:rPr lang="en-CA"/>
              <a:t>Invoiced - Special Services  (2023 - 2024)</a:t>
            </a:r>
          </a:p>
        </c:rich>
      </c:tx>
      <c:overlay val="0"/>
    </c:title>
    <c:autoTitleDeleted val="0"/>
    <c:view3D>
      <c:rotX val="15"/>
      <c:rotY val="0"/>
      <c:rAngAx val="0"/>
    </c:view3D>
    <c:floor>
      <c:thickness val="0"/>
    </c:floor>
    <c:sideWall>
      <c:thickness val="0"/>
    </c:sideWall>
    <c:backWall>
      <c:thickness val="0"/>
    </c:backWall>
    <c:plotArea>
      <c:layout>
        <c:manualLayout>
          <c:xMode val="edge"/>
          <c:yMode val="edge"/>
          <c:x val="0.28888888888888886"/>
          <c:y val="0.25925925925925924"/>
          <c:w val="0.44444444444444442"/>
          <c:h val="0.7407407407407407"/>
        </c:manualLayout>
      </c:layout>
      <c:pie3DChart>
        <c:varyColors val="1"/>
        <c:ser>
          <c:idx val="0"/>
          <c:order val="0"/>
          <c:dLbls>
            <c:spPr>
              <a:noFill/>
              <a:ln>
                <a:noFill/>
              </a:ln>
              <a:effectLst/>
            </c:spPr>
            <c:txPr>
              <a:bodyPr wrap="square" lIns="38100" tIns="19050" rIns="38100" bIns="19050" anchor="ctr">
                <a:spAutoFit/>
              </a:bodyPr>
              <a:lstStyle/>
              <a:p>
                <a:pPr>
                  <a:defRPr sz="900">
                    <a:latin typeface="Arial"/>
                    <a:ea typeface="Arial"/>
                    <a:cs typeface="Arial"/>
                  </a:defRPr>
                </a:pPr>
                <a:endParaRPr lang="en-US"/>
              </a:p>
            </c:txPr>
            <c:showLegendKey val="0"/>
            <c:showVal val="1"/>
            <c:showCatName val="1"/>
            <c:showSerName val="0"/>
            <c:showPercent val="1"/>
            <c:showBubbleSize val="0"/>
            <c:showLeaderLines val="1"/>
            <c:extLst>
              <c:ext xmlns:c15="http://schemas.microsoft.com/office/drawing/2012/chart" uri="{CE6537A1-D6FC-4f65-9D91-7224C49458BB}"/>
            </c:extLst>
          </c:dLbls>
          <c:cat>
            <c:strRef>
              <c:f>'Service Revenue Breakdown'!$A$22:$A$30</c:f>
              <c:strCache>
                <c:ptCount val="9"/>
                <c:pt idx="0">
                  <c:v>Medium</c:v>
                </c:pt>
                <c:pt idx="1">
                  <c:v>Concentrate</c:v>
                </c:pt>
                <c:pt idx="2">
                  <c:v>Safe-deposit</c:v>
                </c:pt>
                <c:pt idx="3">
                  <c:v>Workshop</c:v>
                </c:pt>
                <c:pt idx="4">
                  <c:v>Equipment Rental</c:v>
                </c:pt>
                <c:pt idx="5">
                  <c:v>Consultation</c:v>
                </c:pt>
                <c:pt idx="6">
                  <c:v>Enumeration</c:v>
                </c:pt>
                <c:pt idx="7">
                  <c:v>Identification</c:v>
                </c:pt>
                <c:pt idx="8">
                  <c:v>Isolation &amp; Purification</c:v>
                </c:pt>
              </c:strCache>
            </c:strRef>
          </c:cat>
          <c:val>
            <c:numRef>
              <c:f>'Service Revenue Breakdown'!$N$22:$N$30</c:f>
              <c:numCache>
                <c:formatCode>"$"#,##0.00</c:formatCode>
                <c:ptCount val="9"/>
                <c:pt idx="0">
                  <c:v>4640</c:v>
                </c:pt>
                <c:pt idx="1">
                  <c:v>8115</c:v>
                </c:pt>
                <c:pt idx="2">
                  <c:v>2235</c:v>
                </c:pt>
                <c:pt idx="3">
                  <c:v>3575</c:v>
                </c:pt>
                <c:pt idx="4">
                  <c:v>360</c:v>
                </c:pt>
                <c:pt idx="5">
                  <c:v>220</c:v>
                </c:pt>
                <c:pt idx="6">
                  <c:v>0</c:v>
                </c:pt>
                <c:pt idx="7">
                  <c:v>0</c:v>
                </c:pt>
                <c:pt idx="8">
                  <c:v>0</c:v>
                </c:pt>
              </c:numCache>
            </c:numRef>
          </c:val>
          <c:extLst>
            <c:ext xmlns:c16="http://schemas.microsoft.com/office/drawing/2014/chart" uri="{C3380CC4-5D6E-409C-BE32-E72D297353CC}">
              <c16:uniqueId val="{00000000-5B25-4078-88DE-362021889846}"/>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'Service Revenue Breakdown'!$A$22:$A$30</c:f>
              <c:strCache>
                <c:ptCount val="9"/>
                <c:pt idx="0">
                  <c:v>Medium</c:v>
                </c:pt>
                <c:pt idx="1">
                  <c:v>Concentrate</c:v>
                </c:pt>
                <c:pt idx="2">
                  <c:v>Safe-deposit</c:v>
                </c:pt>
                <c:pt idx="3">
                  <c:v>Workshop</c:v>
                </c:pt>
                <c:pt idx="4">
                  <c:v>Equipment Rental</c:v>
                </c:pt>
                <c:pt idx="5">
                  <c:v>Consultation</c:v>
                </c:pt>
                <c:pt idx="6">
                  <c:v>Enumeration</c:v>
                </c:pt>
                <c:pt idx="7">
                  <c:v>Identification</c:v>
                </c:pt>
                <c:pt idx="8">
                  <c:v>Isolation &amp; Purification</c:v>
                </c:pt>
              </c:strCache>
            </c:strRef>
          </c:cat>
          <c:val>
            <c:numRef>
              <c:f>'Service Revenue Breakdown'!$O$22:$O$30</c:f>
              <c:numCache>
                <c:formatCode>0%</c:formatCode>
                <c:ptCount val="9"/>
                <c:pt idx="0">
                  <c:v>8.0829196063060715E-2</c:v>
                </c:pt>
                <c:pt idx="1">
                  <c:v>0.14136399268356414</c:v>
                </c:pt>
                <c:pt idx="2">
                  <c:v>3.8933890776064801E-2</c:v>
                </c:pt>
                <c:pt idx="3">
                  <c:v>6.2276805156345268E-2</c:v>
                </c:pt>
                <c:pt idx="4">
                  <c:v>6.2712307290305721E-3</c:v>
                </c:pt>
                <c:pt idx="5">
                  <c:v>3.8324187788520165E-3</c:v>
                </c:pt>
                <c:pt idx="6">
                  <c:v>0</c:v>
                </c:pt>
                <c:pt idx="7">
                  <c:v>0</c:v>
                </c:pt>
                <c:pt idx="8">
                  <c:v>0</c:v>
                </c:pt>
              </c:numCache>
            </c:numRef>
          </c:val>
          <c:extLst>
            <c:ext xmlns:c16="http://schemas.microsoft.com/office/drawing/2014/chart" uri="{C3380CC4-5D6E-409C-BE32-E72D297353CC}">
              <c16:uniqueId val="{00000001-5B25-4078-88DE-362021889846}"/>
            </c:ext>
          </c:extLst>
        </c:ser>
        <c:dLbls>
          <c:showLegendKey val="0"/>
          <c:showVal val="0"/>
          <c:showCatName val="1"/>
          <c:showSerName val="0"/>
          <c:showPercent val="1"/>
          <c:showBubbleSize val="0"/>
          <c:showLeaderLines val="1"/>
        </c:dLbls>
      </c:pie3DChart>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0"/>
            </a:pPr>
            <a:r>
              <a:rPr lang="en-CA"/>
              <a:t>Ordered - Total Revenue  (2023 - 2024)</a:t>
            </a:r>
          </a:p>
        </c:rich>
      </c:tx>
      <c:overlay val="0"/>
    </c:title>
    <c:autoTitleDeleted val="0"/>
    <c:view3D>
      <c:rotX val="15"/>
      <c:rotY val="0"/>
      <c:rAngAx val="0"/>
    </c:view3D>
    <c:floor>
      <c:thickness val="0"/>
    </c:floor>
    <c:sideWall>
      <c:thickness val="0"/>
    </c:sideWall>
    <c:backWall>
      <c:thickness val="0"/>
    </c:backWall>
    <c:plotArea>
      <c:layout>
        <c:manualLayout>
          <c:xMode val="edge"/>
          <c:yMode val="edge"/>
          <c:x val="0.28888888888888886"/>
          <c:y val="0.25925925925925924"/>
          <c:w val="0.44444444444444442"/>
          <c:h val="0.7407407407407407"/>
        </c:manualLayout>
      </c:layout>
      <c:pie3DChart>
        <c:varyColors val="1"/>
        <c:ser>
          <c:idx val="0"/>
          <c:order val="0"/>
          <c:dLbls>
            <c:spPr>
              <a:noFill/>
              <a:ln>
                <a:noFill/>
              </a:ln>
              <a:effectLst/>
            </c:spPr>
            <c:txPr>
              <a:bodyPr wrap="square" lIns="38100" tIns="19050" rIns="38100" bIns="19050" anchor="ctr">
                <a:spAutoFit/>
              </a:bodyPr>
              <a:lstStyle/>
              <a:p>
                <a:pPr>
                  <a:defRPr sz="900">
                    <a:latin typeface="Arial"/>
                    <a:ea typeface="Arial"/>
                    <a:cs typeface="Arial"/>
                  </a:defRPr>
                </a:pPr>
                <a:endParaRPr lang="en-US"/>
              </a:p>
            </c:txPr>
            <c:showLegendKey val="0"/>
            <c:showVal val="1"/>
            <c:showCatName val="1"/>
            <c:showSerName val="0"/>
            <c:showPercent val="1"/>
            <c:showBubbleSize val="0"/>
            <c:showLeaderLines val="1"/>
            <c:extLst>
              <c:ext xmlns:c15="http://schemas.microsoft.com/office/drawing/2012/chart" uri="{CE6537A1-D6FC-4f65-9D91-7224C49458BB}"/>
            </c:extLst>
          </c:dLbls>
          <c:cat>
            <c:strRef>
              <c:f>'Service Revenue Breakdown'!$A$6:$A$16</c:f>
              <c:strCache>
                <c:ptCount val="11"/>
                <c:pt idx="0">
                  <c:v>Cultures</c:v>
                </c:pt>
                <c:pt idx="1">
                  <c:v>Medium</c:v>
                </c:pt>
                <c:pt idx="2">
                  <c:v>Concentrate</c:v>
                </c:pt>
                <c:pt idx="3">
                  <c:v>Safe-deposit</c:v>
                </c:pt>
                <c:pt idx="4">
                  <c:v>Workshop</c:v>
                </c:pt>
                <c:pt idx="5">
                  <c:v>Equipment Rental</c:v>
                </c:pt>
                <c:pt idx="6">
                  <c:v>Consultation</c:v>
                </c:pt>
                <c:pt idx="7">
                  <c:v>Enumeration</c:v>
                </c:pt>
                <c:pt idx="8">
                  <c:v>Identification</c:v>
                </c:pt>
                <c:pt idx="9">
                  <c:v>Isolation &amp; Purification</c:v>
                </c:pt>
                <c:pt idx="10">
                  <c:v>Shipping &amp; Handling</c:v>
                </c:pt>
              </c:strCache>
            </c:strRef>
          </c:cat>
          <c:val>
            <c:numRef>
              <c:f>'Service Revenue Breakdown'!$N$6:$N$16</c:f>
              <c:numCache>
                <c:formatCode>"$"#,##0.00</c:formatCode>
                <c:ptCount val="11"/>
                <c:pt idx="0">
                  <c:v>38365</c:v>
                </c:pt>
                <c:pt idx="1">
                  <c:v>6655</c:v>
                </c:pt>
                <c:pt idx="2">
                  <c:v>8555</c:v>
                </c:pt>
                <c:pt idx="3">
                  <c:v>2235</c:v>
                </c:pt>
                <c:pt idx="4">
                  <c:v>3575</c:v>
                </c:pt>
                <c:pt idx="5">
                  <c:v>360</c:v>
                </c:pt>
                <c:pt idx="6">
                  <c:v>220</c:v>
                </c:pt>
                <c:pt idx="7">
                  <c:v>0</c:v>
                </c:pt>
                <c:pt idx="8">
                  <c:v>0</c:v>
                </c:pt>
                <c:pt idx="9">
                  <c:v>0</c:v>
                </c:pt>
                <c:pt idx="10">
                  <c:v>4005</c:v>
                </c:pt>
              </c:numCache>
            </c:numRef>
          </c:val>
          <c:extLst>
            <c:ext xmlns:c16="http://schemas.microsoft.com/office/drawing/2014/chart" uri="{C3380CC4-5D6E-409C-BE32-E72D297353CC}">
              <c16:uniqueId val="{00000000-8574-4351-B2FB-DD18EDEB7E8F}"/>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'Service Revenue Breakdown'!$A$6:$A$16</c:f>
              <c:strCache>
                <c:ptCount val="11"/>
                <c:pt idx="0">
                  <c:v>Cultures</c:v>
                </c:pt>
                <c:pt idx="1">
                  <c:v>Medium</c:v>
                </c:pt>
                <c:pt idx="2">
                  <c:v>Concentrate</c:v>
                </c:pt>
                <c:pt idx="3">
                  <c:v>Safe-deposit</c:v>
                </c:pt>
                <c:pt idx="4">
                  <c:v>Workshop</c:v>
                </c:pt>
                <c:pt idx="5">
                  <c:v>Equipment Rental</c:v>
                </c:pt>
                <c:pt idx="6">
                  <c:v>Consultation</c:v>
                </c:pt>
                <c:pt idx="7">
                  <c:v>Enumeration</c:v>
                </c:pt>
                <c:pt idx="8">
                  <c:v>Identification</c:v>
                </c:pt>
                <c:pt idx="9">
                  <c:v>Isolation &amp; Purification</c:v>
                </c:pt>
                <c:pt idx="10">
                  <c:v>Shipping &amp; Handling</c:v>
                </c:pt>
              </c:strCache>
            </c:strRef>
          </c:cat>
          <c:val>
            <c:numRef>
              <c:f>'Service Revenue Breakdown'!$O$6:$O$16</c:f>
              <c:numCache>
                <c:formatCode>0%</c:formatCode>
                <c:ptCount val="11"/>
                <c:pt idx="0">
                  <c:v>0.59973425042988904</c:v>
                </c:pt>
                <c:pt idx="1">
                  <c:v>0.1040331405346256</c:v>
                </c:pt>
                <c:pt idx="2">
                  <c:v>0.13373456307644208</c:v>
                </c:pt>
                <c:pt idx="3">
                  <c:v>3.493825230576833E-2</c:v>
                </c:pt>
                <c:pt idx="4">
                  <c:v>5.5885571361575737E-2</c:v>
                </c:pt>
                <c:pt idx="5">
                  <c:v>5.6276379552915425E-3</c:v>
                </c:pt>
                <c:pt idx="6">
                  <c:v>3.4391120837892761E-3</c:v>
                </c:pt>
                <c:pt idx="7">
                  <c:v>0</c:v>
                </c:pt>
                <c:pt idx="8">
                  <c:v>0</c:v>
                </c:pt>
                <c:pt idx="9">
                  <c:v>0</c:v>
                </c:pt>
                <c:pt idx="10">
                  <c:v>6.260747225261841E-2</c:v>
                </c:pt>
              </c:numCache>
            </c:numRef>
          </c:val>
          <c:extLst>
            <c:ext xmlns:c16="http://schemas.microsoft.com/office/drawing/2014/chart" uri="{C3380CC4-5D6E-409C-BE32-E72D297353CC}">
              <c16:uniqueId val="{00000001-8574-4351-B2FB-DD18EDEB7E8F}"/>
            </c:ext>
          </c:extLst>
        </c:ser>
        <c:dLbls>
          <c:showLegendKey val="0"/>
          <c:showVal val="0"/>
          <c:showCatName val="1"/>
          <c:showSerName val="0"/>
          <c:showPercent val="1"/>
          <c:showBubbleSize val="0"/>
          <c:showLeaderLines val="1"/>
        </c:dLbls>
      </c:pie3DChart>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0"/>
            </a:pPr>
            <a:r>
              <a:rPr lang="en-CA"/>
              <a:t>Invoiced - Total Revenue  (2023 - 2024)</a:t>
            </a:r>
          </a:p>
        </c:rich>
      </c:tx>
      <c:overlay val="0"/>
    </c:title>
    <c:autoTitleDeleted val="0"/>
    <c:view3D>
      <c:rotX val="15"/>
      <c:rotY val="0"/>
      <c:rAngAx val="0"/>
    </c:view3D>
    <c:floor>
      <c:thickness val="0"/>
    </c:floor>
    <c:sideWall>
      <c:thickness val="0"/>
    </c:sideWall>
    <c:backWall>
      <c:thickness val="0"/>
    </c:backWall>
    <c:plotArea>
      <c:layout>
        <c:manualLayout>
          <c:xMode val="edge"/>
          <c:yMode val="edge"/>
          <c:x val="0.28888888888888886"/>
          <c:y val="0.25925925925925924"/>
          <c:w val="0.44444444444444442"/>
          <c:h val="0.7407407407407407"/>
        </c:manualLayout>
      </c:layout>
      <c:pie3DChart>
        <c:varyColors val="1"/>
        <c:ser>
          <c:idx val="0"/>
          <c:order val="0"/>
          <c:dLbls>
            <c:spPr>
              <a:noFill/>
              <a:ln>
                <a:noFill/>
              </a:ln>
              <a:effectLst/>
            </c:spPr>
            <c:txPr>
              <a:bodyPr wrap="square" lIns="38100" tIns="19050" rIns="38100" bIns="19050" anchor="ctr">
                <a:spAutoFit/>
              </a:bodyPr>
              <a:lstStyle/>
              <a:p>
                <a:pPr>
                  <a:defRPr sz="900">
                    <a:latin typeface="Arial"/>
                    <a:ea typeface="Arial"/>
                    <a:cs typeface="Arial"/>
                  </a:defRPr>
                </a:pPr>
                <a:endParaRPr lang="en-US"/>
              </a:p>
            </c:txPr>
            <c:showLegendKey val="0"/>
            <c:showVal val="1"/>
            <c:showCatName val="1"/>
            <c:showSerName val="0"/>
            <c:showPercent val="1"/>
            <c:showBubbleSize val="0"/>
            <c:showLeaderLines val="1"/>
            <c:extLst>
              <c:ext xmlns:c15="http://schemas.microsoft.com/office/drawing/2012/chart" uri="{CE6537A1-D6FC-4f65-9D91-7224C49458BB}"/>
            </c:extLst>
          </c:dLbls>
          <c:cat>
            <c:strRef>
              <c:f>'Service Revenue Breakdown'!$A$21:$A$31</c:f>
              <c:strCache>
                <c:ptCount val="11"/>
                <c:pt idx="0">
                  <c:v>Cultures</c:v>
                </c:pt>
                <c:pt idx="1">
                  <c:v>Medium</c:v>
                </c:pt>
                <c:pt idx="2">
                  <c:v>Concentrate</c:v>
                </c:pt>
                <c:pt idx="3">
                  <c:v>Safe-deposit</c:v>
                </c:pt>
                <c:pt idx="4">
                  <c:v>Workshop</c:v>
                </c:pt>
                <c:pt idx="5">
                  <c:v>Equipment Rental</c:v>
                </c:pt>
                <c:pt idx="6">
                  <c:v>Consultation</c:v>
                </c:pt>
                <c:pt idx="7">
                  <c:v>Enumeration</c:v>
                </c:pt>
                <c:pt idx="8">
                  <c:v>Identification</c:v>
                </c:pt>
                <c:pt idx="9">
                  <c:v>Isolation &amp; Purification</c:v>
                </c:pt>
                <c:pt idx="10">
                  <c:v>Shipping &amp; Handling</c:v>
                </c:pt>
              </c:strCache>
            </c:strRef>
          </c:cat>
          <c:val>
            <c:numRef>
              <c:f>'Service Revenue Breakdown'!$N$21:$N$31</c:f>
              <c:numCache>
                <c:formatCode>"$"#,##0.00</c:formatCode>
                <c:ptCount val="11"/>
                <c:pt idx="0">
                  <c:v>34560</c:v>
                </c:pt>
                <c:pt idx="1">
                  <c:v>4640</c:v>
                </c:pt>
                <c:pt idx="2">
                  <c:v>8115</c:v>
                </c:pt>
                <c:pt idx="3">
                  <c:v>2235</c:v>
                </c:pt>
                <c:pt idx="4">
                  <c:v>3575</c:v>
                </c:pt>
                <c:pt idx="5">
                  <c:v>360</c:v>
                </c:pt>
                <c:pt idx="6">
                  <c:v>220</c:v>
                </c:pt>
                <c:pt idx="7">
                  <c:v>0</c:v>
                </c:pt>
                <c:pt idx="8">
                  <c:v>0</c:v>
                </c:pt>
                <c:pt idx="9">
                  <c:v>0</c:v>
                </c:pt>
                <c:pt idx="10">
                  <c:v>3700</c:v>
                </c:pt>
              </c:numCache>
            </c:numRef>
          </c:val>
          <c:extLst>
            <c:ext xmlns:c16="http://schemas.microsoft.com/office/drawing/2014/chart" uri="{C3380CC4-5D6E-409C-BE32-E72D297353CC}">
              <c16:uniqueId val="{00000000-831A-4F3F-8818-09CB62EFB2E1}"/>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'Service Revenue Breakdown'!$A$21:$A$31</c:f>
              <c:strCache>
                <c:ptCount val="11"/>
                <c:pt idx="0">
                  <c:v>Cultures</c:v>
                </c:pt>
                <c:pt idx="1">
                  <c:v>Medium</c:v>
                </c:pt>
                <c:pt idx="2">
                  <c:v>Concentrate</c:v>
                </c:pt>
                <c:pt idx="3">
                  <c:v>Safe-deposit</c:v>
                </c:pt>
                <c:pt idx="4">
                  <c:v>Workshop</c:v>
                </c:pt>
                <c:pt idx="5">
                  <c:v>Equipment Rental</c:v>
                </c:pt>
                <c:pt idx="6">
                  <c:v>Consultation</c:v>
                </c:pt>
                <c:pt idx="7">
                  <c:v>Enumeration</c:v>
                </c:pt>
                <c:pt idx="8">
                  <c:v>Identification</c:v>
                </c:pt>
                <c:pt idx="9">
                  <c:v>Isolation &amp; Purification</c:v>
                </c:pt>
                <c:pt idx="10">
                  <c:v>Shipping &amp; Handling</c:v>
                </c:pt>
              </c:strCache>
            </c:strRef>
          </c:cat>
          <c:val>
            <c:numRef>
              <c:f>'Service Revenue Breakdown'!$O$21:$O$31</c:f>
              <c:numCache>
                <c:formatCode>0%</c:formatCode>
                <c:ptCount val="11"/>
                <c:pt idx="0">
                  <c:v>0.60203814998693495</c:v>
                </c:pt>
                <c:pt idx="1">
                  <c:v>8.0829196063060715E-2</c:v>
                </c:pt>
                <c:pt idx="2">
                  <c:v>0.14136399268356414</c:v>
                </c:pt>
                <c:pt idx="3">
                  <c:v>3.8933890776064801E-2</c:v>
                </c:pt>
                <c:pt idx="4">
                  <c:v>6.2276805156345268E-2</c:v>
                </c:pt>
                <c:pt idx="5">
                  <c:v>6.2712307290305721E-3</c:v>
                </c:pt>
                <c:pt idx="6">
                  <c:v>3.8324187788520165E-3</c:v>
                </c:pt>
                <c:pt idx="7">
                  <c:v>0</c:v>
                </c:pt>
                <c:pt idx="8">
                  <c:v>0</c:v>
                </c:pt>
                <c:pt idx="9">
                  <c:v>0</c:v>
                </c:pt>
                <c:pt idx="10">
                  <c:v>6.4454315826147551E-2</c:v>
                </c:pt>
              </c:numCache>
            </c:numRef>
          </c:val>
          <c:extLst>
            <c:ext xmlns:c16="http://schemas.microsoft.com/office/drawing/2014/chart" uri="{C3380CC4-5D6E-409C-BE32-E72D297353CC}">
              <c16:uniqueId val="{00000001-831A-4F3F-8818-09CB62EFB2E1}"/>
            </c:ext>
          </c:extLst>
        </c:ser>
        <c:dLbls>
          <c:showLegendKey val="0"/>
          <c:showVal val="0"/>
          <c:showCatName val="1"/>
          <c:showSerName val="0"/>
          <c:showPercent val="1"/>
          <c:showBubbleSize val="0"/>
          <c:showLeaderLines val="1"/>
        </c:dLbls>
      </c:pie3DChart>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r>
              <a:rPr lang="en-US" baseline="0">
                <a:solidFill>
                  <a:schemeClr val="tx1">
                    <a:lumMod val="85000"/>
                    <a:lumOff val="15000"/>
                  </a:schemeClr>
                </a:solidFill>
              </a:rPr>
              <a:t>Total number of CPCC Users 1988-2024</a:t>
            </a:r>
          </a:p>
        </c:rich>
      </c:tx>
      <c:layout>
        <c:manualLayout>
          <c:xMode val="edge"/>
          <c:yMode val="edge"/>
          <c:x val="0.34432611613164815"/>
          <c:y val="3.5312152238432357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rgbClr val="00A86B">
                    <a:alpha val="40000"/>
                  </a:srgbClr>
                </a:gs>
                <a:gs pos="20000">
                  <a:srgbClr val="00A86B">
                    <a:alpha val="60000"/>
                  </a:srgbClr>
                </a:gs>
                <a:gs pos="40000">
                  <a:srgbClr val="00A86B">
                    <a:alpha val="80000"/>
                  </a:srgbClr>
                </a:gs>
                <a:gs pos="100000">
                  <a:srgbClr val="00A86B"/>
                </a:gs>
              </a:gsLst>
              <a:lin ang="5400000" scaled="1"/>
            </a:gradFill>
            <a:ln>
              <a:noFill/>
            </a:ln>
            <a:effectLst/>
          </c:spPr>
          <c:invertIfNegative val="0"/>
          <c:cat>
            <c:numRef>
              <c:f>'User Growth'!$A$4:$A$40</c:f>
              <c:numCache>
                <c:formatCode>General</c:formatCode>
                <c:ptCount val="37"/>
                <c:pt idx="0">
                  <c:v>1988</c:v>
                </c:pt>
                <c:pt idx="2">
                  <c:v>1990</c:v>
                </c:pt>
                <c:pt idx="4">
                  <c:v>1992</c:v>
                </c:pt>
                <c:pt idx="6">
                  <c:v>1994</c:v>
                </c:pt>
                <c:pt idx="8">
                  <c:v>1996</c:v>
                </c:pt>
                <c:pt idx="10">
                  <c:v>1998</c:v>
                </c:pt>
                <c:pt idx="12">
                  <c:v>2000</c:v>
                </c:pt>
                <c:pt idx="14">
                  <c:v>2002</c:v>
                </c:pt>
                <c:pt idx="16">
                  <c:v>2004</c:v>
                </c:pt>
                <c:pt idx="18">
                  <c:v>2006</c:v>
                </c:pt>
                <c:pt idx="20">
                  <c:v>2008</c:v>
                </c:pt>
                <c:pt idx="22">
                  <c:v>2010</c:v>
                </c:pt>
                <c:pt idx="24">
                  <c:v>2012</c:v>
                </c:pt>
                <c:pt idx="26">
                  <c:v>2014</c:v>
                </c:pt>
                <c:pt idx="28">
                  <c:v>2016</c:v>
                </c:pt>
                <c:pt idx="30">
                  <c:v>2018</c:v>
                </c:pt>
                <c:pt idx="32">
                  <c:v>2020</c:v>
                </c:pt>
                <c:pt idx="34">
                  <c:v>2022</c:v>
                </c:pt>
                <c:pt idx="36">
                  <c:v>2024</c:v>
                </c:pt>
              </c:numCache>
            </c:numRef>
          </c:cat>
          <c:val>
            <c:numRef>
              <c:f>'User Growth'!$C$4:$C$40</c:f>
              <c:numCache>
                <c:formatCode>General</c:formatCode>
                <c:ptCount val="37"/>
                <c:pt idx="0">
                  <c:v>30</c:v>
                </c:pt>
                <c:pt idx="1">
                  <c:v>50</c:v>
                </c:pt>
                <c:pt idx="2">
                  <c:v>62</c:v>
                </c:pt>
                <c:pt idx="3">
                  <c:v>88</c:v>
                </c:pt>
                <c:pt idx="4">
                  <c:v>121</c:v>
                </c:pt>
                <c:pt idx="5">
                  <c:v>182</c:v>
                </c:pt>
                <c:pt idx="6">
                  <c:v>217</c:v>
                </c:pt>
                <c:pt idx="7">
                  <c:v>241</c:v>
                </c:pt>
                <c:pt idx="8">
                  <c:v>273</c:v>
                </c:pt>
                <c:pt idx="9">
                  <c:v>332</c:v>
                </c:pt>
                <c:pt idx="10">
                  <c:v>355</c:v>
                </c:pt>
                <c:pt idx="11">
                  <c:v>387</c:v>
                </c:pt>
                <c:pt idx="12">
                  <c:v>434</c:v>
                </c:pt>
                <c:pt idx="13">
                  <c:v>474</c:v>
                </c:pt>
                <c:pt idx="14">
                  <c:v>512</c:v>
                </c:pt>
                <c:pt idx="15">
                  <c:v>566</c:v>
                </c:pt>
                <c:pt idx="16">
                  <c:v>621</c:v>
                </c:pt>
                <c:pt idx="17">
                  <c:v>673</c:v>
                </c:pt>
                <c:pt idx="18">
                  <c:v>740</c:v>
                </c:pt>
                <c:pt idx="19">
                  <c:v>798</c:v>
                </c:pt>
                <c:pt idx="20">
                  <c:v>873</c:v>
                </c:pt>
                <c:pt idx="21">
                  <c:v>925</c:v>
                </c:pt>
                <c:pt idx="22">
                  <c:v>970</c:v>
                </c:pt>
                <c:pt idx="23">
                  <c:v>1045</c:v>
                </c:pt>
                <c:pt idx="24">
                  <c:v>1104</c:v>
                </c:pt>
                <c:pt idx="25">
                  <c:v>1157</c:v>
                </c:pt>
                <c:pt idx="26">
                  <c:v>1201</c:v>
                </c:pt>
                <c:pt idx="27">
                  <c:v>1259</c:v>
                </c:pt>
                <c:pt idx="28">
                  <c:v>1318</c:v>
                </c:pt>
                <c:pt idx="29">
                  <c:v>1391</c:v>
                </c:pt>
                <c:pt idx="30">
                  <c:v>1452</c:v>
                </c:pt>
                <c:pt idx="31">
                  <c:v>1498</c:v>
                </c:pt>
                <c:pt idx="32">
                  <c:v>1537</c:v>
                </c:pt>
                <c:pt idx="33">
                  <c:v>1563</c:v>
                </c:pt>
                <c:pt idx="34">
                  <c:v>1602</c:v>
                </c:pt>
                <c:pt idx="35">
                  <c:v>1640</c:v>
                </c:pt>
                <c:pt idx="36">
                  <c:v>1680</c:v>
                </c:pt>
              </c:numCache>
            </c:numRef>
          </c:val>
          <c:extLst>
            <c:ext xmlns:c16="http://schemas.microsoft.com/office/drawing/2014/chart" uri="{C3380CC4-5D6E-409C-BE32-E72D297353CC}">
              <c16:uniqueId val="{00000000-68C4-406D-A033-BDAEBA8B9C2B}"/>
            </c:ext>
          </c:extLst>
        </c:ser>
        <c:dLbls>
          <c:showLegendKey val="0"/>
          <c:showVal val="0"/>
          <c:showCatName val="0"/>
          <c:showSerName val="0"/>
          <c:showPercent val="0"/>
          <c:showBubbleSize val="0"/>
        </c:dLbls>
        <c:gapWidth val="61"/>
        <c:overlap val="-25"/>
        <c:axId val="147387679"/>
        <c:axId val="147389327"/>
      </c:barChart>
      <c:catAx>
        <c:axId val="147387679"/>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85000"/>
                    <a:lumOff val="15000"/>
                  </a:schemeClr>
                </a:solidFill>
                <a:latin typeface="+mn-lt"/>
                <a:ea typeface="+mn-ea"/>
                <a:cs typeface="+mn-cs"/>
              </a:defRPr>
            </a:pPr>
            <a:endParaRPr lang="en-US"/>
          </a:p>
        </c:txPr>
        <c:crossAx val="147389327"/>
        <c:crosses val="autoZero"/>
        <c:auto val="1"/>
        <c:lblAlgn val="ctr"/>
        <c:lblOffset val="100"/>
        <c:noMultiLvlLbl val="0"/>
      </c:catAx>
      <c:valAx>
        <c:axId val="147389327"/>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85000"/>
                    <a:lumOff val="15000"/>
                  </a:schemeClr>
                </a:solidFill>
                <a:latin typeface="+mn-lt"/>
                <a:ea typeface="+mn-ea"/>
                <a:cs typeface="+mn-cs"/>
              </a:defRPr>
            </a:pPr>
            <a:endParaRPr lang="en-US"/>
          </a:p>
        </c:txPr>
        <c:crossAx val="147387679"/>
        <c:crosses val="autoZero"/>
        <c:crossBetween val="between"/>
      </c:valAx>
      <c:spPr>
        <a:noFill/>
        <a:ln>
          <a:noFill/>
        </a:ln>
        <a:effectLst/>
      </c:spPr>
    </c:plotArea>
    <c:legend>
      <c:legendPos val="b"/>
      <c:layout>
        <c:manualLayout>
          <c:xMode val="edge"/>
          <c:yMode val="edge"/>
          <c:x val="0.42843622536113601"/>
          <c:y val="0.93744206601539326"/>
          <c:w val="5.1258259634335002E-2"/>
          <c:h val="4.89304609551067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25" b="1" i="0" u="none" strike="noStrike" baseline="0">
                <a:solidFill>
                  <a:srgbClr val="000000"/>
                </a:solidFill>
                <a:latin typeface="Arial"/>
                <a:ea typeface="Arial"/>
                <a:cs typeface="Arial"/>
              </a:defRPr>
            </a:pPr>
            <a:r>
              <a:rPr lang="en-CA"/>
              <a:t>Revenue from cultures and services
provided by CPCC 2002-2024</a:t>
            </a:r>
          </a:p>
        </c:rich>
      </c:tx>
      <c:layout>
        <c:manualLayout>
          <c:xMode val="edge"/>
          <c:yMode val="edge"/>
          <c:x val="0.28711274319409624"/>
          <c:y val="3.234477171835002E-2"/>
        </c:manualLayout>
      </c:layout>
      <c:overlay val="0"/>
      <c:spPr>
        <a:noFill/>
        <a:ln w="25400">
          <a:noFill/>
        </a:ln>
      </c:spPr>
    </c:title>
    <c:autoTitleDeleted val="0"/>
    <c:plotArea>
      <c:layout>
        <c:manualLayout>
          <c:layoutTarget val="inner"/>
          <c:xMode val="edge"/>
          <c:yMode val="edge"/>
          <c:x val="0.12071787755999372"/>
          <c:y val="0.20215633423180593"/>
          <c:w val="0.85318175626860426"/>
          <c:h val="0.6307277628032345"/>
        </c:manualLayout>
      </c:layout>
      <c:barChart>
        <c:barDir val="col"/>
        <c:grouping val="clustered"/>
        <c:varyColors val="0"/>
        <c:ser>
          <c:idx val="0"/>
          <c:order val="0"/>
          <c:spPr>
            <a:solidFill>
              <a:srgbClr val="00A86B"/>
            </a:solidFill>
            <a:ln w="12700">
              <a:solidFill>
                <a:srgbClr val="000000"/>
              </a:solidFill>
              <a:prstDash val="solid"/>
            </a:ln>
          </c:spPr>
          <c:invertIfNegative val="0"/>
          <c:dLbls>
            <c:dLbl>
              <c:idx val="8"/>
              <c:layout>
                <c:manualLayout>
                  <c:x val="1.5944195316392552E-2"/>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2099-4460-964B-4D76176A916E}"/>
                </c:ext>
              </c:extLst>
            </c:dLbl>
            <c:dLbl>
              <c:idx val="10"/>
              <c:layout>
                <c:manualLayout>
                  <c:x val="9.9651220727453183E-3"/>
                  <c:y val="5.4421768707482989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2099-4460-964B-4D76176A916E}"/>
                </c:ext>
              </c:extLst>
            </c:dLbl>
            <c:dLbl>
              <c:idx val="12"/>
              <c:layout>
                <c:manualLayout>
                  <c:x val="9.9651220727453912E-3"/>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2099-4460-964B-4D76176A916E}"/>
                </c:ext>
              </c:extLst>
            </c:dLbl>
            <c:dLbl>
              <c:idx val="14"/>
              <c:layout>
                <c:manualLayout>
                  <c:x val="1.3951170901843548E-2"/>
                  <c:y val="8.1632653061224237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099-4460-964B-4D76176A916E}"/>
                </c:ext>
              </c:extLst>
            </c:dLbl>
            <c:dLbl>
              <c:idx val="16"/>
              <c:layout>
                <c:manualLayout>
                  <c:x val="1.5944195316392625E-2"/>
                  <c:y val="8.1632653061223994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2099-4460-964B-4D76176A916E}"/>
                </c:ext>
              </c:extLst>
            </c:dLbl>
            <c:dLbl>
              <c:idx val="17"/>
              <c:layout>
                <c:manualLayout>
                  <c:x val="1.5944195316392479E-2"/>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099-4460-964B-4D76176A916E}"/>
                </c:ext>
              </c:extLst>
            </c:dLbl>
            <c:dLbl>
              <c:idx val="19"/>
              <c:layout>
                <c:manualLayout>
                  <c:x val="1.195814648729447E-2"/>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2099-4460-964B-4D76176A916E}"/>
                </c:ext>
              </c:extLst>
            </c:dLbl>
            <c:dLbl>
              <c:idx val="20"/>
              <c:layout>
                <c:manualLayout>
                  <c:x val="1.1958146487294324E-2"/>
                  <c:y val="9.1508383937214475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2099-4460-964B-4D76176A916E}"/>
                </c:ext>
              </c:extLst>
            </c:dLbl>
            <c:dLbl>
              <c:idx val="21"/>
              <c:layout>
                <c:manualLayout>
                  <c:x val="3.9860488290981563E-3"/>
                  <c:y val="1.5779092702169602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2099-4460-964B-4D76176A916E}"/>
                </c:ext>
              </c:extLst>
            </c:dLbl>
            <c:spPr>
              <a:noFill/>
              <a:ln w="25400">
                <a:noFill/>
              </a:ln>
            </c:spPr>
            <c:txPr>
              <a:bodyPr rot="-3600000" vert="horz"/>
              <a:lstStyle/>
              <a:p>
                <a:pPr algn="ctr">
                  <a:defRPr sz="950" b="0" i="0" u="none" strike="noStrike" baseline="0">
                    <a:solidFill>
                      <a:srgbClr val="000000"/>
                    </a:solidFill>
                    <a:latin typeface="Arial"/>
                    <a:ea typeface="Arial"/>
                    <a:cs typeface="Arial"/>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of Revenue'!$A$4:$A$25</c:f>
              <c:strCache>
                <c:ptCount val="22"/>
                <c:pt idx="0">
                  <c:v>2002-2003</c:v>
                </c:pt>
                <c:pt idx="1">
                  <c:v>2003-2004</c:v>
                </c:pt>
                <c:pt idx="2">
                  <c:v>2004-2005</c:v>
                </c:pt>
                <c:pt idx="3">
                  <c:v>2005-2006</c:v>
                </c:pt>
                <c:pt idx="4">
                  <c:v>2006-2007</c:v>
                </c:pt>
                <c:pt idx="5">
                  <c:v>2007-2008</c:v>
                </c:pt>
                <c:pt idx="6">
                  <c:v>2008-2009</c:v>
                </c:pt>
                <c:pt idx="7">
                  <c:v>2009-2010</c:v>
                </c:pt>
                <c:pt idx="8">
                  <c:v>2010- 2011</c:v>
                </c:pt>
                <c:pt idx="9">
                  <c:v>2011-2012</c:v>
                </c:pt>
                <c:pt idx="10">
                  <c:v>2012-2013</c:v>
                </c:pt>
                <c:pt idx="11">
                  <c:v>2013-2014</c:v>
                </c:pt>
                <c:pt idx="12">
                  <c:v>2014-2015</c:v>
                </c:pt>
                <c:pt idx="13">
                  <c:v>2015-2016</c:v>
                </c:pt>
                <c:pt idx="14">
                  <c:v>2016-2017</c:v>
                </c:pt>
                <c:pt idx="15">
                  <c:v>2017-2018</c:v>
                </c:pt>
                <c:pt idx="16">
                  <c:v>2018-2019</c:v>
                </c:pt>
                <c:pt idx="17">
                  <c:v>2019-2020</c:v>
                </c:pt>
                <c:pt idx="18">
                  <c:v>2020-2021</c:v>
                </c:pt>
                <c:pt idx="19">
                  <c:v>2021-2022</c:v>
                </c:pt>
                <c:pt idx="20">
                  <c:v>2022-2023</c:v>
                </c:pt>
                <c:pt idx="21">
                  <c:v>2023-2024</c:v>
                </c:pt>
              </c:strCache>
            </c:strRef>
          </c:cat>
          <c:val>
            <c:numRef>
              <c:f>'Summary of Revenue'!$B$4:$B$25</c:f>
              <c:numCache>
                <c:formatCode>"$"#,##0</c:formatCode>
                <c:ptCount val="22"/>
                <c:pt idx="0">
                  <c:v>18889</c:v>
                </c:pt>
                <c:pt idx="1">
                  <c:v>30036</c:v>
                </c:pt>
                <c:pt idx="2">
                  <c:v>29832</c:v>
                </c:pt>
                <c:pt idx="3">
                  <c:v>31759</c:v>
                </c:pt>
                <c:pt idx="4">
                  <c:v>30810</c:v>
                </c:pt>
                <c:pt idx="5">
                  <c:v>40840</c:v>
                </c:pt>
                <c:pt idx="6">
                  <c:v>34556</c:v>
                </c:pt>
                <c:pt idx="7">
                  <c:v>35822</c:v>
                </c:pt>
                <c:pt idx="8">
                  <c:v>42339</c:v>
                </c:pt>
                <c:pt idx="9">
                  <c:v>37344</c:v>
                </c:pt>
                <c:pt idx="10">
                  <c:v>41172.620000000003</c:v>
                </c:pt>
                <c:pt idx="11">
                  <c:v>36705</c:v>
                </c:pt>
                <c:pt idx="12">
                  <c:v>44429</c:v>
                </c:pt>
                <c:pt idx="13">
                  <c:v>40572</c:v>
                </c:pt>
                <c:pt idx="14">
                  <c:v>55790</c:v>
                </c:pt>
                <c:pt idx="15">
                  <c:v>43761</c:v>
                </c:pt>
                <c:pt idx="16">
                  <c:v>45640</c:v>
                </c:pt>
                <c:pt idx="17">
                  <c:v>40345</c:v>
                </c:pt>
                <c:pt idx="18">
                  <c:v>34600</c:v>
                </c:pt>
                <c:pt idx="19">
                  <c:v>39685</c:v>
                </c:pt>
                <c:pt idx="20">
                  <c:v>44975</c:v>
                </c:pt>
                <c:pt idx="21">
                  <c:v>57405</c:v>
                </c:pt>
              </c:numCache>
            </c:numRef>
          </c:val>
          <c:extLst>
            <c:ext xmlns:c16="http://schemas.microsoft.com/office/drawing/2014/chart" uri="{C3380CC4-5D6E-409C-BE32-E72D297353CC}">
              <c16:uniqueId val="{00000009-2099-4460-964B-4D76176A916E}"/>
            </c:ext>
          </c:extLst>
        </c:ser>
        <c:dLbls>
          <c:showLegendKey val="0"/>
          <c:showVal val="0"/>
          <c:showCatName val="0"/>
          <c:showSerName val="0"/>
          <c:showPercent val="0"/>
          <c:showBubbleSize val="0"/>
        </c:dLbls>
        <c:gapWidth val="150"/>
        <c:axId val="70770048"/>
        <c:axId val="70878336"/>
      </c:barChart>
      <c:catAx>
        <c:axId val="70770048"/>
        <c:scaling>
          <c:orientation val="minMax"/>
        </c:scaling>
        <c:delete val="0"/>
        <c:axPos val="b"/>
        <c:numFmt formatCode="General" sourceLinked="1"/>
        <c:majorTickMark val="out"/>
        <c:minorTickMark val="none"/>
        <c:tickLblPos val="low"/>
        <c:spPr>
          <a:ln w="3175">
            <a:solidFill>
              <a:srgbClr val="000000"/>
            </a:solidFill>
            <a:prstDash val="solid"/>
          </a:ln>
        </c:spPr>
        <c:txPr>
          <a:bodyPr rot="-2700000" vert="horz"/>
          <a:lstStyle/>
          <a:p>
            <a:pPr>
              <a:defRPr sz="900" b="0" i="0" u="none" strike="noStrike" baseline="0">
                <a:solidFill>
                  <a:srgbClr val="000000"/>
                </a:solidFill>
                <a:latin typeface="Arial"/>
                <a:ea typeface="Arial"/>
                <a:cs typeface="Arial"/>
              </a:defRPr>
            </a:pPr>
            <a:endParaRPr lang="en-US"/>
          </a:p>
        </c:txPr>
        <c:crossAx val="70878336"/>
        <c:crosses val="autoZero"/>
        <c:auto val="1"/>
        <c:lblAlgn val="ctr"/>
        <c:lblOffset val="100"/>
        <c:tickLblSkip val="1"/>
        <c:tickMarkSkip val="1"/>
        <c:noMultiLvlLbl val="0"/>
      </c:catAx>
      <c:valAx>
        <c:axId val="70878336"/>
        <c:scaling>
          <c:orientation val="minMax"/>
        </c:scaling>
        <c:delete val="0"/>
        <c:axPos val="l"/>
        <c:majorGridlines>
          <c:spPr>
            <a:ln w="3175">
              <a:solidFill>
                <a:schemeClr val="bg1">
                  <a:lumMod val="50000"/>
                </a:schemeClr>
              </a:solidFill>
              <a:prstDash val="solid"/>
            </a:ln>
          </c:spPr>
        </c:majorGridlines>
        <c:numFmt formatCode="&quot;$&quot;#,##0" sourceLinked="1"/>
        <c:majorTickMark val="out"/>
        <c:minorTickMark val="none"/>
        <c:tickLblPos val="nextTo"/>
        <c:spPr>
          <a:ln w="3175">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70770048"/>
        <c:crosses val="autoZero"/>
        <c:crossBetween val="between"/>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verticalDpi="0"/>
  </c:printSettings>
</c:chartSpace>
</file>

<file path=xl/charts/colors1.xml><?xml version="1.0" encoding="utf-8"?>
<cs:colorStyle xmlns:cs="http://schemas.microsoft.com/office/drawing/2012/chartStyle" xmlns:a="http://schemas.openxmlformats.org/drawingml/2006/main" meth="withinLinear" id="19">
  <a:schemeClr val="accent6"/>
</cs:colorStyle>
</file>

<file path=xl/charts/style1.xml><?xml version="1.0" encoding="utf-8"?>
<cs:chartStyle xmlns:cs="http://schemas.microsoft.com/office/drawing/2012/chartStyle" xmlns:a="http://schemas.openxmlformats.org/drawingml/2006/main" id="281">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5"/>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spPr>
      <a:ln w="9525" cap="flat" cmpd="sng" algn="ctr">
        <a:solidFill>
          <a:schemeClr val="tx2">
            <a:lumMod val="40000"/>
            <a:lumOff val="60000"/>
          </a:schemeClr>
        </a:solidFill>
        <a:round/>
      </a:ln>
    </cs:spPr>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chart" Target="../charts/chart6.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1</xdr:col>
      <xdr:colOff>16565</xdr:colOff>
      <xdr:row>0</xdr:row>
      <xdr:rowOff>0</xdr:rowOff>
    </xdr:from>
    <xdr:to>
      <xdr:col>1</xdr:col>
      <xdr:colOff>662609</xdr:colOff>
      <xdr:row>0</xdr:row>
      <xdr:rowOff>207728</xdr:rowOff>
    </xdr:to>
    <xdr:sp macro="[0]!ScrollBottomButton.ScrollBottomButton" textlink="">
      <xdr:nvSpPr>
        <xdr:cNvPr id="2" name="Rectangle 1">
          <a:extLst>
            <a:ext uri="{FF2B5EF4-FFF2-40B4-BE49-F238E27FC236}">
              <a16:creationId xmlns:a16="http://schemas.microsoft.com/office/drawing/2014/main" id="{8A79ED94-4169-8ED4-69CD-80B7DBA975D7}"/>
            </a:ext>
          </a:extLst>
        </xdr:cNvPr>
        <xdr:cNvSpPr/>
      </xdr:nvSpPr>
      <xdr:spPr>
        <a:xfrm>
          <a:off x="753717" y="0"/>
          <a:ext cx="646044" cy="207728"/>
        </a:xfrm>
        <a:prstGeom prst="rect">
          <a:avLst/>
        </a:prstGeom>
        <a:solidFill>
          <a:schemeClr val="accent6">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000"/>
            <a:t>BUTTON</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784860</xdr:colOff>
      <xdr:row>0</xdr:row>
      <xdr:rowOff>243840</xdr:rowOff>
    </xdr:to>
    <xdr:sp macro="[0]!ScrollBottomButton.ScrollBottomButton" textlink="">
      <xdr:nvSpPr>
        <xdr:cNvPr id="2" name="Rectangle 1">
          <a:extLst>
            <a:ext uri="{FF2B5EF4-FFF2-40B4-BE49-F238E27FC236}">
              <a16:creationId xmlns:a16="http://schemas.microsoft.com/office/drawing/2014/main" id="{15D48B99-21E4-48D9-87FE-BF6CA0F9A4B4}"/>
            </a:ext>
          </a:extLst>
        </xdr:cNvPr>
        <xdr:cNvSpPr/>
      </xdr:nvSpPr>
      <xdr:spPr>
        <a:xfrm>
          <a:off x="0" y="0"/>
          <a:ext cx="784860" cy="243840"/>
        </a:xfrm>
        <a:prstGeom prst="rect">
          <a:avLst/>
        </a:prstGeom>
        <a:solidFill>
          <a:schemeClr val="accent6">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000"/>
            <a:t>BUTTON</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16</xdr:col>
      <xdr:colOff>384698</xdr:colOff>
      <xdr:row>3</xdr:row>
      <xdr:rowOff>162037</xdr:rowOff>
    </xdr:from>
    <xdr:to>
      <xdr:col>20</xdr:col>
      <xdr:colOff>234203</xdr:colOff>
      <xdr:row>11</xdr:row>
      <xdr:rowOff>137272</xdr:rowOff>
    </xdr:to>
    <xdr:sp macro="[0]!Usage.Usage" textlink="">
      <xdr:nvSpPr>
        <xdr:cNvPr id="2" name="Rectangle 1">
          <a:extLst>
            <a:ext uri="{FF2B5EF4-FFF2-40B4-BE49-F238E27FC236}">
              <a16:creationId xmlns:a16="http://schemas.microsoft.com/office/drawing/2014/main" id="{78C58366-0B94-4CC6-8040-1BB81D55DBEE}"/>
            </a:ext>
          </a:extLst>
        </xdr:cNvPr>
        <xdr:cNvSpPr/>
      </xdr:nvSpPr>
      <xdr:spPr>
        <a:xfrm>
          <a:off x="10478957" y="1139190"/>
          <a:ext cx="3551928" cy="123029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800"/>
            <a:t>Usage</a:t>
          </a:r>
          <a:r>
            <a:rPr lang="en-CA" sz="1100"/>
            <a:t> </a:t>
          </a:r>
        </a:p>
      </xdr:txBody>
    </xdr:sp>
    <xdr:clientData/>
  </xdr:twoCellAnchor>
  <xdr:twoCellAnchor>
    <xdr:from>
      <xdr:col>5</xdr:col>
      <xdr:colOff>139065</xdr:colOff>
      <xdr:row>14</xdr:row>
      <xdr:rowOff>36194</xdr:rowOff>
    </xdr:from>
    <xdr:to>
      <xdr:col>13</xdr:col>
      <xdr:colOff>407670</xdr:colOff>
      <xdr:row>38</xdr:row>
      <xdr:rowOff>5041</xdr:rowOff>
    </xdr:to>
    <xdr:graphicFrame macro="">
      <xdr:nvGraphicFramePr>
        <xdr:cNvPr id="3" name="Chart 2">
          <a:extLst>
            <a:ext uri="{FF2B5EF4-FFF2-40B4-BE49-F238E27FC236}">
              <a16:creationId xmlns:a16="http://schemas.microsoft.com/office/drawing/2014/main" id="{E12130FC-DCC9-4AAA-A819-721E03CED7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16</xdr:col>
      <xdr:colOff>474344</xdr:colOff>
      <xdr:row>5</xdr:row>
      <xdr:rowOff>72389</xdr:rowOff>
    </xdr:from>
    <xdr:to>
      <xdr:col>20</xdr:col>
      <xdr:colOff>323849</xdr:colOff>
      <xdr:row>12</xdr:row>
      <xdr:rowOff>47624</xdr:rowOff>
    </xdr:to>
    <xdr:sp macro="[0]!Media_Requests.Media_Requests" textlink="">
      <xdr:nvSpPr>
        <xdr:cNvPr id="2" name="Rectangle 1">
          <a:extLst>
            <a:ext uri="{FF2B5EF4-FFF2-40B4-BE49-F238E27FC236}">
              <a16:creationId xmlns:a16="http://schemas.microsoft.com/office/drawing/2014/main" id="{DA2DDF90-E6A7-4155-B883-EE34D5578EF5}"/>
            </a:ext>
          </a:extLst>
        </xdr:cNvPr>
        <xdr:cNvSpPr/>
      </xdr:nvSpPr>
      <xdr:spPr>
        <a:xfrm>
          <a:off x="11184254" y="1013459"/>
          <a:ext cx="3535680" cy="123634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800"/>
            <a:t>Media</a:t>
          </a:r>
          <a:r>
            <a:rPr lang="en-CA" sz="1800" baseline="0"/>
            <a:t> Request</a:t>
          </a:r>
          <a:endParaRPr lang="en-CA" sz="18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20</xdr:col>
      <xdr:colOff>655032</xdr:colOff>
      <xdr:row>3</xdr:row>
      <xdr:rowOff>0</xdr:rowOff>
    </xdr:from>
    <xdr:to>
      <xdr:col>24</xdr:col>
      <xdr:colOff>1358537</xdr:colOff>
      <xdr:row>4</xdr:row>
      <xdr:rowOff>126226</xdr:rowOff>
    </xdr:to>
    <xdr:sp macro="[0]!Source_Of_Request" textlink="">
      <xdr:nvSpPr>
        <xdr:cNvPr id="6" name="Rectangle 5">
          <a:extLst>
            <a:ext uri="{FF2B5EF4-FFF2-40B4-BE49-F238E27FC236}">
              <a16:creationId xmlns:a16="http://schemas.microsoft.com/office/drawing/2014/main" id="{345AE853-C1EE-457D-8D81-FDF013BEB7DB}"/>
            </a:ext>
          </a:extLst>
        </xdr:cNvPr>
        <xdr:cNvSpPr/>
      </xdr:nvSpPr>
      <xdr:spPr>
        <a:xfrm>
          <a:off x="13220412" y="1085225"/>
          <a:ext cx="4178225" cy="1395581"/>
        </a:xfrm>
        <a:prstGeom prst="rect">
          <a:avLst/>
        </a:prstGeom>
        <a:solidFill>
          <a:srgbClr val="002060"/>
        </a:solidFill>
        <a:ln w="28575">
          <a:solidFill>
            <a:schemeClr val="accent5">
              <a:lumMod val="75000"/>
            </a:schemeClr>
          </a:solidFill>
        </a:ln>
      </xdr:spPr>
      <xdr:style>
        <a:lnRef idx="2">
          <a:schemeClr val="accent1">
            <a:shade val="50000"/>
          </a:schemeClr>
        </a:lnRef>
        <a:fillRef idx="1001">
          <a:schemeClr val="dk1"/>
        </a:fillRef>
        <a:effectRef idx="0">
          <a:schemeClr val="accent1"/>
        </a:effectRef>
        <a:fontRef idx="minor">
          <a:schemeClr val="lt1"/>
        </a:fontRef>
      </xdr:style>
      <xdr:txBody>
        <a:bodyPr vertOverflow="clip" horzOverflow="clip" rtlCol="0" anchor="ctr"/>
        <a:lstStyle/>
        <a:p>
          <a:pPr algn="ctr"/>
          <a:r>
            <a:rPr lang="en-CA" sz="2400" baseline="0"/>
            <a:t> Source of Requests</a:t>
          </a:r>
          <a:endParaRPr lang="en-CA" sz="2400"/>
        </a:p>
      </xdr:txBody>
    </xdr:sp>
    <xdr:clientData/>
  </xdr:twoCellAnchor>
  <xdr:twoCellAnchor>
    <xdr:from>
      <xdr:col>20</xdr:col>
      <xdr:colOff>655032</xdr:colOff>
      <xdr:row>3</xdr:row>
      <xdr:rowOff>10805</xdr:rowOff>
    </xdr:from>
    <xdr:to>
      <xdr:col>24</xdr:col>
      <xdr:colOff>1358537</xdr:colOff>
      <xdr:row>10</xdr:row>
      <xdr:rowOff>126226</xdr:rowOff>
    </xdr:to>
    <xdr:sp macro="[0]!Source_Of_Request" textlink="">
      <xdr:nvSpPr>
        <xdr:cNvPr id="9" name="Rectangle 8">
          <a:extLst>
            <a:ext uri="{FF2B5EF4-FFF2-40B4-BE49-F238E27FC236}">
              <a16:creationId xmlns:a16="http://schemas.microsoft.com/office/drawing/2014/main" id="{0DB36848-8ED6-41B8-8894-C75F363D2D3D}"/>
            </a:ext>
          </a:extLst>
        </xdr:cNvPr>
        <xdr:cNvSpPr/>
      </xdr:nvSpPr>
      <xdr:spPr>
        <a:xfrm>
          <a:off x="13220412" y="1085225"/>
          <a:ext cx="4178225" cy="1395581"/>
        </a:xfrm>
        <a:prstGeom prst="rect">
          <a:avLst/>
        </a:prstGeom>
        <a:solidFill>
          <a:srgbClr val="002060"/>
        </a:solidFill>
        <a:ln w="28575">
          <a:solidFill>
            <a:schemeClr val="accent5">
              <a:lumMod val="75000"/>
            </a:schemeClr>
          </a:solidFill>
        </a:ln>
      </xdr:spPr>
      <xdr:style>
        <a:lnRef idx="2">
          <a:schemeClr val="accent1">
            <a:shade val="50000"/>
          </a:schemeClr>
        </a:lnRef>
        <a:fillRef idx="1001">
          <a:schemeClr val="dk1"/>
        </a:fillRef>
        <a:effectRef idx="0">
          <a:schemeClr val="accent1"/>
        </a:effectRef>
        <a:fontRef idx="minor">
          <a:schemeClr val="lt1"/>
        </a:fontRef>
      </xdr:style>
      <xdr:txBody>
        <a:bodyPr vertOverflow="clip" horzOverflow="clip" rtlCol="0" anchor="ctr"/>
        <a:lstStyle/>
        <a:p>
          <a:pPr algn="ctr"/>
          <a:r>
            <a:rPr lang="en-CA" sz="2400" baseline="0"/>
            <a:t> Source of Requests</a:t>
          </a:r>
          <a:endParaRPr lang="en-CA" sz="2400"/>
        </a:p>
      </xdr:txBody>
    </xdr:sp>
    <xdr:clientData/>
  </xdr:twoCellAnchor>
  <xdr:twoCellAnchor>
    <xdr:from>
      <xdr:col>2</xdr:col>
      <xdr:colOff>160020</xdr:colOff>
      <xdr:row>11</xdr:row>
      <xdr:rowOff>121920</xdr:rowOff>
    </xdr:from>
    <xdr:to>
      <xdr:col>11</xdr:col>
      <xdr:colOff>281940</xdr:colOff>
      <xdr:row>25</xdr:row>
      <xdr:rowOff>165100</xdr:rowOff>
    </xdr:to>
    <xdr:graphicFrame macro="">
      <xdr:nvGraphicFramePr>
        <xdr:cNvPr id="12" name="Chart 11">
          <a:extLst>
            <a:ext uri="{FF2B5EF4-FFF2-40B4-BE49-F238E27FC236}">
              <a16:creationId xmlns:a16="http://schemas.microsoft.com/office/drawing/2014/main" id="{40A5C698-D7CD-DE5C-C7FB-190C7418FCD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10</xdr:col>
      <xdr:colOff>432286</xdr:colOff>
      <xdr:row>3</xdr:row>
      <xdr:rowOff>55244</xdr:rowOff>
    </xdr:from>
    <xdr:to>
      <xdr:col>14</xdr:col>
      <xdr:colOff>256802</xdr:colOff>
      <xdr:row>11</xdr:row>
      <xdr:rowOff>24765</xdr:rowOff>
    </xdr:to>
    <xdr:sp macro="[0]!Strains_Ordered.Strains_Ordered" textlink="">
      <xdr:nvSpPr>
        <xdr:cNvPr id="2" name="Rectangle 1">
          <a:extLst>
            <a:ext uri="{FF2B5EF4-FFF2-40B4-BE49-F238E27FC236}">
              <a16:creationId xmlns:a16="http://schemas.microsoft.com/office/drawing/2014/main" id="{688EA4AF-CD4F-43BA-BE08-43A9D8C231D4}"/>
            </a:ext>
          </a:extLst>
        </xdr:cNvPr>
        <xdr:cNvSpPr/>
      </xdr:nvSpPr>
      <xdr:spPr>
        <a:xfrm>
          <a:off x="14021286" y="1531619"/>
          <a:ext cx="3348766" cy="1493521"/>
        </a:xfrm>
        <a:prstGeom prst="rect">
          <a:avLst/>
        </a:prstGeom>
        <a:solidFill>
          <a:srgbClr val="002060"/>
        </a:solidFill>
        <a:ln w="28575">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2400" baseline="0"/>
            <a:t> Strains Ordered</a:t>
          </a:r>
          <a:endParaRPr lang="en-CA" sz="2400"/>
        </a:p>
      </xdr:txBody>
    </xdr:sp>
    <xdr:clientData/>
  </xdr:twoCellAnchor>
  <xdr:twoCellAnchor>
    <xdr:from>
      <xdr:col>0</xdr:col>
      <xdr:colOff>0</xdr:colOff>
      <xdr:row>2</xdr:row>
      <xdr:rowOff>0</xdr:rowOff>
    </xdr:from>
    <xdr:to>
      <xdr:col>1</xdr:col>
      <xdr:colOff>5861</xdr:colOff>
      <xdr:row>2</xdr:row>
      <xdr:rowOff>207728</xdr:rowOff>
    </xdr:to>
    <xdr:sp macro="[0]!ScrollBottomButton.ScrollBottomButton" textlink="">
      <xdr:nvSpPr>
        <xdr:cNvPr id="3" name="Rectangle 2">
          <a:extLst>
            <a:ext uri="{FF2B5EF4-FFF2-40B4-BE49-F238E27FC236}">
              <a16:creationId xmlns:a16="http://schemas.microsoft.com/office/drawing/2014/main" id="{718535FF-37DD-4077-8732-A9C4E502C92E}"/>
            </a:ext>
          </a:extLst>
        </xdr:cNvPr>
        <xdr:cNvSpPr/>
      </xdr:nvSpPr>
      <xdr:spPr>
        <a:xfrm>
          <a:off x="0" y="697523"/>
          <a:ext cx="644769" cy="207728"/>
        </a:xfrm>
        <a:prstGeom prst="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000"/>
            <a:t>BUTTON</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18</xdr:col>
      <xdr:colOff>492672</xdr:colOff>
      <xdr:row>4</xdr:row>
      <xdr:rowOff>177437</xdr:rowOff>
    </xdr:from>
    <xdr:to>
      <xdr:col>24</xdr:col>
      <xdr:colOff>12853</xdr:colOff>
      <xdr:row>14</xdr:row>
      <xdr:rowOff>167640</xdr:rowOff>
    </xdr:to>
    <xdr:sp macro="[0]!Service_Breakdown.Service_Breakdown" textlink="">
      <xdr:nvSpPr>
        <xdr:cNvPr id="2" name="ASO">
          <a:extLst>
            <a:ext uri="{FF2B5EF4-FFF2-40B4-BE49-F238E27FC236}">
              <a16:creationId xmlns:a16="http://schemas.microsoft.com/office/drawing/2014/main" id="{D0C89F18-786B-48B0-805F-2DBFE311CDCB}"/>
            </a:ext>
          </a:extLst>
        </xdr:cNvPr>
        <xdr:cNvSpPr/>
      </xdr:nvSpPr>
      <xdr:spPr>
        <a:xfrm>
          <a:off x="14364138" y="1020454"/>
          <a:ext cx="4884836" cy="1325893"/>
        </a:xfrm>
        <a:prstGeom prst="rect">
          <a:avLst/>
        </a:prstGeom>
        <a:solidFill>
          <a:srgbClr val="FF996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800" b="1" baseline="0"/>
            <a:t>Service Breakdown</a:t>
          </a:r>
          <a:endParaRPr lang="en-CA" sz="1800" b="1"/>
        </a:p>
      </xdr:txBody>
    </xdr:sp>
    <xdr:clientData/>
  </xdr:twoCellAnchor>
  <xdr:twoCellAnchor>
    <xdr:from>
      <xdr:col>1</xdr:col>
      <xdr:colOff>0</xdr:colOff>
      <xdr:row>35</xdr:row>
      <xdr:rowOff>0</xdr:rowOff>
    </xdr:from>
    <xdr:to>
      <xdr:col>7</xdr:col>
      <xdr:colOff>284480</xdr:colOff>
      <xdr:row>50</xdr:row>
      <xdr:rowOff>111760</xdr:rowOff>
    </xdr:to>
    <xdr:graphicFrame macro="">
      <xdr:nvGraphicFramePr>
        <xdr:cNvPr id="45" name="Chart 44">
          <a:extLst>
            <a:ext uri="{FF2B5EF4-FFF2-40B4-BE49-F238E27FC236}">
              <a16:creationId xmlns:a16="http://schemas.microsoft.com/office/drawing/2014/main" id="{D60F5447-B1CF-64ED-6383-F2A2B99A154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52</xdr:row>
      <xdr:rowOff>0</xdr:rowOff>
    </xdr:from>
    <xdr:to>
      <xdr:col>7</xdr:col>
      <xdr:colOff>284480</xdr:colOff>
      <xdr:row>67</xdr:row>
      <xdr:rowOff>165100</xdr:rowOff>
    </xdr:to>
    <xdr:graphicFrame macro="">
      <xdr:nvGraphicFramePr>
        <xdr:cNvPr id="46" name="Chart 45">
          <a:extLst>
            <a:ext uri="{FF2B5EF4-FFF2-40B4-BE49-F238E27FC236}">
              <a16:creationId xmlns:a16="http://schemas.microsoft.com/office/drawing/2014/main" id="{18DC5F6A-FE81-BBF5-B44F-0520C2FCF8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35</xdr:row>
      <xdr:rowOff>0</xdr:rowOff>
    </xdr:from>
    <xdr:to>
      <xdr:col>13</xdr:col>
      <xdr:colOff>749300</xdr:colOff>
      <xdr:row>50</xdr:row>
      <xdr:rowOff>111760</xdr:rowOff>
    </xdr:to>
    <xdr:graphicFrame macro="">
      <xdr:nvGraphicFramePr>
        <xdr:cNvPr id="47" name="Chart 46">
          <a:extLst>
            <a:ext uri="{FF2B5EF4-FFF2-40B4-BE49-F238E27FC236}">
              <a16:creationId xmlns:a16="http://schemas.microsoft.com/office/drawing/2014/main" id="{79C72C36-1AB3-9592-0C4F-6CC2365D012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52</xdr:row>
      <xdr:rowOff>0</xdr:rowOff>
    </xdr:from>
    <xdr:to>
      <xdr:col>13</xdr:col>
      <xdr:colOff>749300</xdr:colOff>
      <xdr:row>67</xdr:row>
      <xdr:rowOff>165100</xdr:rowOff>
    </xdr:to>
    <xdr:graphicFrame macro="">
      <xdr:nvGraphicFramePr>
        <xdr:cNvPr id="48" name="Chart 47">
          <a:extLst>
            <a:ext uri="{FF2B5EF4-FFF2-40B4-BE49-F238E27FC236}">
              <a16:creationId xmlns:a16="http://schemas.microsoft.com/office/drawing/2014/main" id="{F8762243-6B77-985E-7579-823883EFC9A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70</xdr:row>
      <xdr:rowOff>0</xdr:rowOff>
    </xdr:from>
    <xdr:to>
      <xdr:col>7</xdr:col>
      <xdr:colOff>284480</xdr:colOff>
      <xdr:row>85</xdr:row>
      <xdr:rowOff>165100</xdr:rowOff>
    </xdr:to>
    <xdr:graphicFrame macro="">
      <xdr:nvGraphicFramePr>
        <xdr:cNvPr id="49" name="Chart 48">
          <a:extLst>
            <a:ext uri="{FF2B5EF4-FFF2-40B4-BE49-F238E27FC236}">
              <a16:creationId xmlns:a16="http://schemas.microsoft.com/office/drawing/2014/main" id="{C1C6BE4F-F76D-C84B-39B4-59AFEBB19EE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0</xdr:colOff>
      <xdr:row>70</xdr:row>
      <xdr:rowOff>0</xdr:rowOff>
    </xdr:from>
    <xdr:to>
      <xdr:col>13</xdr:col>
      <xdr:colOff>749300</xdr:colOff>
      <xdr:row>85</xdr:row>
      <xdr:rowOff>165100</xdr:rowOff>
    </xdr:to>
    <xdr:graphicFrame macro="">
      <xdr:nvGraphicFramePr>
        <xdr:cNvPr id="50" name="Chart 49">
          <a:extLst>
            <a:ext uri="{FF2B5EF4-FFF2-40B4-BE49-F238E27FC236}">
              <a16:creationId xmlns:a16="http://schemas.microsoft.com/office/drawing/2014/main" id="{5F2FECD3-7F67-44CE-6081-8684016E91B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8</xdr:col>
      <xdr:colOff>753438</xdr:colOff>
      <xdr:row>2</xdr:row>
      <xdr:rowOff>376719</xdr:rowOff>
    </xdr:from>
    <xdr:to>
      <xdr:col>13</xdr:col>
      <xdr:colOff>590764</xdr:colOff>
      <xdr:row>7</xdr:row>
      <xdr:rowOff>177374</xdr:rowOff>
    </xdr:to>
    <xdr:sp macro="[0]!List_of_Users.List_of_Users" textlink="">
      <xdr:nvSpPr>
        <xdr:cNvPr id="3" name="Rectangle 2">
          <a:extLst>
            <a:ext uri="{FF2B5EF4-FFF2-40B4-BE49-F238E27FC236}">
              <a16:creationId xmlns:a16="http://schemas.microsoft.com/office/drawing/2014/main" id="{017F7E38-45B6-4FAB-9C7E-7B9B3E0375E3}"/>
            </a:ext>
          </a:extLst>
        </xdr:cNvPr>
        <xdr:cNvSpPr/>
      </xdr:nvSpPr>
      <xdr:spPr>
        <a:xfrm>
          <a:off x="15205753" y="1181528"/>
          <a:ext cx="3895618" cy="1350340"/>
        </a:xfrm>
        <a:prstGeom prst="rect">
          <a:avLst/>
        </a:prstGeom>
        <a:solidFill>
          <a:srgbClr val="077366"/>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2400"/>
            <a:t>List Of Users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7</xdr:col>
      <xdr:colOff>7620</xdr:colOff>
      <xdr:row>2</xdr:row>
      <xdr:rowOff>129540</xdr:rowOff>
    </xdr:from>
    <xdr:to>
      <xdr:col>11</xdr:col>
      <xdr:colOff>594360</xdr:colOff>
      <xdr:row>6</xdr:row>
      <xdr:rowOff>289559</xdr:rowOff>
    </xdr:to>
    <xdr:sp macro="[0]!List_of_Institution.List_Of_Institution" textlink="">
      <xdr:nvSpPr>
        <xdr:cNvPr id="3" name="Rectangle 2">
          <a:extLst>
            <a:ext uri="{FF2B5EF4-FFF2-40B4-BE49-F238E27FC236}">
              <a16:creationId xmlns:a16="http://schemas.microsoft.com/office/drawing/2014/main" id="{89BE7DBF-74BF-41D5-962F-774D36BE3FC6}"/>
            </a:ext>
          </a:extLst>
        </xdr:cNvPr>
        <xdr:cNvSpPr/>
      </xdr:nvSpPr>
      <xdr:spPr>
        <a:xfrm>
          <a:off x="14058900" y="929640"/>
          <a:ext cx="5768340" cy="1272539"/>
        </a:xfrm>
        <a:prstGeom prst="rect">
          <a:avLst/>
        </a:prstGeom>
        <a:solidFill>
          <a:srgbClr val="077366"/>
        </a:solidFill>
        <a:ln w="190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2400" baseline="0"/>
            <a:t>List of Institutions</a:t>
          </a:r>
          <a:endParaRPr lang="en-CA" sz="2400"/>
        </a:p>
      </xdr:txBody>
    </xdr:sp>
    <xdr:clientData/>
  </xdr:twoCellAnchor>
</xdr:wsDr>
</file>

<file path=xl/drawings/drawing10.xml><?xml version="1.0" encoding="utf-8"?>
<xdr:wsDr xmlns:xdr="http://schemas.openxmlformats.org/drawingml/2006/spreadsheetDrawing" xmlns:a="http://schemas.openxmlformats.org/drawingml/2006/main">
  <xdr:oneCellAnchor>
    <xdr:from>
      <xdr:col>3</xdr:col>
      <xdr:colOff>511311</xdr:colOff>
      <xdr:row>7</xdr:row>
      <xdr:rowOff>87626</xdr:rowOff>
    </xdr:from>
    <xdr:ext cx="10782711" cy="5153495"/>
    <xdr:grpSp>
      <xdr:nvGrpSpPr>
        <xdr:cNvPr id="2" name="Group 1">
          <a:extLst>
            <a:ext uri="{FF2B5EF4-FFF2-40B4-BE49-F238E27FC236}">
              <a16:creationId xmlns:a16="http://schemas.microsoft.com/office/drawing/2014/main" id="{ADC7BC52-8A16-4733-B27B-CFFA1CF8A013}"/>
            </a:ext>
          </a:extLst>
        </xdr:cNvPr>
        <xdr:cNvGrpSpPr/>
      </xdr:nvGrpSpPr>
      <xdr:grpSpPr>
        <a:xfrm>
          <a:off x="3886971" y="1708781"/>
          <a:ext cx="10782711" cy="5153495"/>
          <a:chOff x="3329281" y="1345404"/>
          <a:chExt cx="10782711" cy="5153495"/>
        </a:xfrm>
      </xdr:grpSpPr>
      <xdr:grpSp>
        <xdr:nvGrpSpPr>
          <xdr:cNvPr id="3" name="Group 2">
            <a:extLst>
              <a:ext uri="{FF2B5EF4-FFF2-40B4-BE49-F238E27FC236}">
                <a16:creationId xmlns:a16="http://schemas.microsoft.com/office/drawing/2014/main" id="{D0696C25-CBBF-5251-607F-A1D79EA0E5E5}"/>
              </a:ext>
            </a:extLst>
          </xdr:cNvPr>
          <xdr:cNvGrpSpPr/>
        </xdr:nvGrpSpPr>
        <xdr:grpSpPr>
          <a:xfrm>
            <a:off x="3329281" y="1345404"/>
            <a:ext cx="10782711" cy="5153495"/>
            <a:chOff x="3226976" y="2365260"/>
            <a:chExt cx="10648950" cy="5243685"/>
          </a:xfrm>
        </xdr:grpSpPr>
        <xdr:graphicFrame macro="">
          <xdr:nvGraphicFramePr>
            <xdr:cNvPr id="5" name="Chart 4">
              <a:extLst>
                <a:ext uri="{FF2B5EF4-FFF2-40B4-BE49-F238E27FC236}">
                  <a16:creationId xmlns:a16="http://schemas.microsoft.com/office/drawing/2014/main" id="{3133ABB5-A0EE-446E-6069-1FFE96D4EFEF}"/>
                </a:ext>
              </a:extLst>
            </xdr:cNvPr>
            <xdr:cNvGraphicFramePr/>
          </xdr:nvGraphicFramePr>
          <xdr:xfrm>
            <a:off x="3226976" y="2365260"/>
            <a:ext cx="10648950" cy="5243685"/>
          </xdr:xfrm>
          <a:graphic>
            <a:graphicData uri="http://schemas.openxmlformats.org/drawingml/2006/chart">
              <c:chart xmlns:c="http://schemas.openxmlformats.org/drawingml/2006/chart" xmlns:r="http://schemas.openxmlformats.org/officeDocument/2006/relationships" r:id="rId1"/>
            </a:graphicData>
          </a:graphic>
        </xdr:graphicFrame>
        <xdr:sp macro="" textlink="">
          <xdr:nvSpPr>
            <xdr:cNvPr id="6" name="TextBox 5">
              <a:extLst>
                <a:ext uri="{FF2B5EF4-FFF2-40B4-BE49-F238E27FC236}">
                  <a16:creationId xmlns:a16="http://schemas.microsoft.com/office/drawing/2014/main" id="{546E8FAF-4855-8D64-E742-3FDE995D4186}"/>
                </a:ext>
              </a:extLst>
            </xdr:cNvPr>
            <xdr:cNvSpPr txBox="1"/>
          </xdr:nvSpPr>
          <xdr:spPr>
            <a:xfrm>
              <a:off x="9048801" y="4740301"/>
              <a:ext cx="435542" cy="2548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lang="en-US" sz="1100">
                  <a:solidFill>
                    <a:schemeClr val="tx1">
                      <a:lumMod val="85000"/>
                      <a:lumOff val="15000"/>
                    </a:schemeClr>
                  </a:solidFill>
                </a:rPr>
                <a:t>873</a:t>
              </a:r>
            </a:p>
          </xdr:txBody>
        </xdr:sp>
      </xdr:grpSp>
      <xdr:sp macro="" textlink="">
        <xdr:nvSpPr>
          <xdr:cNvPr id="4" name="TextBox 3">
            <a:extLst>
              <a:ext uri="{FF2B5EF4-FFF2-40B4-BE49-F238E27FC236}">
                <a16:creationId xmlns:a16="http://schemas.microsoft.com/office/drawing/2014/main" id="{124AF592-8421-3DFA-189E-C83B692CFEEB}"/>
              </a:ext>
            </a:extLst>
          </xdr:cNvPr>
          <xdr:cNvSpPr txBox="1"/>
        </xdr:nvSpPr>
        <xdr:spPr>
          <a:xfrm>
            <a:off x="11930061" y="2416969"/>
            <a:ext cx="535813" cy="264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lang="en-US" sz="1100">
                <a:solidFill>
                  <a:schemeClr val="tx1">
                    <a:lumMod val="85000"/>
                    <a:lumOff val="15000"/>
                  </a:schemeClr>
                </a:solidFill>
              </a:rPr>
              <a:t>1452</a:t>
            </a:r>
          </a:p>
        </xdr:txBody>
      </xdr:sp>
    </xdr:grpSp>
    <xdr:clientData/>
  </xdr:oneCellAnchor>
  <xdr:twoCellAnchor>
    <xdr:from>
      <xdr:col>16</xdr:col>
      <xdr:colOff>121443</xdr:colOff>
      <xdr:row>10</xdr:row>
      <xdr:rowOff>35720</xdr:rowOff>
    </xdr:from>
    <xdr:to>
      <xdr:col>16</xdr:col>
      <xdr:colOff>657256</xdr:colOff>
      <xdr:row>12</xdr:row>
      <xdr:rowOff>2827</xdr:rowOff>
    </xdr:to>
    <xdr:sp macro="" textlink="">
      <xdr:nvSpPr>
        <xdr:cNvPr id="7" name="TextBox 6">
          <a:extLst>
            <a:ext uri="{FF2B5EF4-FFF2-40B4-BE49-F238E27FC236}">
              <a16:creationId xmlns:a16="http://schemas.microsoft.com/office/drawing/2014/main" id="{C586C71A-578B-47C7-9120-76266C64F8D0}"/>
            </a:ext>
          </a:extLst>
        </xdr:cNvPr>
        <xdr:cNvSpPr txBox="1"/>
      </xdr:nvSpPr>
      <xdr:spPr>
        <a:xfrm>
          <a:off x="14046993" y="2255045"/>
          <a:ext cx="535813" cy="338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tx1">
                  <a:lumMod val="85000"/>
                  <a:lumOff val="15000"/>
                </a:schemeClr>
              </a:solidFill>
            </a:rPr>
            <a:t>1680</a:t>
          </a:r>
        </a:p>
      </xdr:txBody>
    </xdr:sp>
    <xdr:clientData/>
  </xdr:twoCellAnchor>
</xdr:wsDr>
</file>

<file path=xl/drawings/drawing11.xml><?xml version="1.0" encoding="utf-8"?>
<c:userShapes xmlns:c="http://schemas.openxmlformats.org/drawingml/2006/chart">
  <cdr:relSizeAnchor xmlns:cdr="http://schemas.openxmlformats.org/drawingml/2006/chartDrawing">
    <cdr:from>
      <cdr:x>0.03569</cdr:x>
      <cdr:y>0.82904</cdr:y>
    </cdr:from>
    <cdr:to>
      <cdr:x>0.06911</cdr:x>
      <cdr:y>0.88734</cdr:y>
    </cdr:to>
    <cdr:sp macro="" textlink="">
      <cdr:nvSpPr>
        <cdr:cNvPr id="2" name="TextBox 2">
          <a:extLst xmlns:a="http://schemas.openxmlformats.org/drawingml/2006/main">
            <a:ext uri="{FF2B5EF4-FFF2-40B4-BE49-F238E27FC236}">
              <a16:creationId xmlns:a16="http://schemas.microsoft.com/office/drawing/2014/main" id="{FE368CF7-3525-CF47-8801-EF921735F7E9}"/>
            </a:ext>
          </a:extLst>
        </cdr:cNvPr>
        <cdr:cNvSpPr txBox="1"/>
      </cdr:nvSpPr>
      <cdr:spPr>
        <a:xfrm xmlns:a="http://schemas.openxmlformats.org/drawingml/2006/main">
          <a:off x="384835" y="4272468"/>
          <a:ext cx="360358" cy="300449"/>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US" sz="1100">
              <a:solidFill>
                <a:schemeClr val="tx1">
                  <a:lumMod val="85000"/>
                  <a:lumOff val="15000"/>
                </a:schemeClr>
              </a:solidFill>
            </a:rPr>
            <a:t>30</a:t>
          </a:r>
        </a:p>
      </cdr:txBody>
    </cdr:sp>
  </cdr:relSizeAnchor>
  <cdr:relSizeAnchor xmlns:cdr="http://schemas.openxmlformats.org/drawingml/2006/chartDrawing">
    <cdr:from>
      <cdr:x>0.28967</cdr:x>
      <cdr:y>0.6872</cdr:y>
    </cdr:from>
    <cdr:to>
      <cdr:x>0.33057</cdr:x>
      <cdr:y>0.7358</cdr:y>
    </cdr:to>
    <cdr:sp macro="" textlink="">
      <cdr:nvSpPr>
        <cdr:cNvPr id="3" name="TextBox 2">
          <a:extLst xmlns:a="http://schemas.openxmlformats.org/drawingml/2006/main">
            <a:ext uri="{FF2B5EF4-FFF2-40B4-BE49-F238E27FC236}">
              <a16:creationId xmlns:a16="http://schemas.microsoft.com/office/drawing/2014/main" id="{FE368CF7-3525-CF47-8801-EF921735F7E9}"/>
            </a:ext>
          </a:extLst>
        </cdr:cNvPr>
        <cdr:cNvSpPr txBox="1"/>
      </cdr:nvSpPr>
      <cdr:spPr>
        <a:xfrm xmlns:a="http://schemas.openxmlformats.org/drawingml/2006/main">
          <a:off x="3123473" y="3541482"/>
          <a:ext cx="441013" cy="250460"/>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US" sz="1100">
              <a:solidFill>
                <a:schemeClr val="tx1">
                  <a:lumMod val="85000"/>
                  <a:lumOff val="15000"/>
                </a:schemeClr>
              </a:solidFill>
            </a:rPr>
            <a:t>355</a:t>
          </a:r>
        </a:p>
      </cdr:txBody>
    </cdr:sp>
  </cdr:relSizeAnchor>
  <cdr:relSizeAnchor xmlns:cdr="http://schemas.openxmlformats.org/drawingml/2006/chartDrawing">
    <cdr:from>
      <cdr:x>0.44346</cdr:x>
      <cdr:y>0.93721</cdr:y>
    </cdr:from>
    <cdr:to>
      <cdr:x>0.58038</cdr:x>
      <cdr:y>0.99551</cdr:y>
    </cdr:to>
    <cdr:sp macro="" textlink="">
      <cdr:nvSpPr>
        <cdr:cNvPr id="6" name="TextBox 5">
          <a:extLst xmlns:a="http://schemas.openxmlformats.org/drawingml/2006/main">
            <a:ext uri="{FF2B5EF4-FFF2-40B4-BE49-F238E27FC236}">
              <a16:creationId xmlns:a16="http://schemas.microsoft.com/office/drawing/2014/main" id="{B95BB65E-02BF-174D-9DE8-E80CD0D6E546}"/>
            </a:ext>
          </a:extLst>
        </cdr:cNvPr>
        <cdr:cNvSpPr txBox="1"/>
      </cdr:nvSpPr>
      <cdr:spPr>
        <a:xfrm xmlns:a="http://schemas.openxmlformats.org/drawingml/2006/main">
          <a:off x="4781678" y="4829907"/>
          <a:ext cx="1476369" cy="300449"/>
        </a:xfrm>
        <a:prstGeom xmlns:a="http://schemas.openxmlformats.org/drawingml/2006/main" prst="rect">
          <a:avLst/>
        </a:prstGeom>
        <a:solidFill xmlns:a="http://schemas.openxmlformats.org/drawingml/2006/main">
          <a:schemeClr val="bg1"/>
        </a:solidFill>
        <a:ln xmlns:a="http://schemas.openxmlformats.org/drawingml/2006/main">
          <a:noFill/>
        </a:ln>
      </cdr:spPr>
      <cdr:txBody>
        <a:bodyPr xmlns:a="http://schemas.openxmlformats.org/drawingml/2006/main" vertOverflow="clip" wrap="square" rtlCol="0"/>
        <a:lstStyle xmlns:a="http://schemas.openxmlformats.org/drawingml/2006/main"/>
        <a:p xmlns:a="http://schemas.openxmlformats.org/drawingml/2006/main">
          <a:r>
            <a:rPr lang="en-US" sz="1100" b="1">
              <a:solidFill>
                <a:schemeClr val="tx1">
                  <a:lumMod val="85000"/>
                  <a:lumOff val="15000"/>
                </a:schemeClr>
              </a:solidFill>
            </a:rPr>
            <a:t>Cumulative # of users</a:t>
          </a:r>
        </a:p>
      </cdr:txBody>
    </cdr:sp>
  </cdr:relSizeAnchor>
</c:userShapes>
</file>

<file path=xl/drawings/drawing12.xml><?xml version="1.0" encoding="utf-8"?>
<xdr:wsDr xmlns:xdr="http://schemas.openxmlformats.org/drawingml/2006/spreadsheetDrawing" xmlns:a="http://schemas.openxmlformats.org/drawingml/2006/main">
  <xdr:twoCellAnchor>
    <xdr:from>
      <xdr:col>2</xdr:col>
      <xdr:colOff>314325</xdr:colOff>
      <xdr:row>1</xdr:row>
      <xdr:rowOff>152400</xdr:rowOff>
    </xdr:from>
    <xdr:to>
      <xdr:col>13</xdr:col>
      <xdr:colOff>352425</xdr:colOff>
      <xdr:row>31</xdr:row>
      <xdr:rowOff>123825</xdr:rowOff>
    </xdr:to>
    <xdr:graphicFrame macro="">
      <xdr:nvGraphicFramePr>
        <xdr:cNvPr id="2" name="Chart 2">
          <a:extLst>
            <a:ext uri="{FF2B5EF4-FFF2-40B4-BE49-F238E27FC236}">
              <a16:creationId xmlns:a16="http://schemas.microsoft.com/office/drawing/2014/main" id="{E344C5C4-D88A-4755-A3DC-A9EF369966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R:\cpcc\List%20of%20Requests\Orders%202023-2024%20NEW%20from%20Andy%20Jun%2021%2024.xlsx" TargetMode="External"/><Relationship Id="rId1" Type="http://schemas.openxmlformats.org/officeDocument/2006/relationships/externalLinkPath" Target="file:///R:\cpcc\List%20of%20Requests\Orders%202023-2024%20NEW%20from%20Andy%20Jun%2021%2024.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Orders"/>
      <sheetName val="On hold"/>
      <sheetName val="Customers"/>
      <sheetName val="Org #"/>
      <sheetName val="ID #"/>
    </sheetNames>
    <sheetDataSet>
      <sheetData sheetId="0"/>
      <sheetData sheetId="1"/>
      <sheetData sheetId="2">
        <row r="2">
          <cell r="A2" t="str">
            <v>1026-001</v>
          </cell>
          <cell r="B2" t="str">
            <v>Adam Wartman</v>
          </cell>
          <cell r="C2" t="str">
            <v>Adam</v>
          </cell>
          <cell r="D2" t="str">
            <v>Project Manager</v>
          </cell>
          <cell r="E2" t="str">
            <v>Nautilus Environmental Company Inc. - Guelph</v>
          </cell>
          <cell r="F2" t="str">
            <v>Nautilus Env - Guelph</v>
          </cell>
          <cell r="G2" t="str">
            <v>B-11 Nicholas Beaver Road</v>
          </cell>
          <cell r="H2" t="str">
            <v>-</v>
          </cell>
          <cell r="I2" t="str">
            <v>-</v>
          </cell>
          <cell r="J2" t="str">
            <v>Puslinch</v>
          </cell>
          <cell r="K2" t="str">
            <v>ON</v>
          </cell>
          <cell r="L2" t="str">
            <v>N0B 2J0</v>
          </cell>
          <cell r="M2" t="str">
            <v>Canada</v>
          </cell>
          <cell r="N2" t="str">
            <v>519-763-4412
Cell: 519-716-4019</v>
          </cell>
          <cell r="O2" t="str">
            <v>519-763-4419</v>
          </cell>
          <cell r="P2" t="str">
            <v>awartman@nautilusenvironmental.ca</v>
          </cell>
          <cell r="Q2" t="str">
            <v>Adam Wartman (Project Manager), Nautilus Environmental Company Inc., B-11 Nicholas Beaver Road, Puslinch ON  N0B 2J0
Tel: 519-763-4412; Cell: 519-716-4019; Fax: 519-763-4419; Email: awartman@nautilusenvironmental.ca (was awartman@aquatox.ca)
ALSO FOR: Victoria Carleton (Project Manager/GLP Coordinator); Tel: 519-763-4412; Fax: 519-763-4419; Email: vcarleton@aquatox.ca
(Lab Manager: Shawna Kirkpatrick, Email: skirkpatrick@aquatox.ca; Purchaser: Martina Rendas, Email: mrendas@aquatox.ca)
(Formerly AquaTox Testing &amp; Consulting Inc.)</v>
          </cell>
          <cell r="R2" t="str">
            <v>CC</v>
          </cell>
          <cell r="S2" t="str">
            <v>Nautilus Environmental - Guelph, B-11 Nicholas Beaver Road, Puslinch ON  N0B 2J0; Tel: 519-763-4412 x304, Fax: 519-763-4419;  Email: accounting@nautilusenvironmental.ca
AquaTox Testing &amp; Consulting Inc., B-11 Nicholas Beaver Road, Puslinch ON  N0B 2J0; Tel: 519-763-4412 x304, Fax: 519-763-4419; Email: tcarter@aquatox.ca (email invoice to Terry Carter at: tcarter@aquatox.ca)</v>
          </cell>
          <cell r="T2" t="str">
            <v>provide taxonomic certificates; picked up at UWaterloo or shipped via Purolator
Email invoice to Accounts Payable at: abaccounts@nautilusenvironmental.ca
Put note in footer ""Non-PO invoice: please forward to Adam Wartman (awartman@aquatox.ca)"</v>
          </cell>
          <cell r="U2">
            <v>102886</v>
          </cell>
        </row>
        <row r="3">
          <cell r="A3" t="str">
            <v>1052-001</v>
          </cell>
          <cell r="B3" t="str">
            <v>Adeeb Khawja</v>
          </cell>
          <cell r="C3" t="str">
            <v>Adeeb</v>
          </cell>
          <cell r="D3" t="str">
            <v>Father of Alexander Khawja</v>
          </cell>
          <cell r="E3" t="str">
            <v>Home Address - Khawja Residence (affiliated with St. Francis Xavier Secondary School)</v>
          </cell>
          <cell r="F3" t="str">
            <v>Khawja Residence</v>
          </cell>
          <cell r="G3" t="str">
            <v>5209 Sundial Court</v>
          </cell>
          <cell r="H3" t="str">
            <v>-</v>
          </cell>
          <cell r="I3" t="str">
            <v>-</v>
          </cell>
          <cell r="J3" t="str">
            <v>Mississauga</v>
          </cell>
          <cell r="K3" t="str">
            <v>ON</v>
          </cell>
          <cell r="L3" t="str">
            <v>L5R 2T1</v>
          </cell>
          <cell r="M3" t="str">
            <v>Canada</v>
          </cell>
          <cell r="N3" t="str">
            <v>647-473-5209</v>
          </cell>
          <cell r="P3" t="str">
            <v>akhawja3560@gmail.com</v>
          </cell>
          <cell r="Q3" t="str">
            <v>Adeeb Khawja (Father of Alexander Khawja), Khawja Residence, 5209 Sundial Court, Mississauga, ON  L5R 2T1 (home address)
Tel: 647-473-5209; Email: akhawja3560@gmail.com
FOR: Alexander Khawja (attends St. Francis Xavier Secondary School); Tel: 647-473-2341; Email: AlexKhawja3560@gmail.com</v>
          </cell>
          <cell r="R3" t="str">
            <v>CA</v>
          </cell>
          <cell r="S3" t="str">
            <v>Adeeb Khawja, 5209 Sundial Court, Mississauga, ON  L5R 2T1; Tel: 647-473-5209; Email: akhawja3560@gmail.com</v>
          </cell>
          <cell r="T3" t="str">
            <v>email invoice to Adeeb Khawja at: akhawja3560@gmail.com</v>
          </cell>
          <cell r="U3">
            <v>111261</v>
          </cell>
        </row>
        <row r="4">
          <cell r="A4" t="str">
            <v>N/A</v>
          </cell>
          <cell r="B4" t="str">
            <v>Adham Elmalky</v>
          </cell>
          <cell r="C4" t="str">
            <v>Adham</v>
          </cell>
          <cell r="D4" t="str">
            <v>Supervisor: Mohamad T. Araji</v>
          </cell>
          <cell r="E4" t="str">
            <v>University of Waterloo</v>
          </cell>
          <cell r="F4" t="str">
            <v>UWaterloo</v>
          </cell>
          <cell r="G4" t="str">
            <v>200 University Ave W</v>
          </cell>
          <cell r="H4" t="str">
            <v>Mech &amp; Mechatronics Eng</v>
          </cell>
          <cell r="I4" t="str">
            <v>-</v>
          </cell>
          <cell r="J4" t="str">
            <v>Waterloo</v>
          </cell>
          <cell r="K4" t="str">
            <v>ON</v>
          </cell>
          <cell r="L4" t="str">
            <v>N2L 3G1</v>
          </cell>
          <cell r="M4" t="str">
            <v>Canada</v>
          </cell>
          <cell r="N4" t="str">
            <v>226-566-4997</v>
          </cell>
          <cell r="P4" t="str">
            <v>aelmalky@uwaterloo.ca</v>
          </cell>
          <cell r="Q4" t="str">
            <v>Adham Elmalky (Supervisor: Mohamad T. Araji), University of Waterloo, Mechanical &amp; Mechatronics Engineering, 200 University Ave. W, Waterloo, ON N2L 3G1
Tel: 226-566-4997; Email: aelmalky@uwaterloo.ca</v>
          </cell>
          <cell r="R4" t="str">
            <v>CA</v>
          </cell>
          <cell r="S4" t="str">
            <v>Adham Elmalky, 75 Holm Street, Cambridge, ON  N3C 3N3; Tel: 226-566-4997; Email: aelmalky@uwaterloo.ca</v>
          </cell>
          <cell r="T4" t="str">
            <v>email invoice to Adham Elmalky at: aelmalky@uwaterloo.ca</v>
          </cell>
          <cell r="U4">
            <v>110959</v>
          </cell>
        </row>
        <row r="5">
          <cell r="A5" t="str">
            <v>1088-001</v>
          </cell>
          <cell r="B5" t="str">
            <v>Adrien Rizzi</v>
          </cell>
          <cell r="C5" t="str">
            <v>Adrien</v>
          </cell>
          <cell r="D5" t="str">
            <v>R&amp;D Director</v>
          </cell>
          <cell r="E5" t="str">
            <v>CRB Innovations Inc.</v>
          </cell>
          <cell r="F5" t="str">
            <v>CRB Innovations</v>
          </cell>
          <cell r="G5" t="str">
            <v>551 chemin de la Tuilerie</v>
          </cell>
          <cell r="H5" t="str">
            <v>R&amp;D</v>
          </cell>
          <cell r="I5" t="str">
            <v>-</v>
          </cell>
          <cell r="J5" t="str">
            <v>Westbury</v>
          </cell>
          <cell r="K5" t="str">
            <v>QC</v>
          </cell>
          <cell r="L5" t="str">
            <v>J0B 1R0</v>
          </cell>
          <cell r="M5" t="str">
            <v>Canada</v>
          </cell>
          <cell r="N5" t="str">
            <v>819-919-5756</v>
          </cell>
          <cell r="P5" t="str">
            <v>a.rizzi@crbinnovations.com</v>
          </cell>
          <cell r="Q5" t="str">
            <v>Adrien Rizzi (R&amp;D Director), CRB Innovations Inc., R&amp;D, 551 chemin de la Tuilerie, Westbury, QC  J0B 1R0
Tel: 819-919-5756; Email: a.rizzi@crbinnovations.com</v>
          </cell>
          <cell r="R5" t="str">
            <v>CG</v>
          </cell>
          <cell r="S5" t="str">
            <v>CRB Innovations Inc., Paiement, 551 chemin de la Tuilerie, Westbury, QC  J0B 1R0; Contact: Adrien Rizzi (R&amp;D Director); Tel: 819-919-5756; Email: a.rizzi@crbinnovations.com</v>
          </cell>
          <cell r="T5" t="str">
            <v>Ship via Purolator Express
Email invoice to Paiement/Adrien Rizzi at: a.rizzi@crbinnovations.com</v>
          </cell>
          <cell r="U5" t="str">
            <v>111892 </v>
          </cell>
        </row>
        <row r="6">
          <cell r="A6" t="str">
            <v>N/A</v>
          </cell>
          <cell r="B6" t="str">
            <v>Aishah Iqbal</v>
          </cell>
          <cell r="C6" t="str">
            <v>Aishah</v>
          </cell>
          <cell r="D6" t="str">
            <v>Biologist (Supervisor: Naomi Attril)</v>
          </cell>
          <cell r="E6" t="str">
            <v>Nautilus Environmental Company Inc. - Calgary</v>
          </cell>
          <cell r="F6" t="str">
            <v>Nautilus Env - Calgary</v>
          </cell>
          <cell r="G6" t="str">
            <v>10823 27th Street SE</v>
          </cell>
          <cell r="H6" t="str">
            <v>-</v>
          </cell>
          <cell r="I6" t="str">
            <v>-</v>
          </cell>
          <cell r="J6" t="str">
            <v>Calgary</v>
          </cell>
          <cell r="K6" t="str">
            <v>AB</v>
          </cell>
          <cell r="L6" t="str">
            <v>T2Z 3V9</v>
          </cell>
          <cell r="M6" t="str">
            <v>Canada</v>
          </cell>
          <cell r="N6" t="str">
            <v>403-253-7121 x 6106</v>
          </cell>
          <cell r="P6" t="str">
            <v>aiqbal@nautilusenvironmental.ca</v>
          </cell>
          <cell r="Q6" t="str">
            <v>Naomi Attrill, Nautilus Environmental Company Inc., 10823 27th Street SE, Calgary, AB  T2Z 3V9
Tel: 403-253-7121; Fax: 403-252-9363; Email: naomi@nautilusenvironmental.ca
FOR: Aishah Iqbal (Biologist); Tel: 403-253-7121 x 6106; Email: aiqbal@nautilusenvironmental.ca
(Formerly Hydroqual Laboratories Ltd.)</v>
          </cell>
          <cell r="R6" t="str">
            <v>CC</v>
          </cell>
          <cell r="S6" t="str">
            <v>Attn: Accounts Payable, Nautilus Environmental, 10823 27th Street SE, Calgary, AB  T2Z 3V9; Email: accounting@nautilusenvironmental.ca</v>
          </cell>
          <cell r="T6" t="str">
            <v>email invoice to Accounts Payable at: accounting@nautilusenvironmental.ca</v>
          </cell>
          <cell r="U6">
            <v>103485</v>
          </cell>
        </row>
        <row r="7">
          <cell r="A7" t="str">
            <v>N/A</v>
          </cell>
          <cell r="B7" t="str">
            <v>Alexander (Alex) Khawja</v>
          </cell>
          <cell r="C7" t="str">
            <v>Alex</v>
          </cell>
          <cell r="D7" t="str">
            <v>Son of Adeeb Khawja</v>
          </cell>
          <cell r="E7" t="str">
            <v>Home Address - Khawja Residence (attends St. Francis Xavier Secondary School)</v>
          </cell>
          <cell r="F7" t="str">
            <v>Khawja Residence</v>
          </cell>
          <cell r="G7" t="str">
            <v>5209 Sundial Court</v>
          </cell>
          <cell r="H7" t="str">
            <v>-</v>
          </cell>
          <cell r="I7" t="str">
            <v>-</v>
          </cell>
          <cell r="J7" t="str">
            <v>Mississauga</v>
          </cell>
          <cell r="K7" t="str">
            <v>ON</v>
          </cell>
          <cell r="L7" t="str">
            <v>L5R 2T1</v>
          </cell>
          <cell r="M7" t="str">
            <v>Canada</v>
          </cell>
          <cell r="N7" t="str">
            <v>647-473-2341</v>
          </cell>
          <cell r="P7" t="str">
            <v>AlexKhawja3560@gmail.com</v>
          </cell>
          <cell r="Q7" t="str">
            <v>Adeeb Khawja (Father of Alexander Khawja), Khawja Residence, 5209 Sundial Court, Mississauga, ON  L5R 2T1 (home address)
Tel: 647-473-5209; Email: akhawja3560@gmail.com
FOR: Alexander Khawja (attends St. Francis Xavier Secondary School); Tel: 647-473-2341; Email: AlexKhawja3560@gmail.com</v>
          </cell>
          <cell r="R7" t="str">
            <v>CA</v>
          </cell>
          <cell r="S7" t="str">
            <v>Adeeb Khawja, 5209 Sundial Court, Mississauga, ON  L5R 2T1; Tel: 647-473-5209; Email: akhawja3560@gmail.com</v>
          </cell>
          <cell r="T7" t="str">
            <v>email invoice to Adeeb Khawja at: akhawja3560@gmail.com</v>
          </cell>
          <cell r="U7">
            <v>111261</v>
          </cell>
        </row>
        <row r="8">
          <cell r="A8" t="str">
            <v>1041-002</v>
          </cell>
          <cell r="B8" t="str">
            <v>Alexei Guerra</v>
          </cell>
          <cell r="C8" t="str">
            <v>Alexei</v>
          </cell>
          <cell r="D8" t="str">
            <v>Lab Coordinator</v>
          </cell>
          <cell r="E8" t="str">
            <v>Universite de Montreal</v>
          </cell>
          <cell r="F8" t="str">
            <v>U de Montreal</v>
          </cell>
          <cell r="G8" t="str">
            <v>1375 Therese-Lavoie-Roux</v>
          </cell>
          <cell r="H8" t="str">
            <v>Complexe science, Quai #1</v>
          </cell>
          <cell r="I8" t="str">
            <v xml:space="preserve">Sciences biologiques </v>
          </cell>
          <cell r="J8" t="str">
            <v>Outremont</v>
          </cell>
          <cell r="K8" t="str">
            <v>QC</v>
          </cell>
          <cell r="L8" t="str">
            <v>H2V 0B3</v>
          </cell>
          <cell r="M8" t="str">
            <v>Canada</v>
          </cell>
          <cell r="N8" t="str">
            <v>514-434-2498 x 1041</v>
          </cell>
          <cell r="P8" t="str">
            <v>alexei.guerra.ordaz@umontreal.ca</v>
          </cell>
          <cell r="Q8" t="str">
            <v>Alexei Guerra (Lab Coordinator, B-1222.1), Université de Montréal, 1375 Avenue Thérèse-Lavoie-Roux, Complexe des sciences, Quai de réception # 1, Departement de sciences biologiques, Outremont, QC  H2V 0B3 
Tel: 514-434-2498 x 1041; Email: alexei.guerra.ordaz@umontreal.ca</v>
          </cell>
          <cell r="R8" t="str">
            <v>CA</v>
          </cell>
          <cell r="S8" t="str">
            <v>Universite de Montreal - Dept de sciences biologiques, Complexe des sciences, 1375 Avenue Therese-Lavoie-Roux, Montreal, QC  H2V 0B3 (Contact: Frederique Collin Delagrave (Technicienne en administration); Tel: 514-343-6111 x1250; Email: frederique.collin.delagrave@umontreal.ca)
OR if using a PO:
Universite de Montreal - Direction des finances, Secteurs Comptes Fournisseurs, C.P. 6128, Succursale Centre-Ville, Montreal, QC  H3C 3J7; Email: facturefournisseur@fin.umontreal.ca (Questions go to comptesapayer@fin.umontreal.ca)</v>
          </cell>
          <cell r="T8" t="str">
            <v>Ship on Wednesdays via Purolator Express 10:30AM to Attn: Alexei Guerra
Email invoice to UMontreal Accounts Payable for Alexei Guerra/Lama Aldamman (invoicing details must match the PO exactly!) (Unit4 #111982) OR
Email invoice to Frederique Collin Delagrave at: frederique.collin.delagrave@umontreal.ca for Alexei Guerra/Lama Aldamman (Unit4 #111055)</v>
          </cell>
          <cell r="U8" t="str">
            <v>111982
OR
111055</v>
          </cell>
        </row>
        <row r="9">
          <cell r="A9" t="str">
            <v>N/A</v>
          </cell>
          <cell r="B9" t="str">
            <v>Aliyan Boodhwani</v>
          </cell>
          <cell r="C9" t="str">
            <v>Aliyan</v>
          </cell>
          <cell r="D9" t="str">
            <v>Son of Munir Boodhwani</v>
          </cell>
          <cell r="E9" t="str">
            <v>Home Address - Boodhwani Residence (attends Colonel By Secondary School)</v>
          </cell>
          <cell r="F9" t="str">
            <v>Boodhwani Residence</v>
          </cell>
          <cell r="G9" t="str">
            <v>552 Courtenay Avenue</v>
          </cell>
          <cell r="H9" t="str">
            <v>-</v>
          </cell>
          <cell r="I9" t="str">
            <v>-</v>
          </cell>
          <cell r="J9" t="str">
            <v>Ottawa</v>
          </cell>
          <cell r="K9" t="str">
            <v>ON</v>
          </cell>
          <cell r="L9" t="str">
            <v>K2A 3B3</v>
          </cell>
          <cell r="M9" t="str">
            <v>Canada</v>
          </cell>
          <cell r="N9" t="str">
            <v>613-581-8327</v>
          </cell>
          <cell r="P9" t="str">
            <v>aliyanboodhwani@gmail.com</v>
          </cell>
          <cell r="Q9" t="str">
            <v>Aliyan Boodhwani (Son of Munir Boodhwani) (attends Colonel By Secondary School), Boodhwani Residence, 552 Courtenay Avenue, Ottawa, ON  K2A 3B3 (home address)
Tel: 613-581-8327; Email: aliyanboodhwani@gmail.com
(Contact info for Munir Boodhwani (Father of Aliyan Boodhwani): Tel: 613-252-5238; Email: mboodhwani@gmail.com)</v>
          </cell>
          <cell r="R9" t="str">
            <v>CA</v>
          </cell>
          <cell r="S9" t="str">
            <v>Munir Boodhwani, 552 Courtenay Avenue, Ottawa, ON  K2A 3B3; Tel: 613-252-5238; Email: mboodhwani@gmail.com</v>
          </cell>
          <cell r="T9" t="str">
            <v>email invoice to Munir Boodhwani at: mboodhwani@gmail.com</v>
          </cell>
          <cell r="U9">
            <v>111255</v>
          </cell>
        </row>
        <row r="10">
          <cell r="A10" t="str">
            <v>1064-001</v>
          </cell>
          <cell r="B10" t="str">
            <v>Amanda Weiler</v>
          </cell>
          <cell r="C10" t="str">
            <v>Amanda</v>
          </cell>
          <cell r="D10" t="str">
            <v>Biological Training Lead; Works with Kate Brown</v>
          </cell>
          <cell r="E10" t="str">
            <v>Defence Research and Development Canada - Suffield Research Centre</v>
          </cell>
          <cell r="F10" t="str">
            <v>DRDC - Suffield Research</v>
          </cell>
          <cell r="G10" t="str">
            <v>560 Mount Sorrell Road</v>
          </cell>
          <cell r="H10" t="str">
            <v>Bldg 560 Receiving</v>
          </cell>
          <cell r="I10" t="str">
            <v>-</v>
          </cell>
          <cell r="J10" t="str">
            <v>Ralston</v>
          </cell>
          <cell r="K10" t="str">
            <v>AB</v>
          </cell>
          <cell r="L10" t="str">
            <v>T0J 2N0</v>
          </cell>
          <cell r="M10" t="str">
            <v>Canada</v>
          </cell>
          <cell r="N10" t="str">
            <v>403-544-4618</v>
          </cell>
          <cell r="O10" t="str">
            <v>403-544-4821</v>
          </cell>
          <cell r="P10" t="str">
            <v>Amanda.Weiler@forces.gc.ca</v>
          </cell>
          <cell r="Q10" t="str">
            <v>Julia Barnes, Defence Research and Development Canada - Suffield Research Centre, 560 Mount Sorrell Road, Building 560 Receiving, Ralston AB T0J 2N0
Tel: 403-544-4906; Email: julia.barnes@forces.gc.ca
FOR Amanda Weiler; Tel: 403-544-4618; Email:Amanda.Weiler@forces.gc.ca</v>
          </cell>
          <cell r="R10" t="str">
            <v>CG</v>
          </cell>
          <cell r="S10" t="str">
            <v>Defence Research and Development Canada - Suffield Research Centre, 560 Mount Sorrell Road, Building 560, Ralston AB T0J 2N0 (Contact: Julia Barnes; Tel: 403-544-4906; Email: julia.barnes@forces.gc.ca)</v>
          </cell>
          <cell r="T10" t="str">
            <v>ship via Purolator (other couriers sometimes have difficulty with delivery!)
email invoices to Julia Barnes at: julia.barnes@forces.gc.ca</v>
          </cell>
          <cell r="U10">
            <v>110878</v>
          </cell>
        </row>
        <row r="11">
          <cell r="A11" t="str">
            <v>1073-002</v>
          </cell>
          <cell r="B11" t="str">
            <v>Amarjeet Bassi</v>
          </cell>
          <cell r="C11" t="str">
            <v>Amarjeet</v>
          </cell>
          <cell r="D11" t="str">
            <v>Professor</v>
          </cell>
          <cell r="E11" t="str">
            <v>Western University</v>
          </cell>
          <cell r="F11" t="str">
            <v>Western U (UWO)</v>
          </cell>
          <cell r="G11" t="str">
            <v>1151 Richmond Street</v>
          </cell>
          <cell r="H11" t="str">
            <v>Thompson Eng/Dock 59/Rm40</v>
          </cell>
          <cell r="I11" t="str">
            <v>Eng Stores, TEB-FACENG</v>
          </cell>
          <cell r="J11" t="str">
            <v>London</v>
          </cell>
          <cell r="K11" t="str">
            <v>ON</v>
          </cell>
          <cell r="L11" t="str">
            <v>N6A 5B9</v>
          </cell>
          <cell r="M11" t="str">
            <v>Canada</v>
          </cell>
          <cell r="N11" t="str">
            <v>519-661-2111 x 88324</v>
          </cell>
          <cell r="P11" t="str">
            <v>abassi@uwo.ca</v>
          </cell>
          <cell r="Q11" t="str">
            <v>Amarjeet Bassi, Western University, Engineering Stores, Thompson Eng Bldg, Dock 59, Room 40, ShipTo Address Code: TEB-ENGSTR, 1151 Richmond Street, London ON  N6A 5B9
Tel: 519-661-2111 x 88324; Email: abassi@uwo.ca</v>
          </cell>
          <cell r="R11" t="str">
            <v>CA</v>
          </cell>
          <cell r="S11" t="str">
            <v>University of Western Ontario, Financial Services, Suite 6100, Support Services Building, 1393 Western Rd, London ON  N6G 1G9; Tel: 519-661-2111; Email: apinvoice@uwo.ca (Attn: Accounts Payable or UWO Engineering Stores Purchaser (name and email)</v>
          </cell>
          <cell r="T11" t="str">
            <v>PO invoice = email invoice to Accounts Payable at: apinvoice@uwo.ca
non-PO invoice = email invoice to apinvoice@uwo.ca but put Attn: Purchaser's name and email address</v>
          </cell>
          <cell r="U11">
            <v>103838</v>
          </cell>
        </row>
        <row r="12">
          <cell r="A12" t="str">
            <v>1045-002</v>
          </cell>
          <cell r="B12" t="str">
            <v>Andre Simpson</v>
          </cell>
          <cell r="C12" t="str">
            <v>Andre</v>
          </cell>
          <cell r="D12" t="str">
            <v>Professor</v>
          </cell>
          <cell r="E12" t="str">
            <v>University of Toronto Scarborough</v>
          </cell>
          <cell r="F12" t="str">
            <v>U of Toronto Scarborough</v>
          </cell>
          <cell r="G12" t="str">
            <v>1265 Military Trail</v>
          </cell>
          <cell r="H12" t="str">
            <v>Sci Wing Loading Dock</v>
          </cell>
          <cell r="I12" t="str">
            <v>DPES, Rm SY 324</v>
          </cell>
          <cell r="J12" t="str">
            <v>Toronto</v>
          </cell>
          <cell r="K12" t="str">
            <v>ON</v>
          </cell>
          <cell r="L12" t="str">
            <v>M1C 1A4</v>
          </cell>
          <cell r="M12" t="str">
            <v>Canada</v>
          </cell>
          <cell r="N12" t="str">
            <v>416-287-7547</v>
          </cell>
          <cell r="P12" t="str">
            <v>andre.simpson@utoronto.ca</v>
          </cell>
          <cell r="Q12" t="str">
            <v>Andre Simpson, University of Toronto Scarborough, 1265 Military Trail, Science Wing Loading Dock, Physical and Environmental Sciences, Rm SY 324, Toronto, ON  M1C 1A4
Tel: 416-287-7547; Email: andre.simpson@utoronto.ca</v>
          </cell>
          <cell r="R12" t="str">
            <v>CA</v>
          </cell>
          <cell r="S12" t="str">
            <v>University of Toronto Scarborough, Department of Physical and Environmental Sciences, 1265 Military Trail, Toronto, ON  M1C 1A4; Email: accountspayable@utsc.utoronto.ca
Adriana Koufis (Room SW-645), University of Toronto Scarborough, Department of Physical and Environmental Sciences, 1265 Military Trail, Toronto, ON  M1C 1A4; Tel: 416-287-7199; Fax: 416-287-7204; Email: koufis@utsc.utoronto.ca (Contact in Sharepoint: Andre Simpson, Tel: 416-716-8018; Email: andre.simpson@utoronto.ca)</v>
          </cell>
          <cell r="T12" t="str">
            <v>Use a PO and email invoices to Accounts Payable at: accountspayable@utsc.utoronto.ca</v>
          </cell>
          <cell r="U12">
            <v>103833</v>
          </cell>
        </row>
        <row r="13">
          <cell r="A13" t="str">
            <v>1033-001</v>
          </cell>
          <cell r="B13" t="str">
            <v>Andreas Heyland</v>
          </cell>
          <cell r="C13" t="str">
            <v>Andreas</v>
          </cell>
          <cell r="D13" t="str">
            <v>Professor</v>
          </cell>
          <cell r="E13" t="str">
            <v>University of Guelph</v>
          </cell>
          <cell r="F13" t="str">
            <v>U of Guelph</v>
          </cell>
          <cell r="G13" t="str">
            <v>50 Stone Rd E</v>
          </cell>
          <cell r="H13" t="str">
            <v>Science Complex, Rm 1468</v>
          </cell>
          <cell r="I13" t="str">
            <v>Dept of Integrative Bio</v>
          </cell>
          <cell r="J13" t="str">
            <v>Guelph</v>
          </cell>
          <cell r="K13" t="str">
            <v>ON</v>
          </cell>
          <cell r="L13" t="str">
            <v>N1G 2W1</v>
          </cell>
          <cell r="M13" t="str">
            <v>Canada</v>
          </cell>
          <cell r="N13" t="str">
            <v>519-824-4120 x 56459</v>
          </cell>
          <cell r="P13" t="str">
            <v>aheyland@uoguelph.ca</v>
          </cell>
          <cell r="Q13" t="str">
            <v>Andreas Heyland, University of Guelph, Department of Integrative Biology, Science Complex (Room 1468), 50 Stone Road East, Guelph ON N1G 2W1
Tel: 519-824-4120 x 56459; Email: aheyland@uoguelph.ca</v>
          </cell>
          <cell r="R13" t="str">
            <v>CA</v>
          </cell>
          <cell r="S13" t="str">
            <v>Accounts Payable, University of Guelph, 50 Stone Road E, Guelph ON N1G 2W1; Email: acctspay@uoguelph.ca (Purchasers: Susan Casey (susan@uoguelph.ca) or Jesse Allen (jallen16@uoguelph.ca); Department of Integrative Biology)</v>
          </cell>
          <cell r="T13" t="str">
            <v>email invoice to Accounts Payable at: acctspay@uoguelph.ca and reference the purchaser, department, and PO #</v>
          </cell>
          <cell r="U13">
            <v>103794</v>
          </cell>
        </row>
        <row r="14">
          <cell r="A14" t="str">
            <v>1008-001</v>
          </cell>
          <cell r="B14" t="str">
            <v>Andrée-Anne Audet</v>
          </cell>
          <cell r="C14" t="str">
            <v>Andrée-Anne</v>
          </cell>
          <cell r="D14" t="str">
            <v>Practical work technician</v>
          </cell>
          <cell r="E14" t="str">
            <v>Cegep de Shawinigan</v>
          </cell>
          <cell r="F14" t="str">
            <v xml:space="preserve">Cegep de Shawinigan </v>
          </cell>
          <cell r="G14" t="str">
            <v>2263 Avenue du College</v>
          </cell>
          <cell r="H14" t="str">
            <v>porte 4</v>
          </cell>
          <cell r="I14" t="str">
            <v>-</v>
          </cell>
          <cell r="J14" t="str">
            <v>Shawinigan</v>
          </cell>
          <cell r="K14" t="str">
            <v>QC</v>
          </cell>
          <cell r="L14" t="str">
            <v>G9N 7H4</v>
          </cell>
          <cell r="M14" t="str">
            <v>Canada</v>
          </cell>
          <cell r="N14" t="str">
            <v>819-539-6401 x 2298</v>
          </cell>
          <cell r="P14" t="str">
            <v>aaaudet@cshawi.ca</v>
          </cell>
          <cell r="Q14" t="str">
            <v>Andrée-Anne Audet, Cégep de Shawinigan, 2263 Avenue du College, porte 4, Shawinigan QC  G9N 7H4
Tel: 819-539-6401 x 2298; Email: aaaudet@cshawi.ca
(Purchaser: Diane Trudel OR Vicky Lambert; Tel: 819-539-6401 x 2211; Fax: 819-539-2599; Email: approvisionnements@cshawi.ca)</v>
          </cell>
          <cell r="R14" t="str">
            <v>CA</v>
          </cell>
          <cell r="S14" t="str">
            <v>Cegep de Shawinigan, 2263 Avenue du College, Case postale 610, Shawinigan QC  G9N 6V8; Tel: 819-539-6401, Email: finances@cshawi.ca (Contact in Services financiers department: Carmen Ayotte, cayotte@cshawi.ca)</v>
          </cell>
          <cell r="T14" t="str">
            <v>uses a PO#
email invoice to Comptes Payables at: finances@cshawi.ca</v>
          </cell>
          <cell r="U14">
            <v>107453</v>
          </cell>
        </row>
        <row r="15">
          <cell r="A15" t="str">
            <v>1038-001</v>
          </cell>
          <cell r="B15" t="str">
            <v>Andrew Cameron</v>
          </cell>
          <cell r="C15" t="str">
            <v>Andrew</v>
          </cell>
          <cell r="D15" t="str">
            <v>Associate Professor</v>
          </cell>
          <cell r="E15" t="str">
            <v>University of Regina</v>
          </cell>
          <cell r="F15" t="str">
            <v>U of Regina</v>
          </cell>
          <cell r="G15" t="str">
            <v>3737 Wascana Pkwy</v>
          </cell>
          <cell r="H15" t="str">
            <v>RIC 110 UR Sci Stores</v>
          </cell>
          <cell r="I15" t="str">
            <v>-</v>
          </cell>
          <cell r="J15" t="str">
            <v>Regina</v>
          </cell>
          <cell r="K15" t="str">
            <v>SK</v>
          </cell>
          <cell r="L15" t="str">
            <v>S4S 0A2</v>
          </cell>
          <cell r="M15" t="str">
            <v>Canada</v>
          </cell>
          <cell r="N15" t="str">
            <v>Cell: 306-737-7091</v>
          </cell>
          <cell r="P15" t="str">
            <v>andrew.cameron@uregina.ca</v>
          </cell>
          <cell r="Q15" t="str">
            <v>Andrew Cameron, University of Regina, Department of Biology, c/o Research and Innovation Centre Room 110 (UR Science Stores), Regina, SK  S4S 0A2
Tel: 306-585-4241; Email: UR.Stores@uregina.ca
FOR: Andrew Cameron; Cell: 306-737-7091; Email: andrew.cameron@uregina.ca</v>
          </cell>
          <cell r="R15" t="str">
            <v>CA</v>
          </cell>
          <cell r="S15" t="str">
            <v>University of Regina, Financial Services, 3737 Wascana Parkway, Regina, SK S4S 0A2; Email: accounts.payable@uregina.ca</v>
          </cell>
          <cell r="T15" t="str">
            <v>ship via Purolator Express
non-PO invoice
email invoice to Accounts Payable at: accounts.payable@uregina.ca with Attn: Andrew Cameron (andrew.cameron@uregina.ca) - Biology, LB244</v>
          </cell>
          <cell r="U15">
            <v>107933</v>
          </cell>
        </row>
        <row r="16">
          <cell r="A16" t="str">
            <v>1017-001</v>
          </cell>
          <cell r="B16" t="str">
            <v>Arthur Zastepa</v>
          </cell>
          <cell r="C16" t="str">
            <v>Arthur</v>
          </cell>
          <cell r="D16" t="str">
            <v>Works with Cynthia Watson, Anqi Liang, and Marianne Racine</v>
          </cell>
          <cell r="E16" t="str">
            <v>Environment and Climate Change Canada (ECCC) - Watershed Hydrology and Ecology Research Division (WHERD)</v>
          </cell>
          <cell r="F16" t="str">
            <v>ECCC - WHERD</v>
          </cell>
          <cell r="G16" t="str">
            <v>867 Lakeshore Rd</v>
          </cell>
          <cell r="H16" t="str">
            <v>WHERD</v>
          </cell>
          <cell r="I16" t="str">
            <v>-</v>
          </cell>
          <cell r="J16" t="str">
            <v>Burlington</v>
          </cell>
          <cell r="K16" t="str">
            <v>ON</v>
          </cell>
          <cell r="L16" t="str">
            <v>L7S 1A1</v>
          </cell>
          <cell r="M16" t="str">
            <v>Canada</v>
          </cell>
          <cell r="N16" t="str">
            <v>Office: 905-336-4779
Cell: 905-220-3922</v>
          </cell>
          <cell r="P16" t="str">
            <v>arthur.zastepa@ec.gc.ca</v>
          </cell>
          <cell r="Q16" t="str">
            <v>Arthur Zastepa, Environment and Climate Change Canada (ECCC), Watershed Hydrology and Ecology Research Division (WHERD), 867 Lakeshore Road, Burlington, ON L7S 1A1
Office: 905-336-4779; Cell: 905-220-3922; Email: arthur.zastepa@ec.gc.ca
(Works with Cynthia Watson, Anqi Liang, and Marianne Racine)</v>
          </cell>
          <cell r="R16" t="str">
            <v>CG</v>
          </cell>
          <cell r="S16" t="str">
            <v>Environment and Climate Change Canada - Watershed Hydrology and Ecology Research Division, 867 Lakeshore Road, Burlington, ON L7S 1A1; Email: servicesfadrhebh-wherdfaservices@ec.gc.ca
Email: manjari.balakrishnan@ec.gc.ca (Contact: Manjari Balakrishnan - one of four people who process invoices for WHERD; she will forward invoices if needed)
Email: Karen.Woolner@canada.ca (Contact: Karen Woolner, Administrative Officer for WHERD Division of ECCC Burlington, Tel: 905-336-4973)
Environment and Climate Change Canada, Watershed Hydrology and Ecology Research Division, 867 Lakeshore Rd.,  P.O. Box 5050, Burlington, ON L7S 1A1; Invoice sent via Canada Post; invoice must include contact name and PO#</v>
          </cell>
          <cell r="T16" t="str">
            <v>email invoice to Accounts Payable at: servicesfadrhebh-wherdfaservices@ec.gc.ca
email invoice to Manjari Balakrishnan at: manjari.balakrishnan@ec.gc.ca
email invoice to Karen Woolner at: Karen.Woolner@canada.ca
invoices are currently being mailed via Canada Post (include contact name and PO# if provided)</v>
          </cell>
          <cell r="U16">
            <v>103177</v>
          </cell>
        </row>
        <row r="17">
          <cell r="A17" t="str">
            <v>1006-001</v>
          </cell>
          <cell r="B17" t="str">
            <v>Asif Alli</v>
          </cell>
          <cell r="C17" t="str">
            <v>Asif</v>
          </cell>
          <cell r="D17" t="str">
            <v>Director</v>
          </cell>
          <cell r="E17" t="str">
            <v>Bureau Veritas Laboratories - Quebec</v>
          </cell>
          <cell r="F17" t="str">
            <v>BV Labs - Quebec</v>
          </cell>
          <cell r="G17" t="str">
            <v>2690 avenue Dalton</v>
          </cell>
          <cell r="H17" t="str">
            <v>Quebec - Bioassay</v>
          </cell>
          <cell r="I17" t="str">
            <v>-</v>
          </cell>
          <cell r="J17" t="str">
            <v>Quebec</v>
          </cell>
          <cell r="K17" t="str">
            <v>QC</v>
          </cell>
          <cell r="L17" t="str">
            <v>G1P 3S4</v>
          </cell>
          <cell r="M17" t="str">
            <v>Canada</v>
          </cell>
          <cell r="N17" t="str">
            <v>418-658-5784
Cell: 514-347-5900
Toll-free: 877-462-9926</v>
          </cell>
          <cell r="O17" t="str">
            <v>418-658-6594</v>
          </cell>
          <cell r="P17" t="str">
            <v>asif.alli@bureauveritas.com</v>
          </cell>
          <cell r="Q17" t="str">
            <v>Asif Alli, Bureau Veritas Laboratories, Quebec - Bioassay Warehouse, 2690 avenue Dalton, Quebec, QC G1P 3S4
Tel: 418-658-5784; Cell: 514-347-5900; Toll-free: 877-462-9926; Fax: 418-658-6594; Email: asif.alli@bureauveritas.com
(Director: Asif Alli - contact him at 514-347-5900 or asif.alli@bureauveritas.com for administrative services such as PO#)
(Orders placed by Purchasing agents when using a PO #: Eden-Grace Valenzuela (Tel: 514-448-9001 x 6223; Email: EValenzuela@maxxam.ca) or Voula (Stavroula) Koumoutsakis (Tel: 514 448 9001 x 7066219; Email: stavroula.koumoutsakis@bureauveritas.com) or Sonia Jimenez (Tel: 514-448-9001 x 7066449; Email: canadaprocurement@bureauveritas.com) or Ankitesh Kumar Singh (Email: ankitesh-kumar.singh@bureauveritas.com)</v>
          </cell>
          <cell r="R17" t="str">
            <v>CC</v>
          </cell>
          <cell r="S17" t="str">
            <v>Attn: Accounts Payable, Bureau Veritas Canada (2019) Inc., 500 - 1919 Minnesota Court, Mississauga ON L5N 0C9; Email: AP.865.INV.SUBMIT@bureauveritas.com (For A/P inquiries, please email vendorspecialist@bureauveritas.com) 
Email: accounts.payable@bvlabs.com</v>
          </cell>
          <cell r="T17" t="str">
            <v>takes 2 days to arrive…there isn't any next day delivery even by paying for Purolator Express 10:30AM
email invoice to Accounts Payable at: AP.865.INV.SUBMIT@bureauveritas.com
email invoice to Accounts Payable at: accounts.payable@bvlabs.com</v>
          </cell>
          <cell r="U17">
            <v>103380</v>
          </cell>
        </row>
        <row r="18">
          <cell r="A18" t="str">
            <v>1083-001</v>
          </cell>
          <cell r="B18" t="str">
            <v>Assuity Alassuity</v>
          </cell>
          <cell r="C18" t="str">
            <v>Assuity</v>
          </cell>
          <cell r="E18" t="str">
            <v>Fanshawe College</v>
          </cell>
          <cell r="F18" t="str">
            <v>Fanshawe College</v>
          </cell>
          <cell r="G18" t="str">
            <v>1001 Fanshawe College Blvd</v>
          </cell>
          <cell r="H18" t="str">
            <v>Receiving - Room B1037</v>
          </cell>
          <cell r="I18" t="str">
            <v>Applied Science &amp; Tech</v>
          </cell>
          <cell r="J18" t="str">
            <v>London</v>
          </cell>
          <cell r="K18" t="str">
            <v>ON</v>
          </cell>
          <cell r="L18" t="str">
            <v>N5Y 5R6</v>
          </cell>
          <cell r="M18" t="str">
            <v>Canada</v>
          </cell>
          <cell r="P18" t="str">
            <v>aalassuity@FanshaweC.ca</v>
          </cell>
          <cell r="Q18" t="str">
            <v>Kris James (Room D3001-1), Fanshawe College, Applied Science &amp; Technology, 1001 Fanshawe College Blvd., Receiving Department - Room B1037, London, ON  N5Y 5R6
Tel: Cell: 519-851-0856; Email: kjames2@FanshaweC.ca
FOR: Assuity Alassuity; Email: aalassuity@FanshaweC.ca</v>
          </cell>
          <cell r="R18" t="str">
            <v>CA</v>
          </cell>
          <cell r="S18" t="str">
            <v>Fanshawe College, 1001 Fanshawe College Blvd., PO Box 7005, London, ON  N5Y 5R6; Email:  payments@fanshawec.ca</v>
          </cell>
          <cell r="T18" t="str">
            <v>ship via Purolator Express
email invoice to Accounts Payable at: payments@fanshawec.ca</v>
          </cell>
          <cell r="U18">
            <v>103191</v>
          </cell>
        </row>
        <row r="19">
          <cell r="A19" t="str">
            <v>1054-001</v>
          </cell>
          <cell r="B19" t="str">
            <v>Audrey Moores-Francois</v>
          </cell>
          <cell r="C19" t="str">
            <v>Audrey</v>
          </cell>
          <cell r="D19" t="str">
            <v>also goes just by the name Audrey Moores</v>
          </cell>
          <cell r="E19" t="str">
            <v>McGill University</v>
          </cell>
          <cell r="F19" t="str">
            <v>McGill U</v>
          </cell>
          <cell r="G19" t="str">
            <v>801 Sherbrooke St. W</v>
          </cell>
          <cell r="H19" t="str">
            <v>Maass Chem Bldg, Rm 41</v>
          </cell>
          <cell r="I19" t="str">
            <v>-</v>
          </cell>
          <cell r="J19" t="str">
            <v>Montreal</v>
          </cell>
          <cell r="K19" t="str">
            <v>QC</v>
          </cell>
          <cell r="L19" t="str">
            <v>H3A 0B8</v>
          </cell>
          <cell r="M19" t="str">
            <v>Canada</v>
          </cell>
          <cell r="N19" t="str">
            <v>Office: 514-398-4654
Lab: 514-398-6696</v>
          </cell>
          <cell r="P19" t="str">
            <v>Audrey.Moores@mcgill.ca</v>
          </cell>
          <cell r="Q19" t="str">
            <v>Audrey Moores-Francois (Office Room 310/Lab Room 400), McGill University, Department of Chemistry, Maass Chemistry Building - Room 21, 801 Sherbrooke St. West, Montreal, QC H3A 0B8
Tel: Office: 514-398-4654, Lab: 514-398-6696; Email: Audrey.Moores@mcgill.ca</v>
          </cell>
          <cell r="R19" t="str">
            <v>CA</v>
          </cell>
          <cell r="S19" t="str">
            <v>McGill University, Financial Services, c/o Accounts Payable, 3465 Durocher Street, Montreal, QC  H2X 0A8; Email: accountspayable@mcgill.ca</v>
          </cell>
          <cell r="T19" t="str">
            <v>Requires a PO#!
shipped via Purolator next day delivery ($xx)...okay
email invoice to Accounts Payable at: accountspayable@mcgill.ca for Audrey Moores-Francois/student name</v>
          </cell>
          <cell r="U19">
            <v>103381</v>
          </cell>
        </row>
        <row r="20">
          <cell r="A20" t="str">
            <v>1005-001</v>
          </cell>
          <cell r="B20" t="str">
            <v>Aurélie Lebel</v>
          </cell>
          <cell r="C20" t="str">
            <v>Aurélie</v>
          </cell>
          <cell r="D20" t="str">
            <v>Director: Asif Alli</v>
          </cell>
          <cell r="E20" t="str">
            <v>Bureau Veritas Laboratories - Montreal</v>
          </cell>
          <cell r="F20" t="str">
            <v>BV Labs - Montreal</v>
          </cell>
          <cell r="G20" t="str">
            <v>889 Montee de Liesse</v>
          </cell>
          <cell r="H20" t="str">
            <v>Ecotox</v>
          </cell>
          <cell r="I20" t="str">
            <v>-</v>
          </cell>
          <cell r="J20" t="str">
            <v>Saint-Laurent</v>
          </cell>
          <cell r="K20" t="str">
            <v>QC</v>
          </cell>
          <cell r="L20" t="str">
            <v>H4T 1P5</v>
          </cell>
          <cell r="M20" t="str">
            <v>Canada</v>
          </cell>
          <cell r="N20" t="str">
            <v>Office: 514-448-9001 x7066227
Cell: 418-928-2463</v>
          </cell>
          <cell r="O20" t="str">
            <v>514-448-9199</v>
          </cell>
          <cell r="P20" t="str">
            <v>aurelie.lebel@bureauveritas.com</v>
          </cell>
          <cell r="Q20" t="str">
            <v>Aurelie Lebel, Bureau Veritas Laboratories, 889 Montee de Liesse, Ville Saint-Laurent, QC  H4T 1P5
Tel: Office: 514-448-9001 x7066227, Cell: 418-928-2463; Fax: 514-448-9199; Email: aurelie.lebel@bureauveritas.com
(Director: Asif Alli - contact him at 514-347-5900 or asif.alli@bureauveritas.com for administrative services such as PO#)
(Orders placed by Purchasing agents when using a PO #: Eden-Grace Valenzuela (Tel: 514-448-9001 x 6223; Email: EValenzuela@maxxam.ca) or Voula (Stavroula) Koumoutsakis (Tel: 514 448 9001 x 7066219; Email: stavroula.koumoutsakis@bureauveritas.com) or Sonia Jimenez (Tel: 514-448-9001 x 7066449; Email: canadaprocurement@bureauveritas.com) or Ankitesh Kumar Singh (Email: ankitesh-kumar.singh@bureauveritas.com))</v>
          </cell>
          <cell r="R20" t="str">
            <v>CC</v>
          </cell>
          <cell r="S20" t="str">
            <v>Attn: Accounts Payable, Bureau Veritas Canada (2019) Inc., 500 - 1919 Minnesota Court, Mississauga ON L5N 0C9; Email: AP.865.INV.SUBMIT@bureauveritas.com (For A/P inquiries, please email vendorspecialist@bureauveritas.com)</v>
          </cell>
          <cell r="T20" t="str">
            <v>takes 2 days to arrive…there isn't any next day delivery even by paying for Purolator Express 10:30AM
email invoice to Accounts Payable at: AP.865.INV.SUBMIT@bureauveritas.com</v>
          </cell>
          <cell r="U20">
            <v>103380</v>
          </cell>
        </row>
        <row r="21">
          <cell r="A21" t="str">
            <v>N/A</v>
          </cell>
          <cell r="B21" t="str">
            <v>Benjamin Lei</v>
          </cell>
          <cell r="C21" t="str">
            <v>Benjamin</v>
          </cell>
          <cell r="D21" t="str">
            <v>Supervisor: Jenine McCutcheon</v>
          </cell>
          <cell r="E21" t="str">
            <v>University of Waterloo</v>
          </cell>
          <cell r="F21" t="str">
            <v>UWaterloo</v>
          </cell>
          <cell r="G21" t="str">
            <v>200 University Ave W</v>
          </cell>
          <cell r="H21" t="str">
            <v>Earth &amp; Env Sci, EIT 2051A</v>
          </cell>
          <cell r="I21" t="str">
            <v>-</v>
          </cell>
          <cell r="J21" t="str">
            <v>Waterloo</v>
          </cell>
          <cell r="K21" t="str">
            <v>ON</v>
          </cell>
          <cell r="L21" t="str">
            <v>N2L 3G1</v>
          </cell>
          <cell r="M21" t="str">
            <v>Canada</v>
          </cell>
          <cell r="P21" t="str">
            <v>benjamin.lei@uwaterloo.ca</v>
          </cell>
          <cell r="Q21" t="str">
            <v>Benjamin Lei (Supervisor: Jenine McCutcheon), University of Waterloo, 200 University Ave W, Department of Earth &amp; Environmental Sciences, EIT 2051A, Waterloo ON N2L 3G1
Email: benjamin.lei@uwaterloo.ca</v>
          </cell>
          <cell r="R21" t="str">
            <v>CA</v>
          </cell>
          <cell r="S21" t="str">
            <v>internal debit memo</v>
          </cell>
          <cell r="T21" t="str">
            <v>internal debit memo given to client on mmm dd/yy; they returned it on mmm dd/yy; given to Lucy Satora on mmm dd/yy; credited to our account in mmm yyyy</v>
          </cell>
          <cell r="U21" t="str">
            <v>N/A</v>
          </cell>
        </row>
        <row r="22">
          <cell r="A22" t="str">
            <v>1005-002</v>
          </cell>
          <cell r="B22" t="str">
            <v>Beria Lima de Rodriguez</v>
          </cell>
          <cell r="C22" t="str">
            <v>Beria</v>
          </cell>
          <cell r="D22" t="str">
            <v>Director: Asif Alli</v>
          </cell>
          <cell r="E22" t="str">
            <v>Bureau Veritas Laboratories - Montreal</v>
          </cell>
          <cell r="F22" t="str">
            <v>BV Labs - Montreal</v>
          </cell>
          <cell r="G22" t="str">
            <v>889 Montee de Liesse</v>
          </cell>
          <cell r="H22" t="str">
            <v>Ecotox</v>
          </cell>
          <cell r="I22" t="str">
            <v>-</v>
          </cell>
          <cell r="J22" t="str">
            <v>Saint-Laurent</v>
          </cell>
          <cell r="K22" t="str">
            <v>QC</v>
          </cell>
          <cell r="L22" t="str">
            <v>H4T 1P5</v>
          </cell>
          <cell r="M22" t="str">
            <v>Canada</v>
          </cell>
          <cell r="N22" t="str">
            <v>514-448-9001</v>
          </cell>
          <cell r="O22" t="str">
            <v>514-448-9199</v>
          </cell>
          <cell r="P22" t="str">
            <v>beria.limaderodriguez@bureauveritas.com</v>
          </cell>
          <cell r="Q22" t="str">
            <v>Beria Lima de Rodriguez, Bureau Veritas Laboratories, 889 Montee de Liesse, Ville Saint-Laurent, QC  H4T 1P5
Tel: 514-448-9001; Fax: 514-448-9199; Email: beria.limaderodriguez@bureauveritas.com
(Director: Asif Alli - contact him at 514-347-5900 or asif.alli@bureauveritas.com for administrative services such as PO#)
(Orders placed by Purchasing agents when using a PO #: Eden-Grace Valenzuela (Tel: 514-448-9001 x 6223; Email: EValenzuela@maxxam.ca) or Voula (Stavroula) Koumoutsakis (Tel: 514 448 9001 x 7066219; Email: stavroula.koumoutsakis@bureauveritas.com) or Sonia Jimenez (Tel: 514-448-9001 x 7066449; Email: canadaprocurement@bureauveritas.com) or Ankitesh Kumar Singh; Email: ankitesh-kumar.singh@bureauveritas.com or Drishti Singh; Email: drishti.singh@bureauveritas.com)</v>
          </cell>
          <cell r="R22" t="str">
            <v>CC</v>
          </cell>
          <cell r="S22" t="str">
            <v>Attn: Accounts Payable, Bureau Veritas Canada (2019) Inc., 500 - 1919 Minnesota Court, Mississauga ON L5N 0C9; Email: AP.865.INV.SUBMIT@bureauveritas.com (For A/P inquiries, please email vendorspecialist@bureauveritas.com)</v>
          </cell>
          <cell r="T22" t="str">
            <v>Ship via Purolator Express; usually arrives next day but can sometimes take 2 days to arrive (10:30AM service doesn't speed up delivery) 
Email invoice to Accounts Payable at: AP.865.INV.SUBMIT@bureauveritas.com (for Chelsea Blake (Quebec City Lab); Purchaser: Ankitesh Kumar Singh; Email: ankitesh-kumar.singh@bureauveritas.com)</v>
          </cell>
          <cell r="U22">
            <v>103380</v>
          </cell>
        </row>
        <row r="23">
          <cell r="A23" t="str">
            <v>N/A</v>
          </cell>
          <cell r="B23" t="str">
            <v>Birget Moe</v>
          </cell>
          <cell r="C23" t="str">
            <v>Birget</v>
          </cell>
          <cell r="D23" t="str">
            <v>PhD/Research Associate;
Supervisor: Vichaya Charoensuk</v>
          </cell>
          <cell r="E23" t="str">
            <v>University of Calgary</v>
          </cell>
          <cell r="F23" t="str">
            <v>U of Calgary</v>
          </cell>
          <cell r="G23" t="str">
            <v>2500 University Drive NW</v>
          </cell>
          <cell r="H23" t="str">
            <v>c/o Shipping &amp; Receiving</v>
          </cell>
          <cell r="I23" t="str">
            <v>HM-B19, HMRB, ACFT</v>
          </cell>
          <cell r="J23" t="str">
            <v>Calgary</v>
          </cell>
          <cell r="K23" t="str">
            <v>AB</v>
          </cell>
          <cell r="L23" t="str">
            <v>T2N 1N4</v>
          </cell>
          <cell r="M23" t="str">
            <v>Canada</v>
          </cell>
          <cell r="N23" t="str">
            <v>780-983-8730</v>
          </cell>
          <cell r="P23" t="str">
            <v>bkmoe@ucalgary.ca</v>
          </cell>
          <cell r="Q23" t="str">
            <v>Vichaya Charoensuk (Bioassay Section Head), University of Calgary, Alberta Centre for Toxicology (ACFT), Heritage Medical Research Building (HMRB), HM-B19, 2500 University Drive NW, c/o Shipping &amp; Receiving, Calgary, AB  T2N 1N4
Tel: 403-220-3043; Email: vcharoen@ucalgary.ca
FOR: Birget Moe (PhD, Research Associate); Tel: 780-983-8730; Email: bkmoe@ucalgary.ca
Purchase Order requested by Patricia Parmentier (Administrative Assistant); Tel: 403-220-5511; Cell: 403-617-6362; Fax: 403-270-2964; Email: pparment@ucalgary.ca
Purchaser: Trevor Emmel (Email: tcemmel@ucalgary.ca) &amp; Patricia Parmentier (Email: pparment@ucalgary.ca)</v>
          </cell>
          <cell r="R23" t="str">
            <v>CA</v>
          </cell>
          <cell r="S23" t="str">
            <v>University of Calgary, Accounts Payable, 2500 University Drive NW, Calgary AB T2N 1N4; Email: invoices@ucalgary.ca</v>
          </cell>
          <cell r="T23" t="str">
            <v>Ship via Purolator Express
Email invoice to Accounts Payable at: invoices@ucalgary.ca
Purchaser: Trevor Emmel (tcemmel@ucalgary.ca) &amp; Patricia Parmentier (pparment@ucalgary.ca). Note: also let purchasers know when invoice issued.</v>
          </cell>
          <cell r="U23">
            <v>103791</v>
          </cell>
        </row>
        <row r="24">
          <cell r="A24" t="str">
            <v>1078-001</v>
          </cell>
          <cell r="B24" t="str">
            <v>Brandon Jaunky</v>
          </cell>
          <cell r="C24" t="str">
            <v>Brandon</v>
          </cell>
          <cell r="D24" t="str">
            <v>CEO &amp; Co-Founder of GC Lipid Tech Inc.</v>
          </cell>
          <cell r="E24" t="str">
            <v>Home Address - Jaunky Residence (attends Concordia University)</v>
          </cell>
          <cell r="F24" t="str">
            <v>Jaunky Residence</v>
          </cell>
          <cell r="G24" t="str">
            <v>9839 Rue Jeannette</v>
          </cell>
          <cell r="H24" t="str">
            <v>-</v>
          </cell>
          <cell r="I24" t="str">
            <v>-</v>
          </cell>
          <cell r="J24" t="str">
            <v>Montreal</v>
          </cell>
          <cell r="K24" t="str">
            <v>QC</v>
          </cell>
          <cell r="L24" t="str">
            <v>H8R 1S7</v>
          </cell>
          <cell r="M24" t="str">
            <v>Canada</v>
          </cell>
          <cell r="N24" t="str">
            <v>438-879-8413</v>
          </cell>
          <cell r="P24" t="str">
            <v>Brandon.jaunky@gmail.com</v>
          </cell>
          <cell r="Q24" t="str">
            <v>Brandon Jaunky (attends Concordia University), Jaunky Residence, 9839 Rue Jeannette, Lasalle, Montreal, QC  H8R 1S7 (home address)
Tel: 438-879-8413; Email: Brandon.jaunky@gmail.com</v>
          </cell>
          <cell r="R24" t="str">
            <v>CA</v>
          </cell>
          <cell r="S24" t="str">
            <v>Brandon Jaunky, 9839 Rue Jeannette, Lasalle, Montreal, QC  H8R 1S7; Tel: 438-879-8413; Email: Brandon.jaunky@gmail.com</v>
          </cell>
          <cell r="T24" t="str">
            <v>email invoice to Brandon Jaunky at: Brandon.jaunky@gmail.com</v>
          </cell>
          <cell r="U24">
            <v>109026</v>
          </cell>
        </row>
        <row r="25">
          <cell r="A25" t="str">
            <v>1035-001</v>
          </cell>
          <cell r="B25" t="str">
            <v>Carlos Cruz</v>
          </cell>
          <cell r="C25" t="str">
            <v>Carlos</v>
          </cell>
          <cell r="D25" t="str">
            <v>Manager of Undergraduate Lab Operations</v>
          </cell>
          <cell r="E25" t="str">
            <v>University of Toronto</v>
          </cell>
          <cell r="F25" t="str">
            <v>U of Toronto</v>
          </cell>
          <cell r="G25" t="str">
            <v>25 Harbord Street</v>
          </cell>
          <cell r="H25" t="str">
            <v>RW 401 reception</v>
          </cell>
          <cell r="I25" t="str">
            <v>Eco &amp; Evol Bio (EEB)</v>
          </cell>
          <cell r="J25" t="str">
            <v>Toronto</v>
          </cell>
          <cell r="K25" t="str">
            <v>ON</v>
          </cell>
          <cell r="L25" t="str">
            <v>M5S 3G5</v>
          </cell>
          <cell r="M25" t="str">
            <v>Canada</v>
          </cell>
          <cell r="N25" t="str">
            <v>416-978-0975</v>
          </cell>
          <cell r="P25" t="str">
            <v>c.cruz@utoronto.ca</v>
          </cell>
          <cell r="Q25" t="str">
            <v>Carlos Cruz, University of Toronto, 25 Harbord Street, Department of Ecology &amp; Evolutionary Biology (EEB), Ramsay Wright Building, RW137, Toronto ON M5S 3G5
Tel: 416-978-0975; Email: c.cruz@utoronto.ca
BUT SHIP TO CSB reception at: University of Toronto, 25 Harbord Street, Room 401, Department of Ecology &amp; Evolutionary Biology (EEB), Toronto, ON  M5S 3G5
OR EEB reception at: University of Toronto, Earth Science Centre, EEB Reception, ESC3055, 25 Willcocks Street, Toronto ON M5S 3B2</v>
          </cell>
          <cell r="R25" t="str">
            <v>CA</v>
          </cell>
          <cell r="S25" t="str">
            <v>Robbie Brar, University of Toronto - Dept of Ecology and Evolutionary Biology, 25 Willcocks Street, Toronto ON M5S 3B2; Tel: 416-978-3248, Fax: 416-978-5878, Email: robbie.brar@utoronto.ca</v>
          </cell>
          <cell r="T25" t="str">
            <v>pick up or ship via Purolator/FedEx!
reference Carlos Cruz and EEB240 on invoice OR
Put " BIO220" in the Ref line and footnote indicating that "Charges are for course BIO220 (eutrophication exercise)"
email invoice to Robbie Brar/Carlos Cruz at: eeb.reception@utoronto.ca</v>
          </cell>
          <cell r="U25">
            <v>103819</v>
          </cell>
        </row>
        <row r="26">
          <cell r="A26" t="str">
            <v>1008-002</v>
          </cell>
          <cell r="B26" t="str">
            <v>Caroline Dauphin</v>
          </cell>
          <cell r="C26" t="str">
            <v>Caroline</v>
          </cell>
          <cell r="D26" t="str">
            <v>Practical work technician</v>
          </cell>
          <cell r="E26" t="str">
            <v>Cegep de Shawinigan</v>
          </cell>
          <cell r="F26" t="str">
            <v xml:space="preserve">Cegep de Shawinigan </v>
          </cell>
          <cell r="G26" t="str">
            <v>2263 Avenue du College</v>
          </cell>
          <cell r="H26" t="str">
            <v>porte 4</v>
          </cell>
          <cell r="I26" t="str">
            <v>-</v>
          </cell>
          <cell r="J26" t="str">
            <v>Shawinigan</v>
          </cell>
          <cell r="K26" t="str">
            <v>QC</v>
          </cell>
          <cell r="L26" t="str">
            <v>G9N 7H4</v>
          </cell>
          <cell r="M26" t="str">
            <v>Canada</v>
          </cell>
          <cell r="N26" t="str">
            <v>819-539-6401 (ext # unknown)</v>
          </cell>
          <cell r="P26" t="str">
            <v>cdauphin@cshawi.ca</v>
          </cell>
          <cell r="Q26" t="str">
            <v>Caroline Dauphin, Cégep de Shawinigan, 2263 Avenue du College, porte 4, Shawinigan QC  G9N 7H4
Tel: 819-539-6401; Email: cdauphin@cshawi.ca
(Purchaser: Diane Trudel OR Vicky Lambert; Tel: 819-539-6401 x 2211; Fax: 819-539-2599; Email: approvisionnements@cshawi.ca)</v>
          </cell>
          <cell r="R26" t="str">
            <v>CA</v>
          </cell>
          <cell r="S26" t="str">
            <v>Cegep de Shawinigan, 2263 Avenue du College, Case postale 610, Shawinigan QC  G9N 6V8; Tel: 819-539-6401, Email: finances@cshawi.ca (Contact in Services financiers department: Carmen Ayotte, cayotte@cshawi.ca)</v>
          </cell>
          <cell r="T26" t="str">
            <v>uses a PO#
email invoice to Comptes Payables at: finances@cshawi.ca</v>
          </cell>
          <cell r="U26">
            <v>107453</v>
          </cell>
        </row>
        <row r="27">
          <cell r="A27" t="str">
            <v>1001-001</v>
          </cell>
          <cell r="B27" t="str">
            <v>Caroline Leblanc-Houde</v>
          </cell>
          <cell r="C27" t="str">
            <v>Caroline</v>
          </cell>
          <cell r="D27" t="str">
            <v>Ecotoxicology lab supervisor</v>
          </cell>
          <cell r="E27" t="str">
            <v>Agat Laboratories</v>
          </cell>
          <cell r="F27" t="str">
            <v>Agat Labs</v>
          </cell>
          <cell r="G27" t="str">
            <v>9770 Route Transcanadienne</v>
          </cell>
          <cell r="H27" t="str">
            <v>MTL-9770</v>
          </cell>
          <cell r="I27" t="str">
            <v>Ecotoxicologie</v>
          </cell>
          <cell r="J27" t="str">
            <v>Saint-Laurent</v>
          </cell>
          <cell r="K27" t="str">
            <v>QC</v>
          </cell>
          <cell r="L27" t="str">
            <v>H4S 1V9</v>
          </cell>
          <cell r="M27" t="str">
            <v>Canada</v>
          </cell>
          <cell r="N27" t="str">
            <v>514-337-1000</v>
          </cell>
          <cell r="P27" t="str">
            <v>LeBlanc-Houde@agatlabs.com</v>
          </cell>
          <cell r="Q27" t="str">
            <v>Caroline Leblanc-Houde, Agat Laboratories, Montreal-9770, Ecotoxicologie, 9770 Route Transcanadienne, Ville Saint-Laurent, QC H4S 1V9
Tel: 514-337-1000; Email: LeBlanc-Houde@agatlabs.com</v>
          </cell>
          <cell r="R27" t="str">
            <v>CC</v>
          </cell>
          <cell r="S27" t="str">
            <v>Accounts Payable, Agat Laboratories, 2905 - 12th Street NE, Calgary AB  T2E 7J2; Tel: 403-736-2000, Fax: 403-736-2001, Email: payables@agatlabs.com, Website: http://www.agatlabs.com/</v>
          </cell>
          <cell r="T27" t="str">
            <v>email invoice to Accounts Payable at: payables@agatlabs.com</v>
          </cell>
          <cell r="U27">
            <v>102856</v>
          </cell>
        </row>
        <row r="28">
          <cell r="A28" t="str">
            <v>N/A</v>
          </cell>
          <cell r="B28" t="str">
            <v>Caroline Peyrot</v>
          </cell>
          <cell r="C28" t="str">
            <v>Caroline</v>
          </cell>
          <cell r="D28" t="str">
            <v>Technician for Kevin Wilkinson</v>
          </cell>
          <cell r="E28" t="str">
            <v>Universite de Montreal</v>
          </cell>
          <cell r="F28" t="str">
            <v>U de Montreal</v>
          </cell>
          <cell r="G28" t="str">
            <v>1375 Avenue Therese-Lavoie-Roux</v>
          </cell>
          <cell r="H28" t="str">
            <v>Campus MIL Receiving</v>
          </cell>
          <cell r="I28" t="str">
            <v>Chemistry B-5075</v>
          </cell>
          <cell r="J28" t="str">
            <v>Montreal</v>
          </cell>
          <cell r="K28" t="str">
            <v>QC</v>
          </cell>
          <cell r="L28" t="str">
            <v>H2V 0B3</v>
          </cell>
          <cell r="M28" t="str">
            <v>Canada</v>
          </cell>
          <cell r="N28" t="str">
            <v>514-343-6111</v>
          </cell>
          <cell r="P28" t="str">
            <v>caroline.peyrot@umontreal.ca</v>
          </cell>
          <cell r="Q28" t="str">
            <v>Kevin Wilkinson, Universite de Montreal, 1375 Avenue Therese-Lavoie-Roux, c/o Campus MIL Receiving, Chemistry B-5075, Montreal, QC, H2V 0B3
Tel: 514-343-6741; Email: kj.wilkinson@umontreal.ca
FOR: Caroline Peyrot (technician for Kevin Wilkinson); Tel: 514-343-6111; Email: caroline.peyrot@umontreal.ca</v>
          </cell>
          <cell r="R28" t="str">
            <v>CA</v>
          </cell>
          <cell r="S28" t="str">
            <v>University of Montreal - Chimie/Chemistry, C.P. 6204 succursale Centre-ville, Montreal, QC, H3C 3T4; Email: finances@chimie.umontreal.ca</v>
          </cell>
          <cell r="T28" t="str">
            <v>email invoice to Kevin Wilkinson at: finances@chimie.umontreal.ca</v>
          </cell>
          <cell r="U28">
            <v>109270</v>
          </cell>
        </row>
        <row r="29">
          <cell r="A29" t="str">
            <v>N/A</v>
          </cell>
          <cell r="B29" t="str">
            <v>Catherine (Kate) Brown</v>
          </cell>
          <cell r="C29" t="str">
            <v>Kate</v>
          </cell>
          <cell r="D29" t="str">
            <v>Supervisor: Amanda Weiler</v>
          </cell>
          <cell r="E29" t="str">
            <v>Defence Research and Development Canada - Suffield Research Centre</v>
          </cell>
          <cell r="F29" t="str">
            <v>DRDC - Suffield Research</v>
          </cell>
          <cell r="G29" t="str">
            <v>560 Mount Sorrell Road</v>
          </cell>
          <cell r="H29" t="str">
            <v>Bldg 560 Receiving</v>
          </cell>
          <cell r="I29" t="str">
            <v>-</v>
          </cell>
          <cell r="J29" t="str">
            <v>Ralston</v>
          </cell>
          <cell r="K29" t="str">
            <v>AB</v>
          </cell>
          <cell r="L29" t="str">
            <v>T0J 2N0</v>
          </cell>
          <cell r="M29" t="str">
            <v>Canada</v>
          </cell>
          <cell r="N29" t="str">
            <v>403-544-5218</v>
          </cell>
          <cell r="O29" t="str">
            <v>403-544-4821</v>
          </cell>
          <cell r="P29" t="str">
            <v>Catherine.Brown@drdc-rddc.gc.ca</v>
          </cell>
          <cell r="Q29" t="str">
            <v>Julia Barnes, Defence Research and Development Canada - Suffield Research Centre, Building 560 Receiving, 560 Mount Sorrell Road, Ralston AB T0J 2N0
Tel: 403-544-4906; Email:  julia.barnes@forces.gc.ca 
FOR: Catherine (Kate) Brown; Tel: 403-544-5218; Email:Catherine.Brown@drdc-rddc.gc.ca
(Works with Amanda Weiler)</v>
          </cell>
          <cell r="R29" t="str">
            <v>CG</v>
          </cell>
          <cell r="S29" t="str">
            <v>Defence Research and Development Canada - Suffield Research Centre, 560 Mount Sorrell Road, Building 560, Ralston AB T0J 2N0 (Contact: Julia Barnes; Tel: 403-544-4906; Email: julia.barnes@forces.gc.ca)</v>
          </cell>
          <cell r="T29" t="str">
            <v>ship via Purolator (other couriers sometimes have difficulty with delivery!)
email invoices to Julia Barnes at: julia.barnes@forces.gc.ca</v>
          </cell>
          <cell r="U29">
            <v>110878</v>
          </cell>
        </row>
        <row r="30">
          <cell r="A30" t="str">
            <v>N/A</v>
          </cell>
          <cell r="B30" t="str">
            <v>Catherine Davila</v>
          </cell>
          <cell r="C30" t="str">
            <v>Catherine</v>
          </cell>
          <cell r="D30" t="str">
            <v>Supervisor: Karsten Liber</v>
          </cell>
          <cell r="E30" t="str">
            <v>University of Saskatchewan</v>
          </cell>
          <cell r="F30" t="str">
            <v>U of Saskatchewan</v>
          </cell>
          <cell r="G30" t="str">
            <v>44 Campus Drive</v>
          </cell>
          <cell r="H30" t="str">
            <v>Toxicology Research Ctr</v>
          </cell>
          <cell r="I30" t="str">
            <v>-</v>
          </cell>
          <cell r="J30" t="str">
            <v>Saskatoon</v>
          </cell>
          <cell r="K30" t="str">
            <v>SK</v>
          </cell>
          <cell r="L30" t="str">
            <v>S7N 5B3</v>
          </cell>
          <cell r="M30" t="str">
            <v>Canada</v>
          </cell>
          <cell r="N30" t="str">
            <v>Cell: 639-994-0417</v>
          </cell>
          <cell r="O30" t="str">
            <v>Alternate email: ced323@usask.ca</v>
          </cell>
          <cell r="P30" t="str">
            <v>catherine.davila@usask.ca</v>
          </cell>
          <cell r="Q30" t="str">
            <v>Catherine Davila (Supervisor: Karsten Liber), University of Saskatchewan, Toxicology Research Centre, 44 Campus Drive, Saskatoon, SK  S7N 5B3
Tel: Cell: 639-994-0417; Email: catherine.davila@usask.ca; Alternate email: ced323@usask.ca
OR if shipping to her home address: Davila Residence, 1401 Elliott Street, Saskatoon, SK  S7N 0V9
Davila Residence, 1302 College Drive, Saskatoon, SK, S7N 0W5
Davila Residence, 859 University Drive, Saskatoon, SK, S7N 0J8</v>
          </cell>
          <cell r="R30" t="str">
            <v>CA</v>
          </cell>
          <cell r="S30" t="str">
            <v>University of Saskatchewan, ConnectionPoint, Arts Building, Rm 258, Saskatoon, SK  S7N 5A7; Email: connectionpoint@usask.ca</v>
          </cell>
          <cell r="T30" t="str">
            <v>ship via Purolator Express
email invoice to Attn: Karsten Liber (Toxicology Centre) at: connectionpoint@usask.ca with External reference: Karsten Liber (karsten.liber@usask.ca)</v>
          </cell>
          <cell r="U30">
            <v>103813</v>
          </cell>
        </row>
        <row r="31">
          <cell r="A31" t="str">
            <v>1015-001</v>
          </cell>
          <cell r="B31" t="str">
            <v>Charles (Chuck) Hopper</v>
          </cell>
          <cell r="C31" t="str">
            <v>Chuck</v>
          </cell>
          <cell r="D31" t="str">
            <v>Physical Scientist &amp; Acting Toxicology Supervisor</v>
          </cell>
          <cell r="E31" t="str">
            <v>Environment and Climate Change Canada (ECCC) - Atlantic Laboratory for Environmental Testing (ALET)</v>
          </cell>
          <cell r="F31" t="str">
            <v>ECCC - ALET</v>
          </cell>
          <cell r="G31" t="str">
            <v>443 Universite Ave</v>
          </cell>
          <cell r="H31" t="str">
            <v>AESC Tox Lab</v>
          </cell>
          <cell r="I31" t="str">
            <v>-</v>
          </cell>
          <cell r="J31" t="str">
            <v>Moncton</v>
          </cell>
          <cell r="K31" t="str">
            <v>NB</v>
          </cell>
          <cell r="L31" t="str">
            <v>E1A 3E9</v>
          </cell>
          <cell r="M31" t="str">
            <v>Canada</v>
          </cell>
          <cell r="N31" t="str">
            <v>506-800-1784</v>
          </cell>
          <cell r="O31" t="str">
            <v>506-851-6608</v>
          </cell>
          <cell r="P31" t="str">
            <v>charles.hopper@ec.gc.ca</v>
          </cell>
          <cell r="Q31" t="str">
            <v>Charles (Chuck) Hopper (Physical Scientist &amp; Acting Toxicology Supervisor), Environment and Climate Change Canada (ECCC), Atlantic Laboratory for Environmental Testing (ALET), Atlantic Environmental Science Centre (AESC), Toxicology Lab, 443 Universite Avenue, Moncton, NB  E1A 3E9
Tel: 506-800-1784; Fax: 506-851-6608; Email: charles.hopper@ec.gc.ca</v>
          </cell>
          <cell r="R31" t="str">
            <v>CG</v>
          </cell>
          <cell r="S31" t="str">
            <v>Environment and Climate Change Canada - Environmental Science Centre, P.O. Box 23005, Moncton, NB   E1A 6S8; Attn: Charles (Chuck) Hopper, Tel: 506-800-1784, Email: charles.hopper@ec.gc.ca</v>
          </cell>
          <cell r="T31" t="str">
            <v>Provide taxonomic certificates
Email invoice to Chuck Hopper at: charles.hopper@ec.gc.ca</v>
          </cell>
          <cell r="U31">
            <v>103165</v>
          </cell>
        </row>
        <row r="32">
          <cell r="A32" t="str">
            <v>1006-002</v>
          </cell>
          <cell r="B32" t="str">
            <v>Chelsea Blake</v>
          </cell>
          <cell r="C32" t="str">
            <v>Chelsea</v>
          </cell>
          <cell r="D32" t="str">
            <v>Director: Asif Alli</v>
          </cell>
          <cell r="E32" t="str">
            <v>Bureau Veritas Laboratories - Quebec</v>
          </cell>
          <cell r="F32" t="str">
            <v>BV Labs - Quebec</v>
          </cell>
          <cell r="G32" t="str">
            <v>2690 avenue Dalton</v>
          </cell>
          <cell r="H32" t="str">
            <v>Quebec - Bioassay</v>
          </cell>
          <cell r="I32" t="str">
            <v>-</v>
          </cell>
          <cell r="J32" t="str">
            <v>Quebec</v>
          </cell>
          <cell r="K32" t="str">
            <v>QC</v>
          </cell>
          <cell r="L32" t="str">
            <v>G1P 3S4</v>
          </cell>
          <cell r="M32" t="str">
            <v>Canada</v>
          </cell>
          <cell r="N32" t="str">
            <v>418-658-5784 x7066428
Cell: 418-572-8438
Toll-free: 877-462-9926</v>
          </cell>
          <cell r="O32" t="str">
            <v>418-658-6594</v>
          </cell>
          <cell r="P32" t="str">
            <v>chelsea.blake@bureauveritas.com</v>
          </cell>
          <cell r="Q32" t="str">
            <v>Chelsea Blake, Bureau Veritas Laboratories, Quebec - Bioassay Warehouse, 2690 avenue Dalton, Quebec, QC G1P 3S4
Tel: 418-658-5784 x7066428, Cell: 418-572-8438, Toll-free: 877-462-9926; Fax: 418-658-6594; Email: chelsea.blake@bureauveritas.com
(Director: Asif Alli - contact him at 514-347-5900 or asif.alli@bureauveritas.com for administrative services such as PO#)
(Orders placed by Purchasing agents when using a PO #: Eden-Grace Valenzuela (Tel: 514-448-9001 x 6223; Email: EValenzuela@maxxam.ca) or Voula (Stavroula) Koumoutsakis (Tel: 514 448 9001 x 7066219; Email: stavroula.koumoutsakis@bureauveritas.com) or Sonia Jimenez (Tel: 514-448-9001 x 7066449; Email: canadaprocurement@bureauveritas.com) or Ankitesh Kumar Singh; Email: ankitesh-kumar.singh@bureauveritas.com)</v>
          </cell>
          <cell r="R32" t="str">
            <v>CC</v>
          </cell>
          <cell r="S32" t="str">
            <v>Attn: Accounts Payable, Bureau Veritas Canada (2019) Inc., 500 - 1919 Minnesota Court, Mississauga ON L5N 0C9; Email: AP.865.INV.SUBMIT@bureauveritas.com (For A/P inquiries, please email vendorspecialist@bureauveritas.com) 
Email: accounts.payable@bvlabs.com</v>
          </cell>
          <cell r="T32" t="str">
            <v>takes 2 days to arrive…there isn't any next day delivery even by paying for Purolator Express 10:30AM
email invoice to Accounts Payable at: AP.865.INV.SUBMIT@bureauveritas.com
email invoice to Accounts Payable at: accounts.payable@bvlabs.com</v>
          </cell>
          <cell r="U32">
            <v>103380</v>
          </cell>
        </row>
        <row r="33">
          <cell r="A33" t="str">
            <v>N/A</v>
          </cell>
          <cell r="B33" t="str">
            <v>Cheryl Mary Rafuse</v>
          </cell>
          <cell r="C33" t="str">
            <v>Cheryl</v>
          </cell>
          <cell r="D33" t="str">
            <v>Algal Biologist</v>
          </cell>
          <cell r="E33" t="str">
            <v>National Research Council Canada - Halifax</v>
          </cell>
          <cell r="F33" t="str">
            <v>NRC Can - Halifax</v>
          </cell>
          <cell r="G33" t="str">
            <v>1411 Oxford Street</v>
          </cell>
          <cell r="H33" t="str">
            <v>-</v>
          </cell>
          <cell r="I33" t="str">
            <v>-</v>
          </cell>
          <cell r="J33" t="str">
            <v>Halifax</v>
          </cell>
          <cell r="K33" t="str">
            <v>NS</v>
          </cell>
          <cell r="L33" t="str">
            <v>B3H 3Z1</v>
          </cell>
          <cell r="M33" t="str">
            <v>Canada</v>
          </cell>
          <cell r="N33" t="str">
            <v>902-426-5972</v>
          </cell>
          <cell r="P33" t="str">
            <v>cheryl.rafuse@nrc.gc.ca</v>
          </cell>
          <cell r="Q33" t="str">
            <v>Cheryl Mary Rafuse (Algal Biologist), National Research Council Canada, 1411 Oxford Street, Halifax, NS  B3H 3Z1
Tel:  902-426-5972; Email:  cheryl.rafuse@nrc.gc.ca</v>
          </cell>
          <cell r="R33" t="str">
            <v>CG</v>
          </cell>
          <cell r="S33" t="str">
            <v>National Research Council of Canada, 1200 Montreal Road, M-50, Ottawa, ON  K1A 0R6; Email: nrc.invoice-facture.cnrc@nrc-cnrc.gc.ca</v>
          </cell>
          <cell r="T33" t="str">
            <v>email invoice to Accounts Payable at: nrc.invoice-facture.cnrc@nrc-cnrc.gc.ca (use a PO#)</v>
          </cell>
          <cell r="U33">
            <v>103482</v>
          </cell>
        </row>
        <row r="34">
          <cell r="A34" t="str">
            <v>1016-001</v>
          </cell>
          <cell r="B34" t="str">
            <v>Christina Heise</v>
          </cell>
          <cell r="C34" t="str">
            <v>Christina</v>
          </cell>
          <cell r="D34" t="str">
            <v>Head, Ecotoxicology Laboratory</v>
          </cell>
          <cell r="E34" t="str">
            <v>Environment and Climate Change Canada (ECCC) - Prairie and Northern Laboratory for Environmental Testing (PNLET)</v>
          </cell>
          <cell r="F34" t="str">
            <v>ECCC - PNLET</v>
          </cell>
          <cell r="G34" t="str">
            <v>5320 - 122nd Street</v>
          </cell>
          <cell r="H34" t="str">
            <v>Ecotoxicology Laboratory</v>
          </cell>
          <cell r="I34" t="str">
            <v>-</v>
          </cell>
          <cell r="J34" t="str">
            <v>Edmonton</v>
          </cell>
          <cell r="K34" t="str">
            <v>AB</v>
          </cell>
          <cell r="L34" t="str">
            <v>T6H 3S5</v>
          </cell>
          <cell r="M34" t="str">
            <v>Canada</v>
          </cell>
          <cell r="N34" t="str">
            <v>825-510-1301</v>
          </cell>
          <cell r="P34" t="str">
            <v>Christina.Heise@ec.gc.ca</v>
          </cell>
          <cell r="Q34" t="str">
            <v>Christina Heise, Environment and Climate Change Canada (ECCC), Prairie and Northern Laboratory for Environmental Testing (PNLET), Ecotoxicology Laboratory, 5320 - 122nd Street, Edmonton AB T6H 3S5
Tel: 825-510-1301; Email: Christina.Heise@ec.gc.ca</v>
          </cell>
          <cell r="R34" t="str">
            <v>CG</v>
          </cell>
          <cell r="S34" t="str">
            <v>Environment and Climate Change Canada - Prairie and Northern Laboratory for Environmental Testing, 5320 - 122nd Street, Edmonton AB T6H 3S5; Attn: Christina Heise, Tel: 780-435-7389, Fax: 780-435-7268, Email: Christina.Heise@canada.ca (used to be Christina.Heise@EC.gc.ca)</v>
          </cell>
          <cell r="T34" t="str">
            <v>Provide taxonomic certificate
Email invoice to Christina Heise at: Christina.Heise@ec.gc.ca
Invoices are currently being mailed via Canada Post to Attn: Christina Heise</v>
          </cell>
          <cell r="U34">
            <v>103174</v>
          </cell>
        </row>
        <row r="35">
          <cell r="A35" t="str">
            <v>N/A</v>
          </cell>
          <cell r="B35" t="str">
            <v>Christophe Langevin</v>
          </cell>
          <cell r="C35" t="str">
            <v>Christophe</v>
          </cell>
          <cell r="D35" t="str">
            <v>Supervisor: Jerome Comte</v>
          </cell>
          <cell r="E35" t="str">
            <v>Institut National de la Recherche Scientifique (INRS) - Eau Terre Environnement (ETE)</v>
          </cell>
          <cell r="F35" t="str">
            <v>INRS - ETE</v>
          </cell>
          <cell r="G35" t="str">
            <v>490 rue de la Couronne</v>
          </cell>
          <cell r="H35" t="str">
            <v>-</v>
          </cell>
          <cell r="I35" t="str">
            <v>-</v>
          </cell>
          <cell r="J35" t="str">
            <v>Quebec</v>
          </cell>
          <cell r="K35" t="str">
            <v>QC</v>
          </cell>
          <cell r="L35" t="str">
            <v>G1K 9A9</v>
          </cell>
          <cell r="M35" t="str">
            <v>Canada</v>
          </cell>
          <cell r="N35" t="str">
            <v>438-822-1851</v>
          </cell>
          <cell r="P35" t="str">
            <v>Christophe.Langevin@inrs.ca</v>
          </cell>
          <cell r="Q35" t="str">
            <v>Christophe Langevin (Supervisor: Jerome Comte), Institut National de la Recherche Scientifique, Eau Terre Environnement (INRS- ETE), 490 rue de la Couronne, Quebec, QC G1K 9A9
Tel: 438-822-1851; Email; Christophe.Langevin@inrs.ca
(INRS is part of Universite du Quebec)</v>
          </cell>
          <cell r="R35" t="str">
            <v>CA</v>
          </cell>
          <cell r="S35" t="str">
            <v>Institut National de la Recherche Scientifique (INRS) - Administration, 490 rue de la Couronne, Quebec, QC G1K 9A9; Attn: Comptes Payables, Email: cap@inrs.ca (comptesapayer@adm.inrs.ca)</v>
          </cell>
          <cell r="T35" t="str">
            <v>Should arrive next day but sometimes takes 2 days…even if paying for Purolator Express 10:30AM
requires a quote &amp; uses a PO
email invoice to Comptes Payables at: cap@inrs.ca
email invoice to Comptes Payables at: comptesapayer@adm.inrs.ca</v>
          </cell>
          <cell r="U35">
            <v>104897</v>
          </cell>
        </row>
        <row r="36">
          <cell r="A36" t="str">
            <v>1073-003</v>
          </cell>
          <cell r="B36" t="str">
            <v>Christopher (Chris) Thomas DeGroot</v>
          </cell>
          <cell r="C36" t="str">
            <v>Chris</v>
          </cell>
          <cell r="D36" t="str">
            <v>Assistant Professor</v>
          </cell>
          <cell r="E36" t="str">
            <v>Western University</v>
          </cell>
          <cell r="F36" t="str">
            <v>Western U (UWO)</v>
          </cell>
          <cell r="G36" t="str">
            <v>1151 Richmond Street</v>
          </cell>
          <cell r="H36" t="str">
            <v>Thompson Eng/Dock 59/Rm40</v>
          </cell>
          <cell r="I36" t="str">
            <v>Eng Stores, TEB-FACENG</v>
          </cell>
          <cell r="J36" t="str">
            <v>London</v>
          </cell>
          <cell r="K36" t="str">
            <v>ON</v>
          </cell>
          <cell r="L36" t="str">
            <v>N6A 5B9</v>
          </cell>
          <cell r="M36" t="str">
            <v>Canada</v>
          </cell>
          <cell r="N36" t="str">
            <v>519-661-2111 x84455</v>
          </cell>
          <cell r="O36" t="str">
            <v>Fax: 519-661-3020
Alternate Email: christopher.degroot@uwo.ca</v>
          </cell>
          <cell r="P36" t="str">
            <v>cdegroo5@uwo.ca</v>
          </cell>
          <cell r="Q36" t="str">
            <v>Malihe Mehdizadeh Allaf (Supervisor: Hassan Peerhossaini), Western University, Department of Civil and Environmental Engineering, Engineering Stores, Thompson Eng Bldg, Dock 59, Room 40, ShipTo Address Code: TEB-ENGSTR, 1151 Richmond Street, London ON  N6A 5B9
Tel: 519-661-2038; Email: mmehdiz@uwo.ca
FOR: Christopher Thomas DeGroot, Department of Mechanical and Materials Engineering (MME) (Tel: 519-661-2111 x 84455; Email: christopher.degroot@uwo.ca) &amp; Hassan Peerhossain (Tel: 519-661-2111 x 80319; Email: hpeerhos@uwo.ca) &amp; Reza Saifi (Cell: 226-559-2474; Email: rsaifi@uwo.ca)</v>
          </cell>
          <cell r="R36" t="str">
            <v>CA</v>
          </cell>
          <cell r="S36" t="str">
            <v>University of Western Ontario, Financial Services, Suite 6100, Support Services Building, 1393 Western Rd, London ON  N6G 1G9; Tel: 519-661-2111; Email: apinvoice@uwo.ca (Attn: Accounts Payable or UWO Engineering Stores Purchaser (name and email)</v>
          </cell>
          <cell r="T36" t="str">
            <v>PO invoice = email invoice to Accounts Payable at: apinvoice@uwo.ca
non-PO invoice = email invoice to apinvoice@uwo.ca but put Attn: Purchaser's name and email address</v>
          </cell>
          <cell r="U36">
            <v>103838</v>
          </cell>
        </row>
        <row r="37">
          <cell r="A37" t="str">
            <v>N/A</v>
          </cell>
          <cell r="B37" t="str">
            <v>Chuchi Chen</v>
          </cell>
          <cell r="C37" t="str">
            <v>Chuchi</v>
          </cell>
          <cell r="D37" t="str">
            <v>PhD student; Supervisor: Valerie Ward</v>
          </cell>
          <cell r="E37" t="str">
            <v>University of Waterloo</v>
          </cell>
          <cell r="F37" t="str">
            <v>UWaterloo</v>
          </cell>
          <cell r="G37" t="str">
            <v>200 University Ave W</v>
          </cell>
          <cell r="H37" t="str">
            <v>Chem Eng, E6 4016</v>
          </cell>
          <cell r="I37" t="str">
            <v>-</v>
          </cell>
          <cell r="J37" t="str">
            <v>Waterloo</v>
          </cell>
          <cell r="K37" t="str">
            <v>ON</v>
          </cell>
          <cell r="L37" t="str">
            <v>N2L 3G1</v>
          </cell>
          <cell r="M37" t="str">
            <v>Canada</v>
          </cell>
          <cell r="P37" t="str">
            <v>chuchi.chen@uwaterloo.ca</v>
          </cell>
          <cell r="Q37" t="str">
            <v>Valerie Ward (Associate Professor), University of Waterloo, Chemical Engineering (cross-appointed with Biology), E6 4016, 200 University Ave W, Waterloo, ON N2L 3G1
Tel: 519-888-4567 x38625; Email: vward@uwaterloo.ca
FOR: Chuchi Chen; Email: chuchi.chen@uwaterloo.ca</v>
          </cell>
          <cell r="R37" t="str">
            <v>CA</v>
          </cell>
          <cell r="S37" t="str">
            <v>internal debit memo</v>
          </cell>
          <cell r="T37" t="str">
            <v>Cross-appointed with Biology = UWaterloo Faculty of Science pricing
Internal debit memo given to client on mmm dd/yy; they returned it on mmm dd/yy; given to Lucy Satora on mmm dd/yy; credited to our account in mmm yyyy</v>
          </cell>
          <cell r="U37" t="str">
            <v>N/A</v>
          </cell>
        </row>
        <row r="38">
          <cell r="A38" t="str">
            <v>1021-002</v>
          </cell>
          <cell r="B38" t="str">
            <v>Claude Fortin</v>
          </cell>
          <cell r="C38" t="str">
            <v>Claude</v>
          </cell>
          <cell r="D38" t="str">
            <v>Research professor</v>
          </cell>
          <cell r="E38" t="str">
            <v>Institut National de la Recherche Scientifique (INRS) - Eau Terre Environnement (ETE)</v>
          </cell>
          <cell r="F38" t="str">
            <v>INRS - ETE</v>
          </cell>
          <cell r="G38" t="str">
            <v>490 rue de la Couronne</v>
          </cell>
          <cell r="H38" t="str">
            <v>-</v>
          </cell>
          <cell r="I38" t="str">
            <v>-</v>
          </cell>
          <cell r="J38" t="str">
            <v>Quebec</v>
          </cell>
          <cell r="K38" t="str">
            <v>QC</v>
          </cell>
          <cell r="L38" t="str">
            <v>G1K 9A9</v>
          </cell>
          <cell r="M38" t="str">
            <v>Canada</v>
          </cell>
          <cell r="N38" t="str">
            <v>418-654-3770</v>
          </cell>
          <cell r="O38" t="str">
            <v>418-654-2600</v>
          </cell>
          <cell r="P38" t="str">
            <v>claude.fortin@ete.inrs.ca</v>
          </cell>
          <cell r="Q38" t="str">
            <v>Claude Fortin, Institut National de la Recherche Scientifique, Eau Terre Environnement (INRS- ETE), 490 rue de la Couronne, Quebec, QC G1K 9A9
Tel: 418-654-3770; Fax: 418-654-2600; Email: claude.fortin@ete.inrs.ca
(INRS is part of Universite du Quebec)</v>
          </cell>
          <cell r="R38" t="str">
            <v>CA</v>
          </cell>
          <cell r="S38" t="str">
            <v>Institut National de la Recherche Scientifique (INRS) - Administration, 490 rue de la Couronne, Quebec, QC G1K 9A9; Attn: Comptes Payables, Email: cap@inrs.ca (comptesapayer@adm.inrs.ca)</v>
          </cell>
          <cell r="T38" t="str">
            <v>Should arrive next day but sometimes takes 2 days…even if paying for Purolator Express 10:30AM
requires a quote &amp; uses a PO
email invoice to Comptes Payables at: cap@inrs.ca
email invoice to Comptes Payables at: comptesapayer@adm.inrs.ca</v>
          </cell>
          <cell r="U38">
            <v>104897</v>
          </cell>
        </row>
        <row r="39">
          <cell r="A39" t="str">
            <v>1063-001</v>
          </cell>
          <cell r="B39" t="str">
            <v>Craig Buday</v>
          </cell>
          <cell r="C39" t="str">
            <v>Craig</v>
          </cell>
          <cell r="D39" t="str">
            <v>Regulatory Toxicology Supervisor</v>
          </cell>
          <cell r="E39" t="str">
            <v>Environment and Climate Change Canada (ECCC) - Pacific Yukon Laboratory for Environmental Testing (PYLET)</v>
          </cell>
          <cell r="F39" t="str">
            <v>ECCC - PYLET</v>
          </cell>
          <cell r="G39" t="str">
            <v>2645 Dollarton Hwy</v>
          </cell>
          <cell r="H39" t="str">
            <v>PESC Env Tox Lab</v>
          </cell>
          <cell r="I39" t="str">
            <v>-</v>
          </cell>
          <cell r="J39" t="str">
            <v>North Vancouver</v>
          </cell>
          <cell r="K39" t="str">
            <v>BC</v>
          </cell>
          <cell r="L39" t="str">
            <v>V7H 1B1</v>
          </cell>
          <cell r="M39" t="str">
            <v>Canada</v>
          </cell>
          <cell r="N39" t="str">
            <v>604-903-4438</v>
          </cell>
          <cell r="O39" t="str">
            <v>604-903-4445</v>
          </cell>
          <cell r="P39" t="str">
            <v>craig.buday@ec.gc.ca</v>
          </cell>
          <cell r="Q39" t="str">
            <v>Craig Buday (or Chris Le), Environment and Climate Change Canada (ECCC), Pacific Yukon Laboratory for Environmental Testing (PYLET), Pacific Environmental Science Centre (PESC), Environmental Toxicology Lab, 2645 Dollarton Hwy, North Vancouver BC V7H 1B1
Tel: 604-903-4438; Fax: 604-903-4445; Email: craig.buday@ec.gc.ca</v>
          </cell>
          <cell r="R39" t="str">
            <v>CG</v>
          </cell>
          <cell r="S39" t="str">
            <v>Environment and Climate Change Canada - Pacific Environmental Science Centre, 2645 Dollarton Hwy, North Vancouver, BC  V7H 1B1</v>
          </cell>
          <cell r="T39" t="str">
            <v>include taxonomic certificate
invoices are currently being mailed via Canada Post</v>
          </cell>
          <cell r="U39">
            <v>103173</v>
          </cell>
        </row>
        <row r="40">
          <cell r="A40" t="str">
            <v>N/A</v>
          </cell>
          <cell r="B40" t="str">
            <v>Daniel (Dan) Beach</v>
          </cell>
          <cell r="C40" t="str">
            <v>Dan</v>
          </cell>
          <cell r="D40" t="str">
            <v>Research Officer</v>
          </cell>
          <cell r="E40" t="str">
            <v>National Research Council Canada - Halifax</v>
          </cell>
          <cell r="F40" t="str">
            <v>NRC Can - Halifax</v>
          </cell>
          <cell r="G40" t="str">
            <v>1411 Oxford Street</v>
          </cell>
          <cell r="H40" t="str">
            <v>-</v>
          </cell>
          <cell r="I40" t="str">
            <v>-</v>
          </cell>
          <cell r="J40" t="str">
            <v>Halifax</v>
          </cell>
          <cell r="K40" t="str">
            <v>NS</v>
          </cell>
          <cell r="L40" t="str">
            <v>B3H 3Z1</v>
          </cell>
          <cell r="M40" t="str">
            <v>Canada</v>
          </cell>
          <cell r="N40" t="str">
            <v>902-426-5972</v>
          </cell>
          <cell r="P40" t="str">
            <v>daniel.beach@nrc.gc.ca</v>
          </cell>
          <cell r="Q40" t="str">
            <v>Dan Beach (Research Officer), National Research Council Canada, 1411 Oxford Street, Halifax, NS  B3H 3Z1
Tel: 902-426-5972; Email:  daniel.beach@nrc.gc.ca</v>
          </cell>
          <cell r="R40" t="str">
            <v>CG</v>
          </cell>
          <cell r="S40" t="str">
            <v>National Research Council of Canada, 1200 Montreal Road, M-50, Ottawa, ON  K1A 0R6; Email: nrc.invoice-facture.cnrc@nrc-cnrc.gc.ca</v>
          </cell>
          <cell r="T40" t="str">
            <v>email invoice to Accounts Payable at: nrc.invoice-facture.cnrc@nrc-cnrc.gc.ca (use a PO#)</v>
          </cell>
          <cell r="U40">
            <v>103482</v>
          </cell>
        </row>
        <row r="41">
          <cell r="A41" t="str">
            <v>1058-001</v>
          </cell>
          <cell r="B41" t="str">
            <v>Daniel (Dan) Lefebvre</v>
          </cell>
          <cell r="C41" t="str">
            <v>Dan</v>
          </cell>
          <cell r="D41" t="str">
            <v>Professor</v>
          </cell>
          <cell r="E41" t="str">
            <v>Queen's University</v>
          </cell>
          <cell r="F41" t="str">
            <v>Queen's U</v>
          </cell>
          <cell r="G41" t="str">
            <v>116 Barrie Street</v>
          </cell>
          <cell r="H41" t="str">
            <v>Biosciences Complex</v>
          </cell>
          <cell r="I41" t="str">
            <v>Rm 3621 - Biology Dept</v>
          </cell>
          <cell r="J41" t="str">
            <v>Kingston</v>
          </cell>
          <cell r="K41" t="str">
            <v>ON</v>
          </cell>
          <cell r="L41" t="str">
            <v>K7L 3N6</v>
          </cell>
          <cell r="M41" t="str">
            <v>Canada</v>
          </cell>
          <cell r="N41" t="str">
            <v>613-533-6141</v>
          </cell>
          <cell r="P41" t="str">
            <v>lefebvre@queensu.ca</v>
          </cell>
          <cell r="Q41" t="str">
            <v>Daniel Lefebvre, Queen's University, Biology Department, 116 Barrie Street, Biosciences Complex, Room 3621, Kingston, ON  K7L 3N6
Tel: 613-533-6141; Email: lefebvre@queensu.ca</v>
          </cell>
          <cell r="R41" t="str">
            <v>CA</v>
          </cell>
          <cell r="S41" t="str">
            <v>Queen's University - Dept of Biology, 99 University Ave, Kingston, ON  K7L 3N6; Email: biology@queensu.ca
Daniel Lefebvre (Room 3621), Queen's University, Biology Department, 116 Barrie St., Kingston ON  K7L 3N6; Tel: 613-533-6141, Email: lefebvre@queensu.ca</v>
          </cell>
          <cell r="T41" t="str">
            <v>email invoices to Attn: Daniel Lefebvre (lefebvre@queensu.ca) at: biology@queensu.ca</v>
          </cell>
          <cell r="U41">
            <v>103570</v>
          </cell>
        </row>
        <row r="42">
          <cell r="A42" t="str">
            <v>1017-002</v>
          </cell>
          <cell r="B42" t="str">
            <v>David Depew</v>
          </cell>
          <cell r="C42" t="str">
            <v>David</v>
          </cell>
          <cell r="D42" t="str">
            <v>Research Scientist</v>
          </cell>
          <cell r="E42" t="str">
            <v>Environment and Climate Change Canada (ECCC) - Watershed Hydrology and Ecology Research Division (WHERD)</v>
          </cell>
          <cell r="F42" t="str">
            <v>ECCC - WHERD</v>
          </cell>
          <cell r="G42" t="str">
            <v>867 Lakeshore Rd</v>
          </cell>
          <cell r="H42" t="str">
            <v>WHERD</v>
          </cell>
          <cell r="I42" t="str">
            <v>-</v>
          </cell>
          <cell r="J42" t="str">
            <v>Burlington</v>
          </cell>
          <cell r="K42" t="str">
            <v>ON</v>
          </cell>
          <cell r="L42" t="str">
            <v>L7S 1A1</v>
          </cell>
          <cell r="M42" t="str">
            <v>Canada</v>
          </cell>
          <cell r="N42" t="str">
            <v>905-336-4790</v>
          </cell>
          <cell r="O42" t="str">
            <v>905-336-4699</v>
          </cell>
          <cell r="P42" t="str">
            <v>David.Depew@canada.ca</v>
          </cell>
          <cell r="Q42" t="str">
            <v>David Depew, Environment and Climate Change Canada (ECCC), Watershed Hydrology and Ecology Research Division (WHERD), 867 Lakeshore Road, Burlington, ON L7S 1A1
Tel: 905-336-4790; Fax: 905-336-4699; Email: David.Depew@canada.ca</v>
          </cell>
          <cell r="R42" t="str">
            <v>CG</v>
          </cell>
          <cell r="S42" t="str">
            <v xml:space="preserve">Environment and Climate Change Canada - Watershed Hydrology and Ecology Research Division, 867 Lakeshore Road, Burlington, ON L7S 1A1; Email: servicesfadrhebh-wherdfaservices@ec.gc.ca
</v>
          </cell>
          <cell r="T42" t="str">
            <v>Ship via Purolator Express
Email invoice to Accounts Payable at: servicesfadrhebh-wherdfaservices@ec.gc.ca with Attn: David Depew (David.Depew@canada.ca) and External Ref "David Depew - AC"</v>
          </cell>
          <cell r="U42">
            <v>103177</v>
          </cell>
        </row>
        <row r="43">
          <cell r="A43" t="str">
            <v>1022-001</v>
          </cell>
          <cell r="B43" t="str">
            <v>David Haight</v>
          </cell>
          <cell r="C43" t="str">
            <v>David</v>
          </cell>
          <cell r="D43" t="str">
            <v>lab coordinator</v>
          </cell>
          <cell r="E43" t="str">
            <v>Lethbridge College</v>
          </cell>
          <cell r="F43" t="str">
            <v>Lethbridge College</v>
          </cell>
          <cell r="G43" t="str">
            <v>3000 College Drive South</v>
          </cell>
          <cell r="H43" t="str">
            <v>PA1155</v>
          </cell>
          <cell r="I43" t="str">
            <v>Shipping &amp; Receiving</v>
          </cell>
          <cell r="J43" t="str">
            <v>Lethbridge</v>
          </cell>
          <cell r="K43" t="str">
            <v>AB</v>
          </cell>
          <cell r="L43" t="str">
            <v>T1K 1L6</v>
          </cell>
          <cell r="M43" t="str">
            <v>Canada</v>
          </cell>
          <cell r="N43" t="str">
            <v>403-320-3202 x5594</v>
          </cell>
          <cell r="P43" t="str">
            <v>david.haight@lethbridgecollege.ca</v>
          </cell>
          <cell r="Q43" t="str">
            <v>David Haight, Lethbridge College, c/o Shipping &amp; Receiving – PA1155, 3000 College Drive South, Lethbridge, AB T1K 1L6 
Tel: 403-320-3202 x5594; Email: david.haight@lethbridgecollege.ca</v>
          </cell>
          <cell r="R43" t="str">
            <v>CA</v>
          </cell>
          <cell r="S43" t="str">
            <v>Lethbridge College, 3000 College Drive South, Lethbridge, AB  T1K 1L6; Email: Accountspayable@lethbridgecollege.ca</v>
          </cell>
          <cell r="T43" t="str">
            <v>email invoice to Accounts Payable at:  Accountspayable@lethbridgecollege.ca</v>
          </cell>
          <cell r="U43">
            <v>105436</v>
          </cell>
        </row>
        <row r="44">
          <cell r="A44" t="str">
            <v>1034-003</v>
          </cell>
          <cell r="B44" t="str">
            <v>David Janz</v>
          </cell>
          <cell r="C44" t="str">
            <v>David</v>
          </cell>
          <cell r="D44" t="str">
            <v>Professor</v>
          </cell>
          <cell r="E44" t="str">
            <v>University of Saskatchewan</v>
          </cell>
          <cell r="F44" t="str">
            <v>U of Saskatchewan</v>
          </cell>
          <cell r="G44" t="str">
            <v>44 Campus Drive</v>
          </cell>
          <cell r="H44" t="str">
            <v>Toxicology Centre</v>
          </cell>
          <cell r="I44" t="str">
            <v>-</v>
          </cell>
          <cell r="J44" t="str">
            <v>Saskatoon</v>
          </cell>
          <cell r="K44" t="str">
            <v>SK</v>
          </cell>
          <cell r="L44" t="str">
            <v>S7N 5B3</v>
          </cell>
          <cell r="M44" t="str">
            <v>Canada</v>
          </cell>
          <cell r="N44" t="str">
            <v>306-966-7434
Main Office: 306-966-7441</v>
          </cell>
          <cell r="P44" t="str">
            <v>david.janz@usask.ca</v>
          </cell>
          <cell r="Q44" t="str">
            <v>Katherine Raes, University of Saskatchewan, Toxicology Centre, 44 Campus Drive, Saskatoon, SK S7N 5B3
Office: 306-966-2795, Cell: 306-850-4100, Main Office: 306-966-7441; Email: katherine.raes@usask.ca, Alternate email: kar425@mail.usask.ca
FOR: David Janz (Department of Veterinary Biomedical Sciences); Tel: 306-966-7434; Email: david.janz@usask.ca</v>
          </cell>
          <cell r="R44" t="str">
            <v>CA</v>
          </cell>
          <cell r="S44" t="str">
            <v>University of Saskatchewan, ConnectionPoint, Arts Building, Rm 258, Saskatoon, SK  S7N 5A7; Email: connectionpoint@usask.ca</v>
          </cell>
          <cell r="T44" t="str">
            <v>Email invoice to Katherine Raes (Toxicology Centre) at: connectionpoint@usask.ca with reference to David Janz
Purchaser: Katherine Raes</v>
          </cell>
          <cell r="U44">
            <v>103813</v>
          </cell>
        </row>
        <row r="45">
          <cell r="A45" t="str">
            <v>N/A</v>
          </cell>
          <cell r="B45" t="str">
            <v>Debora Andrade Pereira</v>
          </cell>
          <cell r="C45" t="str">
            <v>Debora</v>
          </cell>
          <cell r="D45" t="str">
            <v>Supervisor: Kim Cuddington</v>
          </cell>
          <cell r="E45" t="str">
            <v>University of Waterloo</v>
          </cell>
          <cell r="F45" t="str">
            <v>UWaterloo</v>
          </cell>
          <cell r="G45" t="str">
            <v>200 University Ave W</v>
          </cell>
          <cell r="H45" t="str">
            <v>Biology, B2-241</v>
          </cell>
          <cell r="I45" t="str">
            <v>-</v>
          </cell>
          <cell r="J45" t="str">
            <v>Waterloo</v>
          </cell>
          <cell r="K45" t="str">
            <v>ON</v>
          </cell>
          <cell r="L45" t="str">
            <v>N2L 3G1</v>
          </cell>
          <cell r="M45" t="str">
            <v>Canada</v>
          </cell>
          <cell r="N45" t="str">
            <v>Kim's Lab: 519-888-4567 x 31084</v>
          </cell>
          <cell r="O45" t="str">
            <v>519-746-0614</v>
          </cell>
          <cell r="P45" t="str">
            <v>d4andradepereira@uwaterloo.ca</v>
          </cell>
          <cell r="Q45" t="str">
            <v>Debora Andrade Pereira (Supervisor: Kim Cuddington), University of Waterloo, Biology Department, Room B2-241, 200 University Ave. W, Waterloo ON N2L 3G1
Tel: Kim's Lab: 519-888-4567 x 31084; Fax: 519-746-0614; Email: d4andradepereira@uwaterloo.ca</v>
          </cell>
          <cell r="R45" t="str">
            <v>CA</v>
          </cell>
          <cell r="S45" t="str">
            <v>internal debit memo to Kim Cuddington</v>
          </cell>
          <cell r="T45" t="str">
            <v>internal debit memo given to customer on mmm dd/yy; they returned it on mmm dd/yy; given to Lucy Satora on mmm dd/yy; credited to our account in mmm yyyy</v>
          </cell>
          <cell r="U45" t="str">
            <v>N/A</v>
          </cell>
        </row>
        <row r="46">
          <cell r="A46" t="str">
            <v>1084-001</v>
          </cell>
          <cell r="B46" t="str">
            <v>Derek Kozakiewicz</v>
          </cell>
          <cell r="C46" t="str">
            <v>Derek</v>
          </cell>
          <cell r="D46" t="str">
            <v>Aquatic Toxicology Technologist</v>
          </cell>
          <cell r="E46" t="str">
            <v>Ontario Ministry of the Environment, Conservation &amp; Parks</v>
          </cell>
          <cell r="F46" t="str">
            <v>MECP</v>
          </cell>
          <cell r="G46" t="str">
            <v>125 Resources Rd</v>
          </cell>
          <cell r="H46" t="str">
            <v>Laboratory Service Branch</v>
          </cell>
          <cell r="I46" t="str">
            <v>-</v>
          </cell>
          <cell r="J46" t="str">
            <v>Etobicoke</v>
          </cell>
          <cell r="K46" t="str">
            <v>ON</v>
          </cell>
          <cell r="L46" t="str">
            <v>M9P 3V6</v>
          </cell>
          <cell r="M46" t="str">
            <v>Canada</v>
          </cell>
          <cell r="N46" t="str">
            <v>Cell: 416-705-5649</v>
          </cell>
          <cell r="P46" t="str">
            <v>Derek.Kozakiewicz@ontario.ca</v>
          </cell>
          <cell r="Q46" t="str">
            <v>Derek Kozakiewicz, Ontario Ministry of the Environment, Conservation &amp; Parks, Laboratory Services Branch, 125 Resources Rd, Etobicoke, ON  M9P 3V6
Cell: 416-705-5649; Email: Derek.Kozakiewicz@ontario.ca</v>
          </cell>
          <cell r="R46" t="str">
            <v>CG</v>
          </cell>
          <cell r="S46" t="str">
            <v>Ministry of the Environment, Conservation and Parks - Biological Analysis Section, 125 Resources Road, Etobicoke, ON  M9P 3V6; Contact: Cassandra Lofranco, Email: Cassandra.Lofranco@ontario.ca</v>
          </cell>
          <cell r="T46" t="str">
            <v>email invoice to Cassandra Lofranco at: Cassandra.Lofranco@ontario.ca</v>
          </cell>
          <cell r="U46">
            <v>111254</v>
          </cell>
        </row>
        <row r="47">
          <cell r="A47" t="str">
            <v>1011-001</v>
          </cell>
          <cell r="B47" t="str">
            <v>Devin Hughes</v>
          </cell>
          <cell r="C47" t="str">
            <v>Devin</v>
          </cell>
          <cell r="D47" t="str">
            <v>Professor</v>
          </cell>
          <cell r="E47" t="str">
            <v>Concordia University of Edmonton</v>
          </cell>
          <cell r="F47" t="str">
            <v>Concordia U of Edmonton</v>
          </cell>
          <cell r="G47" t="str">
            <v>7128 Ada Blvd.</v>
          </cell>
          <cell r="H47" t="str">
            <v>Biology Dept, Room G109</v>
          </cell>
          <cell r="I47" t="str">
            <v>-</v>
          </cell>
          <cell r="J47" t="str">
            <v>Edmonton</v>
          </cell>
          <cell r="K47" t="str">
            <v>AB</v>
          </cell>
          <cell r="L47" t="str">
            <v>T5B 4E4</v>
          </cell>
          <cell r="M47" t="str">
            <v>Canada</v>
          </cell>
          <cell r="N47" t="str">
            <v>780-479-9361</v>
          </cell>
          <cell r="O47" t="str">
            <v>780-474-1933</v>
          </cell>
          <cell r="P47" t="str">
            <v>devin.hughes@concordia.ab.ca</v>
          </cell>
          <cell r="Q47" t="str">
            <v>Devin Hughes, Concordia University of Edmonton, Biology Department, Room G109, 7128 Ada Blvd., Edmonton, AB  T5B 4E4
Tel: 780-479-9361; Fax: 780-474-1933; Email: devin.hughes@concordia.ab.ca</v>
          </cell>
          <cell r="R47" t="str">
            <v>CA</v>
          </cell>
          <cell r="S47" t="str">
            <v>Concordia University of Edmonton, 7128 Ada Blvd, Edmonton, AB T5B 4E4; Email: accountspayable@concordia.ab.ca</v>
          </cell>
          <cell r="T47" t="str">
            <v>email invoice to accountspayable@concordia.ab.ca with request to forward it to Devin Hughes (devin.hughes@concordia.ab.ca) for credit card payment 
invoices are currently being mailed via Canada Post to Attn: Accounts Payable (include contact name and PO#)</v>
          </cell>
          <cell r="U47">
            <v>103059</v>
          </cell>
        </row>
        <row r="48">
          <cell r="A48" t="str">
            <v>1060-001</v>
          </cell>
          <cell r="B48" t="str">
            <v>Dirk Wallschläger</v>
          </cell>
          <cell r="C48" t="str">
            <v>Dirk</v>
          </cell>
          <cell r="D48" t="str">
            <v>Professor</v>
          </cell>
          <cell r="E48" t="str">
            <v>Wilfrid Laurier University</v>
          </cell>
          <cell r="F48" t="str">
            <v>Wilfrid Laurier U</v>
          </cell>
          <cell r="G48" t="str">
            <v>230 Regina St N
OR
75 University Ave W</v>
          </cell>
          <cell r="H48" t="str">
            <v>Chem &amp; Biochem Dept</v>
          </cell>
          <cell r="I48" t="str">
            <v>-</v>
          </cell>
          <cell r="J48" t="str">
            <v>Waterloo</v>
          </cell>
          <cell r="K48" t="str">
            <v>ON</v>
          </cell>
          <cell r="L48" t="str">
            <v>N2J 3B6 
OR 
N2L 3C5</v>
          </cell>
          <cell r="M48" t="str">
            <v>Canada</v>
          </cell>
          <cell r="P48" t="str">
            <v>dwallschlager@wlu.ca</v>
          </cell>
          <cell r="Q48" t="str">
            <v>Wilfrid Laurier University, Chemistry &amp; Biochemistry Department, 230 Regina St N, Waterloo, ON N2J 3B6
OR
Wilfrid Laurier University, Chemistry &amp; Biochemistry Department, 75 University Ave W, Waterloo, ON, N2L 3C5</v>
          </cell>
          <cell r="R48" t="str">
            <v>CA</v>
          </cell>
          <cell r="S48" t="str">
            <v>Accounts Payable, Wilfrid Laurier University, 75 University Ave. W., Waterloo ON  N2L 3C5; Email: acctpay@wlu.ca</v>
          </cell>
          <cell r="T48" t="str">
            <v>email invoice to Accounts Payable at: acctpay@wlu.ca</v>
          </cell>
          <cell r="U48">
            <v>103894</v>
          </cell>
        </row>
        <row r="49">
          <cell r="A49" t="str">
            <v>1025-002</v>
          </cell>
          <cell r="B49" t="str">
            <v>Ditty Kakkassery</v>
          </cell>
          <cell r="C49" t="str">
            <v>Ditty</v>
          </cell>
          <cell r="D49" t="str">
            <v>Supervisor, Biologist (Primary point of contact as of Sep 2024)</v>
          </cell>
          <cell r="E49" t="str">
            <v>Nautilus Environmental Company Inc. - Burnaby</v>
          </cell>
          <cell r="F49" t="str">
            <v>Nautilus Env - Burnaby</v>
          </cell>
          <cell r="G49" t="str">
            <v>8664 Commerce Court</v>
          </cell>
          <cell r="H49" t="str">
            <v>-</v>
          </cell>
          <cell r="I49" t="str">
            <v>-</v>
          </cell>
          <cell r="J49" t="str">
            <v>Burnaby</v>
          </cell>
          <cell r="K49" t="str">
            <v>BC</v>
          </cell>
          <cell r="L49" t="str">
            <v>V5A 4N7</v>
          </cell>
          <cell r="M49" t="str">
            <v>Canada</v>
          </cell>
          <cell r="N49" t="str">
            <v>604-420-8773 x7101</v>
          </cell>
          <cell r="O49" t="str">
            <v>604-357-1361</v>
          </cell>
          <cell r="P49" t="str">
            <v>ditty@nautilusenvironmental.ca</v>
          </cell>
          <cell r="Q49" t="str">
            <v>Ditty Kakkassery, Nautilus Environmental Company Inc., 8664 Commerce Court, Burnaby, BC V5A 4N7
Tel: 604-420-8773 x7101; Fax: 604-357-1361; Email: ditty@nautilusenvironmental.ca
(Alternate designates as of Sep 2024: Tiffany Lam (tlam@nautilusenvironmental.ca), Anqi Yuan (ayuan@nautilusenvironmental.ca), Kiyeon Lee (klee@nautilusenvironmental.ca) - assign customer numbers to them if they ever place an order)</v>
          </cell>
          <cell r="R49" t="str">
            <v>CC</v>
          </cell>
          <cell r="S49" t="str">
            <v>Attn: Accounts Payable, Nautilus Environmental, 8664 Commerce Court, Burnaby, BC V5A 4N7, Email: accounting@nautilusenvironmental.ca
Email: bcinfo@nautilusenvironmental.ca</v>
          </cell>
          <cell r="T49" t="str">
            <v>Provide taxonomic certificates
Ship via Purolator Express
Email invoice to Accounts Payable at: accounting@nautilusenvironmental.ca
email invoice to Accounts Payable at: bcinfo@nautilusenvironmental.ca</v>
          </cell>
          <cell r="U49">
            <v>103484</v>
          </cell>
        </row>
        <row r="50">
          <cell r="A50" t="str">
            <v>1004-001</v>
          </cell>
          <cell r="B50" t="str">
            <v>Donald Lai</v>
          </cell>
          <cell r="C50" t="str">
            <v>Donald</v>
          </cell>
          <cell r="D50" t="str">
            <v>Director: Pam Howes</v>
          </cell>
          <cell r="E50" t="str">
            <v>Bureau Veritas Laboratories - Burnaby</v>
          </cell>
          <cell r="F50" t="str">
            <v>BV Labs - Burnaby</v>
          </cell>
          <cell r="G50" t="str">
            <v>4606 Canada Way</v>
          </cell>
          <cell r="H50" t="str">
            <v>Ecotoxicology Dept</v>
          </cell>
          <cell r="I50" t="str">
            <v>-</v>
          </cell>
          <cell r="J50" t="str">
            <v>Burnaby</v>
          </cell>
          <cell r="K50" t="str">
            <v>BC</v>
          </cell>
          <cell r="L50" t="str">
            <v>V5G 1K5</v>
          </cell>
          <cell r="M50" t="str">
            <v>Canada</v>
          </cell>
          <cell r="N50" t="str">
            <v>604-734-7276 x 706-2240</v>
          </cell>
          <cell r="O50" t="str">
            <v>604-731-2386</v>
          </cell>
          <cell r="P50" t="str">
            <v>donald.lai@bureauveritas.com</v>
          </cell>
          <cell r="Q50" t="str">
            <v>Donald Lai (Director: Pam Howes), Bureau Veritas Laboratories, Ecotoxicology Department, 4606 Canada Way, Burnaby BC  V5G 1K5
Tel: 604-734-7276 x 706-2240; Fax: 604-731-2386; Email: donald.lai@bureauveritas.com</v>
          </cell>
          <cell r="R50" t="str">
            <v>CC</v>
          </cell>
          <cell r="S50" t="str">
            <v>Attn: Accounts Payable, Bureau Veritas Canada (2019) Inc., 500 - 1919 Minnesota Court, Mississauga ON L5N 0C9; Email: AP.865.INV.SUBMIT@bureauveritas.com (For A/P inquiries, please email vendorspecialist@bureauveritas.com) 
Email: accounts.payable@bvlabs.com</v>
          </cell>
          <cell r="T50" t="str">
            <v>shipment may be sent collect via FedEx account #112280820 or collect via UPS account #530EY0 as per customer request.
email invoice to Accounts Payable at: AP.865.INV.SUBMIT@bureauveritas.com
email invoice to Accounts Payable at: accounts.payable@bvlabs.com
Reference Pam Howes/Donald Lai (Burnaby Ecotox Group) &amp; PO if provided</v>
          </cell>
          <cell r="U50">
            <v>103380</v>
          </cell>
        </row>
        <row r="51">
          <cell r="A51" t="str">
            <v>N/A</v>
          </cell>
          <cell r="B51" t="str">
            <v>Dongling Zhao</v>
          </cell>
          <cell r="C51" t="str">
            <v>Dongling</v>
          </cell>
          <cell r="D51" t="str">
            <v>Technician
Supervisor: Carlos Cruz</v>
          </cell>
          <cell r="E51" t="str">
            <v>University of Toronto</v>
          </cell>
          <cell r="F51" t="str">
            <v>U of Toronto</v>
          </cell>
          <cell r="G51" t="str">
            <v>25 Harbord Street</v>
          </cell>
          <cell r="H51" t="str">
            <v>Ramsay Wright, RW136</v>
          </cell>
          <cell r="I51" t="str">
            <v>-</v>
          </cell>
          <cell r="J51" t="str">
            <v>Toronto</v>
          </cell>
          <cell r="K51" t="str">
            <v>ON</v>
          </cell>
          <cell r="L51" t="str">
            <v>M5S 3G5</v>
          </cell>
          <cell r="M51" t="str">
            <v>Canada</v>
          </cell>
          <cell r="N51" t="str">
            <v>416-978-2508</v>
          </cell>
          <cell r="P51" t="str">
            <v>dongling.zhao@utoronto.ca</v>
          </cell>
          <cell r="Q51" t="str">
            <v>Dongling Zhao (Supervisor: Carlos Cruz), University of Toronto, Ramsay Wright, RW136, 25 Harbord Street, Toronto ON M5S 3G5
Tel: 416-978-2508; Email: dongling.zhao@utoronto.ca
OR
Dongling Zhao (Supervisor: Carlos Cruz), University of Toronto, Earth Science Centre, EEB Reception, ESC3055, 25 Willcocks Street, Toronto ON M5S 3B2
Tel: 416-978-2508; Email: dongling.zhao@utoronto.ca</v>
          </cell>
          <cell r="R51" t="str">
            <v>CA</v>
          </cell>
          <cell r="S51" t="str">
            <v>Robbie Brar, University of Toronto - Dept of Ecology and Evolutionary Biology, 25 Willcocks Street, Toronto ON M5S 3B2; Tel: 416-978-3248, Fax: 416-978-5878, Email: robbie.brar@utoronto.ca</v>
          </cell>
          <cell r="T51" t="str">
            <v>for BIO 150
pick up or ship via FedEx!
email invoice to Robbie Brar/Dongling Zhao at: eeb.reception@utoronto.ca</v>
          </cell>
          <cell r="U51">
            <v>103819</v>
          </cell>
        </row>
        <row r="52">
          <cell r="A52" t="str">
            <v>1027-001</v>
          </cell>
          <cell r="B52" t="str">
            <v>Edyta Pasiak</v>
          </cell>
          <cell r="C52" t="str">
            <v>Edyta</v>
          </cell>
          <cell r="D52" t="str">
            <v>Senior Biologist</v>
          </cell>
          <cell r="E52" t="str">
            <v>Nautilus Environmental Company Inc. - Point Edward</v>
          </cell>
          <cell r="F52" t="str">
            <v>Nautilus Env - Point Edward</v>
          </cell>
          <cell r="G52" t="str">
            <v>704 Mara St.</v>
          </cell>
          <cell r="H52" t="str">
            <v>Suite 122</v>
          </cell>
          <cell r="I52" t="str">
            <v>-</v>
          </cell>
          <cell r="J52" t="str">
            <v>Point Edward</v>
          </cell>
          <cell r="K52" t="str">
            <v>ON</v>
          </cell>
          <cell r="L52" t="str">
            <v>N7V 1X4</v>
          </cell>
          <cell r="M52" t="str">
            <v>Canada</v>
          </cell>
          <cell r="N52" t="str">
            <v>519-339-8787</v>
          </cell>
          <cell r="O52" t="str">
            <v>519-336-6965
Alternate Email:
dyniu@hotmail.com</v>
          </cell>
          <cell r="P52" t="str">
            <v>edyta@nautilusenvironmental.ca</v>
          </cell>
          <cell r="Q52" t="str">
            <v>Edyta Pasiak, Nautilus Environmental Company Inc., 704 Mara St., Suite 122, Point Edward ON N7V 1X4
Tel: 519-339-8787; Fax: 519-336-6965; Email: edyta@nautilusenvironmental.ca; Alternate Email: dyniu@hotmail.com
(Formerly Pollutech Enviroquatics)</v>
          </cell>
          <cell r="R52" t="str">
            <v>CC</v>
          </cell>
          <cell r="S52" t="str">
            <v>Attn: Accounts Payable, Nautilus Environmental - Point Edward, 704 Mara St., Suite 122, Point Edward ON N7V 1X4; Email: accounting@nautilusenvironmental.ca
Email: abaccounts@nautilusenvironmental.ca
email invoice to Accounts Payable, Pollutech Enviroquatics Ltd., 704 Mara St., Suite 122, Point Edward ON N7V 1X4, Tel: 519-339-8787, Fax: 519-336-6965, Email: admin@pollutechgroup.com; website: www.pollutechgroup.com (contact in Sharepoint: Jill Ulrich; Email: JUlrich@pollutechgroup.com)</v>
          </cell>
          <cell r="T52" t="str">
            <v>uses a PO#
ship via Purolator
email invoice to Accounts Payable at: accounting@nautilusenvironmental.ca
email invoice to Accounts Payable/Katherine Martens at: abaccounts@nautilusenvironmental.ca
email invoice to Accounts Payable at: admin@pollutechgroup.com</v>
          </cell>
          <cell r="U52">
            <v>103547</v>
          </cell>
        </row>
        <row r="53">
          <cell r="A53" t="str">
            <v>N/A</v>
          </cell>
          <cell r="B53" t="str">
            <v>Elisabeth Wistaff-Lalande</v>
          </cell>
          <cell r="C53" t="str">
            <v>Elisabeth</v>
          </cell>
          <cell r="D53" t="str">
            <v>Biology technician for Francois Fournier</v>
          </cell>
          <cell r="E53" t="str">
            <v>College Montmorency</v>
          </cell>
          <cell r="F53" t="str">
            <v>College Montmorency</v>
          </cell>
          <cell r="G53" t="str">
            <v>475 boulevard de L’Avenir</v>
          </cell>
          <cell r="H53" t="str">
            <v>Departement de Biologie</v>
          </cell>
          <cell r="I53" t="str">
            <v>-</v>
          </cell>
          <cell r="J53" t="str">
            <v>Laval</v>
          </cell>
          <cell r="K53" t="str">
            <v>QC</v>
          </cell>
          <cell r="L53" t="str">
            <v>H7N 5H9</v>
          </cell>
          <cell r="M53" t="str">
            <v>Canada</v>
          </cell>
          <cell r="N53" t="str">
            <v>450-975-6100 x6903</v>
          </cell>
          <cell r="P53" t="str">
            <v>Elisabeth.Wistaff-Lalande@cmontmorency.qc.ca</v>
          </cell>
          <cell r="Q53" t="str">
            <v>Reception de marchandises, Collège Montmorency, 475 boulevard de L’Avenir, Département de Biologie, Laval, QC  H7N 5H9 
Tel: 450-975-6100 x6159; Purchasing Email: soumission@cmontmorency.qc.ca
FOR: Elisabeth Wistaff-Lalande (Biology technician for Francois Fournier); Tel: 450-975-6100 x6903; Email: Elisabeth.Wistaff-Lalande@cmontmorency.qc.ca</v>
          </cell>
          <cell r="R53" t="str">
            <v>CA</v>
          </cell>
          <cell r="S53" t="str">
            <v>College Montmorency, 475 boulevard de L’Avenir, Laval, QC H7N 5H9; Email: cap@cmontmorency.qc.ca</v>
          </cell>
          <cell r="T53" t="str">
            <v>email invoice to Comptes Payables at: cap@cmontmorency.qc.ca</v>
          </cell>
          <cell r="U53">
            <v>111525</v>
          </cell>
        </row>
        <row r="54">
          <cell r="A54" t="str">
            <v>1039-001</v>
          </cell>
          <cell r="B54" t="str">
            <v>Ellen Fanning</v>
          </cell>
          <cell r="C54" t="str">
            <v>Ellen</v>
          </cell>
          <cell r="D54" t="str">
            <v>Supervisor – Fish Health, Toxicology, Taxonomy &amp; Biodiversity</v>
          </cell>
          <cell r="E54" t="str">
            <v>Huntsman Marine Science Centre</v>
          </cell>
          <cell r="F54" t="str">
            <v>Huntsman Marine Sci Centre</v>
          </cell>
          <cell r="G54" t="str">
            <v>1 Lower Campus Road</v>
          </cell>
          <cell r="H54" t="str">
            <v>Aquatic Services Dept</v>
          </cell>
          <cell r="I54" t="str">
            <v>-</v>
          </cell>
          <cell r="J54" t="str">
            <v>Saint Andrews</v>
          </cell>
          <cell r="K54" t="str">
            <v>NB</v>
          </cell>
          <cell r="L54" t="str">
            <v>E5B 2L7</v>
          </cell>
          <cell r="M54" t="str">
            <v>Canada</v>
          </cell>
          <cell r="N54" t="str">
            <v>506-529-1200</v>
          </cell>
          <cell r="P54" t="str">
            <v>ellen.fanning@huntsmanmarine.ca</v>
          </cell>
          <cell r="Q54" t="str">
            <v>Ellen Fanning (Supervisor – Fish Health, Toxicology, Taxonomy &amp; Biodiversity), Huntsman Marine Science Centre, Aquatic Services Department, 1 Lower Campus Road, Saint Andrews, NB  E5B 2L7
Tel: 506-529-1200; Email: ellen.fanning@huntsmanmarine.ca
Purchaser Contact Info: Purchasing; Tel: 506-529-1260; Fax: 506-529-1212; Email: purchasing@huntsmanmarine.ca</v>
          </cell>
          <cell r="R54" t="str">
            <v>CA</v>
          </cell>
          <cell r="S54" t="str">
            <v>Huntsman Marine Science Centre, 1 Lower Campus Road, St. Andrews, NB  E5B 2L7; Contact: Debbie Voutt (Intermediate Accountant), Tel: 506-529-1200 or 506-529-1232, Email: debbie.voutt@huntsmanmarine.ca</v>
          </cell>
          <cell r="T54" t="str">
            <v>Uses a PO
Email invoice to Accounts Payable at: accounting@huntsmanmarine.ca and reference Ellen Fanning (Need to request that UWaterloo Finance unpark this customer before use and then notify them when they can park them again.)
Email invoice to Debbie Voutt at: debbie.voutt@huntsmanmarine.ca</v>
          </cell>
          <cell r="U54">
            <v>106159</v>
          </cell>
        </row>
        <row r="55">
          <cell r="A55" t="str">
            <v>N/A</v>
          </cell>
          <cell r="B55" t="str">
            <v>Elyse Jacqueline Walk Batista</v>
          </cell>
          <cell r="C55" t="str">
            <v>Elyse</v>
          </cell>
          <cell r="D55" t="str">
            <v>Supervisor: Monica Emelko (previously was Kirsten Muller</v>
          </cell>
          <cell r="E55" t="str">
            <v>University of Waterloo</v>
          </cell>
          <cell r="F55" t="str">
            <v>UWaterloo</v>
          </cell>
          <cell r="G55" t="str">
            <v>200 University Ave W</v>
          </cell>
          <cell r="H55" t="str">
            <v>Civil &amp; Env Eng, DWE 2407</v>
          </cell>
          <cell r="I55" t="str">
            <v>-</v>
          </cell>
          <cell r="J55" t="str">
            <v>Waterloo</v>
          </cell>
          <cell r="K55" t="str">
            <v>ON</v>
          </cell>
          <cell r="L55" t="str">
            <v>N2L 3G1</v>
          </cell>
          <cell r="M55" t="str">
            <v>Canada</v>
          </cell>
          <cell r="N55" t="str">
            <v>Cell: 519-546-7569</v>
          </cell>
          <cell r="P55" t="str">
            <v>ejwbatista@uwaterloo.ca</v>
          </cell>
          <cell r="Q55" t="str">
            <v>University of Waterloo, Department of Civil and Environmental Engineering, DWE 2407, 200 University Avenue W, Waterloo, ON  N2L 3G1</v>
          </cell>
          <cell r="R55" t="str">
            <v>CA</v>
          </cell>
          <cell r="S55" t="str">
            <v>internal debit memo</v>
          </cell>
          <cell r="T55" t="str">
            <v>internal debit memo given to client on mmm dd/yy; they returned it on mmm dd/yy; given to Lucy Satora on mmm dd/yy; credited to our account in mmm yyyy</v>
          </cell>
          <cell r="U55" t="str">
            <v>N/A</v>
          </cell>
        </row>
        <row r="56">
          <cell r="A56" t="str">
            <v>1037-007</v>
          </cell>
          <cell r="B56" t="str">
            <v>Emilie Spasov</v>
          </cell>
          <cell r="C56" t="str">
            <v>Emilie</v>
          </cell>
          <cell r="D56" t="str">
            <v>Laboratory Technician</v>
          </cell>
          <cell r="E56" t="str">
            <v>University of Waterloo</v>
          </cell>
          <cell r="F56" t="str">
            <v>UWaterloo</v>
          </cell>
          <cell r="G56" t="str">
            <v>200 University Ave W</v>
          </cell>
          <cell r="H56" t="str">
            <v>Biology, B2-147</v>
          </cell>
          <cell r="I56" t="str">
            <v>-</v>
          </cell>
          <cell r="J56" t="str">
            <v>Waterloo</v>
          </cell>
          <cell r="K56" t="str">
            <v>ON</v>
          </cell>
          <cell r="L56" t="str">
            <v>N2L 3G1</v>
          </cell>
          <cell r="M56" t="str">
            <v>Canada</v>
          </cell>
          <cell r="N56" t="str">
            <v>519-888-4567 x 36420</v>
          </cell>
          <cell r="O56" t="str">
            <v>519-746-0614</v>
          </cell>
          <cell r="P56" t="str">
            <v>espasov@uwaterloo.ca</v>
          </cell>
          <cell r="Q56" t="str">
            <v>Emilie Spasov, University of Waterloo, Biology Department, B2-147, 200 University Ave W, Waterloo, ON N2L 3G1
Tel: 519-888-4567 x 36420; Fax: 519-746-0614; Email: espasov@uwaterloo.ca</v>
          </cell>
          <cell r="R56" t="str">
            <v>CA</v>
          </cell>
          <cell r="S56" t="str">
            <v>internal supply exchange</v>
          </cell>
          <cell r="T56" t="str">
            <v>Services provided to another Operating account within Biology, therefore, a supply exchange will be arranged in the amount of $xxx (50% of the regular non-profit pricing).</v>
          </cell>
          <cell r="U56" t="str">
            <v>N/A</v>
          </cell>
        </row>
        <row r="57">
          <cell r="A57" t="str">
            <v>N/A</v>
          </cell>
          <cell r="B57" t="str">
            <v>Emily Hallett</v>
          </cell>
          <cell r="C57" t="str">
            <v>Emmy</v>
          </cell>
          <cell r="D57" t="str">
            <v>Supervisor: Jerome Comte</v>
          </cell>
          <cell r="E57" t="str">
            <v>Institut National de la Recherche Scientifique (INRS) - Eau Terre Environnement (ETE)</v>
          </cell>
          <cell r="F57" t="str">
            <v>INRS - ETE</v>
          </cell>
          <cell r="G57" t="str">
            <v>490 rue de la Couronne</v>
          </cell>
          <cell r="H57" t="str">
            <v>-</v>
          </cell>
          <cell r="I57" t="str">
            <v>-</v>
          </cell>
          <cell r="J57" t="str">
            <v>Quebec</v>
          </cell>
          <cell r="K57" t="str">
            <v>QC</v>
          </cell>
          <cell r="L57" t="str">
            <v>G1K 9A9</v>
          </cell>
          <cell r="M57" t="str">
            <v>Canada</v>
          </cell>
          <cell r="N57" t="str">
            <v>815-262-4805</v>
          </cell>
          <cell r="P57" t="str">
            <v>Emily.Hallett@inrs.ca</v>
          </cell>
          <cell r="Q57" t="str">
            <v>Christophe Langevin/Jerome Comte, Institut National de la Recherche Scientifique, Eau Terre Environnement (INRS- ETE), 490 rue de la Couronne, Quebec, QC G1K 9A9 
Tel: 438-822-1851 (Christophe), 418-654-2591 (Jerome); Email: Christophe.Langevin@inrs.ca (Christophe), jerome.comte@inrs.ca (Jerome)
FOR: Emily Hallett (Supervisor: Jerome Comte), Tel: 815-262-4805; Email: Emily.Hallett@inrs.ca
(INRS is part of Universite du Quebec)</v>
          </cell>
          <cell r="R57" t="str">
            <v>CA</v>
          </cell>
          <cell r="S57" t="str">
            <v>Institut National de la Recherche Scientifique (INRS) - Administration, 490 rue de la Couronne, Quebec, QC G1K 9A9; Attn: Comptes Payables, Email: cap@inrs.ca (comptesapayer@adm.inrs.ca)</v>
          </cell>
          <cell r="T57" t="str">
            <v>Should arrive next day but sometimes takes 2 days…even if paying for Purolator Express 10:30AM
requires a quote &amp; uses a PO
email invoice to Comptes Payables at: cap@inrs.ca
email invoice to Comptes Payables at: comptesapayer@adm.inrs.ca</v>
          </cell>
          <cell r="U57">
            <v>104897</v>
          </cell>
        </row>
        <row r="58">
          <cell r="A58" t="str">
            <v>N/A</v>
          </cell>
          <cell r="B58" t="str">
            <v>Emily Suominen</v>
          </cell>
          <cell r="C58" t="str">
            <v>Emily</v>
          </cell>
          <cell r="D58" t="str">
            <v>Works with Gauri Prabhakar &amp; Carrie Rickwood</v>
          </cell>
          <cell r="E58" t="str">
            <v>Natural Resources Canada – CanmetMINING LMS Environmental Risk Management Program Ottawa</v>
          </cell>
          <cell r="F58" t="str">
            <v>Natural Resources Canada</v>
          </cell>
          <cell r="G58" t="str">
            <v>555 Booth Street</v>
          </cell>
          <cell r="H58" t="str">
            <v>CanmetMINING</v>
          </cell>
          <cell r="I58" t="str">
            <v>-</v>
          </cell>
          <cell r="J58" t="str">
            <v>Ottawa</v>
          </cell>
          <cell r="K58" t="str">
            <v>ON</v>
          </cell>
          <cell r="L58" t="str">
            <v>K1A 0G1</v>
          </cell>
          <cell r="M58" t="str">
            <v>Canada</v>
          </cell>
          <cell r="N58" t="str">
            <v>343-574-0630</v>
          </cell>
          <cell r="P58" t="str">
            <v>Emily.Suominen@nrcan-rncan.gc.ca</v>
          </cell>
          <cell r="Q58" t="str">
            <v>Emily Suominen, Natural Resources Canada – CanmetMINING LMS Environmental Risk Management Program Ottawa, 555 Booth Street, Ottawa, ON K1A 0G1
Tel: 343-574-0630; Email: Emily.Suominen@nrcan-rncan.gc.ca
(Works with Gauri Prabhakar &amp; Carrie Rickwood)</v>
          </cell>
          <cell r="R58" t="str">
            <v>CG</v>
          </cell>
          <cell r="S58" t="str">
            <v>Natural Resources Canada – CanmetMINING LMS Environmental Risk Management Program Ottawa, 555 Booth Street, Ottawa, ON  K1A 0G1; Contact: Gauri Prabhakar, Tel: 343-574-1418, Email: gauri.prabhakar@NRCan-RNCan.gc.ca</v>
          </cell>
          <cell r="T58" t="str">
            <v>email invoice to Gauri Prabhakar at: gauri.prabhakar@NRCan-RNCan.gc.ca</v>
          </cell>
          <cell r="U58">
            <v>104318</v>
          </cell>
        </row>
        <row r="59">
          <cell r="A59" t="str">
            <v>N/A</v>
          </cell>
          <cell r="B59" t="str">
            <v>Flavie Desreac</v>
          </cell>
          <cell r="C59" t="str">
            <v>Flavie</v>
          </cell>
          <cell r="D59" t="str">
            <v>Supervisor: Claude Fortin</v>
          </cell>
          <cell r="E59" t="str">
            <v>Institut National de la Recherche Scientifique (INRS) - Eau Terre Environnement (ETE)</v>
          </cell>
          <cell r="F59" t="str">
            <v>INRS - ETE</v>
          </cell>
          <cell r="G59" t="str">
            <v>490 rue de la Couronne</v>
          </cell>
          <cell r="H59" t="str">
            <v>-</v>
          </cell>
          <cell r="I59" t="str">
            <v>-</v>
          </cell>
          <cell r="J59" t="str">
            <v>Quebec</v>
          </cell>
          <cell r="K59" t="str">
            <v>QC</v>
          </cell>
          <cell r="L59" t="str">
            <v>G1K 9A9</v>
          </cell>
          <cell r="M59" t="str">
            <v>Canada</v>
          </cell>
          <cell r="N59" t="str">
            <v>418-654-3761</v>
          </cell>
          <cell r="P59" t="str">
            <v>Flavie.DESREAC@inrs.ca</v>
          </cell>
          <cell r="Q59" t="str">
            <v>Kim Racine, Institut National de la Recherche Scientifique, Eau Terre Environnement (INRS- ETE), 490 rue de la Couronne, Quebec, QC G1K 9A9
Tel: 418-654-3766; Email: Kim.Racine@inrs.ca
FOR: Flavie Desreac (Supervisor: Claude Fortin); Tel: 418-654-3761; Email: Flavie.DESREAC@inrs.ca
(INRS is part of Universite du Quebec)</v>
          </cell>
          <cell r="R59" t="str">
            <v>CA</v>
          </cell>
          <cell r="S59" t="str">
            <v>Institut National de la Recherche Scientifique (INRS) - Administration, 490 rue de la Couronne, Quebec, QC G1K 9A9; Attn: Comptes Payables, Email: cap@inrs.ca (comptesapayer@adm.inrs.ca)</v>
          </cell>
          <cell r="T59" t="str">
            <v>Should arrive next day but sometimes takes 2 days…even if paying for Purolator Express 10:30AM
requires a quote &amp; uses a PO
email invoice to Comptes Payables at: cap@inrs.ca
email invoice to Comptes Payables at: comptesapayer@adm.inrs.ca</v>
          </cell>
          <cell r="U59">
            <v>104897</v>
          </cell>
        </row>
        <row r="60">
          <cell r="A60" t="str">
            <v>1044-001</v>
          </cell>
          <cell r="B60" t="str">
            <v>Francois Fournier</v>
          </cell>
          <cell r="C60" t="str">
            <v>Francois</v>
          </cell>
          <cell r="D60" t="str">
            <v>Biology professor</v>
          </cell>
          <cell r="E60" t="str">
            <v>College Montmorency</v>
          </cell>
          <cell r="F60" t="str">
            <v>College Montmorency</v>
          </cell>
          <cell r="G60" t="str">
            <v>475 boulevard de L’Avenir</v>
          </cell>
          <cell r="H60" t="str">
            <v>Departement de Biologie</v>
          </cell>
          <cell r="I60" t="str">
            <v>-</v>
          </cell>
          <cell r="J60" t="str">
            <v>Laval</v>
          </cell>
          <cell r="K60" t="str">
            <v>QC</v>
          </cell>
          <cell r="L60" t="str">
            <v>H7N 5H9</v>
          </cell>
          <cell r="M60" t="str">
            <v>Canada</v>
          </cell>
          <cell r="N60" t="str">
            <v>450-975-6100 x6920</v>
          </cell>
          <cell r="P60" t="str">
            <v>Francois.Fournier@cmontmorency.qc.ca</v>
          </cell>
          <cell r="Q60" t="str">
            <v>Reception de marchandises, Collège Montmorency, 475 boulevard de L’Avenir, Département de Biologie, Laval, QC  H7N 5H9 
Tel: 450-975-6100 x6159; Purchasing Email: soumission@cmontmorency.qc.ca
FOR: Francois Fournier (Biology professor); Tel: 450-975-6100 x6920; Email: Francois.Fournier@cmontmorency.qc.ca</v>
          </cell>
          <cell r="R60" t="str">
            <v>CA</v>
          </cell>
          <cell r="S60" t="str">
            <v>College Montmorency, 475 boulevard de L’Avenir, Laval, QC H7N 5H9; Email: cap@cmontmorency.qc.ca</v>
          </cell>
          <cell r="T60" t="str">
            <v>email invoice to Comptes Payables at: cap@cmontmorency.qc.ca</v>
          </cell>
          <cell r="U60">
            <v>111525</v>
          </cell>
        </row>
        <row r="61">
          <cell r="A61" t="str">
            <v>N/A</v>
          </cell>
          <cell r="B61" t="str">
            <v>Frank Saliani</v>
          </cell>
          <cell r="C61" t="str">
            <v>Frank</v>
          </cell>
          <cell r="E61" t="str">
            <v>Nautilus Environmental Company Inc. - Guelph</v>
          </cell>
          <cell r="F61" t="str">
            <v>Nautilus Env - Guelph</v>
          </cell>
          <cell r="G61" t="str">
            <v>B-11 Nicholas Beaver Road</v>
          </cell>
          <cell r="H61" t="str">
            <v>-</v>
          </cell>
          <cell r="I61" t="str">
            <v>-</v>
          </cell>
          <cell r="J61" t="str">
            <v>Puslinch</v>
          </cell>
          <cell r="K61" t="str">
            <v>ON</v>
          </cell>
          <cell r="L61" t="str">
            <v>N0B 2J0</v>
          </cell>
          <cell r="M61" t="str">
            <v>Canada</v>
          </cell>
          <cell r="N61" t="str">
            <v>519-763-4412</v>
          </cell>
          <cell r="O61" t="str">
            <v>519-763-4419</v>
          </cell>
          <cell r="P61" t="str">
            <v>fsaliani@aquatox.ca</v>
          </cell>
          <cell r="Q61" t="str">
            <v>Frank Saliani, Nautilus Environmental Company Inc., B-11 Nicholas Beaver Road, Puslinch ON  N0B 2J0
Tel: 519-763-4412; Fax: 519-763-4419; Email: fsaliani@aquatox.ca
(Lab Manager: Shawna Kirkpatrick, Email: skirkpatrick@aquatox.ca; Purchaser: Martina Rendas, Email: mrendas@aquatox.ca)
(Formerly AquaTox Testing &amp; Consulting Inc.)</v>
          </cell>
          <cell r="R61" t="str">
            <v>CC</v>
          </cell>
          <cell r="S61" t="str">
            <v>Nautilus Environmental - Guelph, B-11 Nicholas Beaver Road, Puslinch ON  N0B 2J0; Tel: 519-763-4412 x304, Fax: 519-763-4419;  Email: accounting@nautilusenvironmental.ca</v>
          </cell>
          <cell r="T61" t="str">
            <v>email invoice to Accounts Payable at: accounting@nautilusenvironmental.ca</v>
          </cell>
          <cell r="U61">
            <v>102886</v>
          </cell>
        </row>
        <row r="62">
          <cell r="A62" t="str">
            <v>1057-001</v>
          </cell>
          <cell r="B62" t="str">
            <v>Frederic Ors</v>
          </cell>
          <cell r="C62" t="str">
            <v>Frederic</v>
          </cell>
          <cell r="D62" t="str">
            <v>CEO of Immunovaccine Inc</v>
          </cell>
          <cell r="E62" t="str">
            <v>Home Address - Ors Residence</v>
          </cell>
          <cell r="F62" t="str">
            <v>Ors Residence</v>
          </cell>
          <cell r="G62" t="str">
            <v>3940 rue Mathieu d'Amours</v>
          </cell>
          <cell r="H62" t="str">
            <v>-</v>
          </cell>
          <cell r="I62" t="str">
            <v>-</v>
          </cell>
          <cell r="J62" t="str">
            <v>Quebec</v>
          </cell>
          <cell r="K62" t="str">
            <v>QC</v>
          </cell>
          <cell r="L62" t="str">
            <v>G1Y 2J8</v>
          </cell>
          <cell r="M62" t="str">
            <v>Canada</v>
          </cell>
          <cell r="N62" t="str">
            <v>418-575-7789</v>
          </cell>
          <cell r="P62" t="str">
            <v>orsfred@gmail.com</v>
          </cell>
          <cell r="Q62" t="str">
            <v>Frederic Ors, Ors Residence, 3940 rue Mathieu d'Amours, Quebec, QC, G1Y 2J8 (home address)
Tel: 418-575-7789; Email: orsfred@gmail.com</v>
          </cell>
          <cell r="R62" t="str">
            <v>CA</v>
          </cell>
          <cell r="S62" t="str">
            <v>Frederic Ors, 3940 rue Mathieu d'Amours, Quebec, QC, G1Y 2J8; Email: orsfred@gmail.com</v>
          </cell>
          <cell r="T62" t="str">
            <v>takes 2 days to arrive…there isn't any next day delivery even by paying for Purolator Express 10:30AM
if shipping via Purolator, just use Express service, not Express 10:30AM (receiver location is not in a Purolator premium service point)
email invoice to Frederic Ors at: orsfred@gmail.com</v>
          </cell>
          <cell r="U62">
            <v>110457</v>
          </cell>
        </row>
        <row r="63">
          <cell r="A63" t="str">
            <v>1009-001</v>
          </cell>
          <cell r="B63" t="str">
            <v>Gabrielle Huppe</v>
          </cell>
          <cell r="C63" t="str">
            <v>Gabrielle</v>
          </cell>
          <cell r="E63" t="str">
            <v>Centre d'Expertise en Analyse Environnementale du Quebec (CEAEQ)</v>
          </cell>
          <cell r="F63" t="str">
            <v>CEAEQ</v>
          </cell>
          <cell r="G63" t="str">
            <v>2700 rue Einstein</v>
          </cell>
          <cell r="H63" t="str">
            <v>Complexe sci (bur B2.320)</v>
          </cell>
          <cell r="I63" t="str">
            <v>Biologie et microbiologie</v>
          </cell>
          <cell r="J63" t="str">
            <v>Quebec</v>
          </cell>
          <cell r="K63" t="str">
            <v>QC</v>
          </cell>
          <cell r="L63" t="str">
            <v>G1P 3W8</v>
          </cell>
          <cell r="M63" t="str">
            <v>Canada</v>
          </cell>
          <cell r="N63" t="str">
            <v>418-643-1301 x 243</v>
          </cell>
          <cell r="O63" t="str">
            <v>418-528-1091;
Alternate Email: dbm@environnement.gouv.qc.ca</v>
          </cell>
          <cell r="P63" t="str">
            <v>gabrielle.huppe@environnement.gouv.qc.ca</v>
          </cell>
          <cell r="Q63" t="str">
            <v>Gabrielle Huppe, Centre d'Expertise en Analyse Environnementale du Quebec (CEAEQ), 2700 rue Einstein, Complexe scientifique (bur. B2.320), Division de biologie et microbiologie, Quebec QC G1P 3W8
Tel: 418-643-1301 x 243; Fax: 418-528-1091; Email: gabrielle.huppe@environnement.gouv.qc.ca; Alternate Email: dbm@environnement.gouv.qc.ca (use this one for shipping)
(CEAEQ is a subsidiary of MELCC = Ministere de l'Environnement et de la lutte contre les changements climatiques)</v>
          </cell>
          <cell r="R63" t="str">
            <v>CG</v>
          </cell>
          <cell r="S63" t="str">
            <v>Attn: Comptes Payables, Centre d'Expertise en Analyse Environnementale du Quebec, Complexe scientifique, 2700 rue Einstein, Quebec, QC G1P 3W8; Email: ceaeq.admin@environnement.gouv.qc.ca
Email: Facturation.CEAEQ@environnement.gouv.qc.ca</v>
          </cell>
          <cell r="T63" t="str">
            <v>Should arrive next day but sometimes takes 2 days…even if paying for Purolator Express 10:30AM
uses a PO#; provide taxonomic certificates
send invoice to Comptes Payables at: ceaeq.admin@environnement.gouv.qc.ca
send invoice to Comptes Payables at: Facturation.CEAEQ@environnement.gouv.qc.ca</v>
          </cell>
          <cell r="U63">
            <v>100033</v>
          </cell>
        </row>
        <row r="64">
          <cell r="A64" t="str">
            <v>1081-001</v>
          </cell>
          <cell r="B64" t="str">
            <v>Gauri Prabhakar</v>
          </cell>
          <cell r="C64" t="str">
            <v>Gauri</v>
          </cell>
          <cell r="D64" t="str">
            <v>Works with Emily Suominen &amp; Carrie Rickwood</v>
          </cell>
          <cell r="E64" t="str">
            <v>Natural Resources Canada – CanmetMINING LMS Environmental Risk Management Program Ottawa</v>
          </cell>
          <cell r="F64" t="str">
            <v>Natural Resources Canada</v>
          </cell>
          <cell r="G64" t="str">
            <v>555 Booth Street</v>
          </cell>
          <cell r="H64" t="str">
            <v>CanmetMINING</v>
          </cell>
          <cell r="I64" t="str">
            <v>-</v>
          </cell>
          <cell r="J64" t="str">
            <v>Ottawa</v>
          </cell>
          <cell r="K64" t="str">
            <v>ON</v>
          </cell>
          <cell r="L64" t="str">
            <v>K1A 0G1</v>
          </cell>
          <cell r="M64" t="str">
            <v>Canada</v>
          </cell>
          <cell r="N64" t="str">
            <v>343-574-1418</v>
          </cell>
          <cell r="P64" t="str">
            <v>gauri.prabhakar@NRCan-RNCan.gc.ca</v>
          </cell>
          <cell r="Q64" t="str">
            <v>Gauri Prabhakar, Natural Resources Canada – CanmetMINING LMS Environmental Risk Management Program Ottawa, 555 Booth Street, Ottawa, ON K1A 0G1
Tel: 343-574-1418; Email: gauri.prabhakar@NRCan-RNCan.gc.ca
(Works with Emily Suominen &amp; Carrie Rickwood)</v>
          </cell>
          <cell r="R64" t="str">
            <v>CG</v>
          </cell>
          <cell r="S64" t="str">
            <v>Natural Resources Canada – CanmetMINING LMS Environmental Risk Management Program Ottawa, 555 Booth Street, Ottawa, ON  K1A 0G1; Contact: Gauri Prabhakar, Tel: 343-574-1418, Email: gauri.prabhakar@NRCan-RNCan.gc.ca</v>
          </cell>
          <cell r="T64" t="str">
            <v>email invoice to Gauri Prabhakar at: gauri.prabhakar@NRCan-RNCan.gc.ca</v>
          </cell>
          <cell r="U64">
            <v>104318</v>
          </cell>
        </row>
        <row r="65">
          <cell r="A65" t="str">
            <v>1054-002</v>
          </cell>
          <cell r="B65" t="str">
            <v>Graham Bell</v>
          </cell>
          <cell r="C65" t="str">
            <v>Graham</v>
          </cell>
          <cell r="D65" t="str">
            <v>Professor</v>
          </cell>
          <cell r="E65" t="str">
            <v>McGill University</v>
          </cell>
          <cell r="F65" t="str">
            <v>McGill U</v>
          </cell>
          <cell r="G65" t="str">
            <v>1205 ave Docteur-Penfield</v>
          </cell>
          <cell r="H65" t="str">
            <v>Stewart Biology Building</v>
          </cell>
          <cell r="I65" t="str">
            <v>-</v>
          </cell>
          <cell r="J65" t="str">
            <v>Montreal</v>
          </cell>
          <cell r="K65" t="str">
            <v>QC</v>
          </cell>
          <cell r="L65" t="str">
            <v>H3A 1B1</v>
          </cell>
          <cell r="M65" t="str">
            <v>Canada</v>
          </cell>
          <cell r="N65" t="str">
            <v>514-398-6458</v>
          </cell>
          <cell r="O65" t="str">
            <v>514-398-5069</v>
          </cell>
          <cell r="P65" t="str">
            <v>graham.bell@mcgill.ca</v>
          </cell>
          <cell r="Q65" t="str">
            <v>Graham Bell, McGill University, Stewart Biology Building, 1205 avenue Docteur-Penfield, Montreal, QC  H3A 1B1
Tel: 514-398-6458; Fax: 514-398-5069; Email: graham.bell@mcgill.ca</v>
          </cell>
          <cell r="R65" t="str">
            <v>CA</v>
          </cell>
          <cell r="S65" t="str">
            <v>McGill University, Financial Services, c/o Accounts Payable, 3465 Durocher Street, Montreal, QC  H2X 0A8; Email: accountspayable@mcgill.ca</v>
          </cell>
          <cell r="T65" t="str">
            <v>email invoice to Accounts Payable at: accountspayable@mcgill.ca but put "Attn: Graham Bell (Biology Dept)" in the Header; also put "Please forward invoice to Graham Bell (graham.bell@mcgill.ca) for credit card payment" in the Footer; reference McGill Fund # (may need to issue a Payment Request)</v>
          </cell>
          <cell r="U65">
            <v>103381</v>
          </cell>
        </row>
        <row r="66">
          <cell r="A66" t="str">
            <v>1042-003</v>
          </cell>
          <cell r="B66" t="str">
            <v>Guido van Marle</v>
          </cell>
          <cell r="C66" t="str">
            <v>Guido</v>
          </cell>
          <cell r="D66" t="str">
            <v>Professor</v>
          </cell>
          <cell r="E66" t="str">
            <v>University of Calgary</v>
          </cell>
          <cell r="F66" t="str">
            <v>U of Calgary</v>
          </cell>
          <cell r="G66" t="str">
            <v>3330 Hospital Dr NW</v>
          </cell>
          <cell r="H66" t="str">
            <v>Cumming School of Medicine</v>
          </cell>
          <cell r="I66" t="str">
            <v>-</v>
          </cell>
          <cell r="J66" t="str">
            <v>Calgary</v>
          </cell>
          <cell r="K66" t="str">
            <v>AB</v>
          </cell>
          <cell r="L66" t="str">
            <v>T2N 4N1</v>
          </cell>
          <cell r="M66" t="str">
            <v>Canada</v>
          </cell>
          <cell r="N66" t="str">
            <v>403-210-3923</v>
          </cell>
          <cell r="P66" t="str">
            <v>vanmarle@ucalgary.ca</v>
          </cell>
          <cell r="Q66" t="str">
            <v>Guido van Marle (Professor), University of Calgary, Cumming School of Medicine, 3330 Hospital Dr NW, Calgary, AB  T2N 4N1
Tel: 403-210-3923; Email: vanmarle@ucalgary.ca
Purchaser at MindFuel (Science Alberta Foundation), Project Phoenix R&amp;D: Izzy Ward; Tel: 403-915-1661; Email: phoenixabr2024@gmail.com</v>
          </cell>
          <cell r="R66" t="str">
            <v>CA</v>
          </cell>
          <cell r="S66" t="str">
            <v>The MindFuel Foundation, 3512 33 Street NW, Suite 260, Calgary, AB  T2L 2A6; Website: www.mindfuel.ca; Email: finance@mindfuel.ca (Contact name: Freeda Mulenga (Director, Finance and Administration); Tel: 403-220-0077; Email: fmulenga@mindfuel.ca)</v>
          </cell>
          <cell r="T66" t="str">
            <v>Ship via Purolator Express
Izzy Ward, MindFuel - Project Phoenix R&amp;D, paid for this order!
Email invoice to Accounts Payable at: finance@mindfuel.ca for Izzy Ward (Mindfuel)/Guido van Marle (U Calgary)</v>
          </cell>
          <cell r="U66">
            <v>111853</v>
          </cell>
        </row>
        <row r="67">
          <cell r="A67" t="str">
            <v>N/A</v>
          </cell>
          <cell r="B67" t="str">
            <v>Hannah Lye</v>
          </cell>
          <cell r="C67" t="str">
            <v>Hannah</v>
          </cell>
          <cell r="D67" t="str">
            <v>MSc student; Supervisor: Yang Xu</v>
          </cell>
          <cell r="E67" t="str">
            <v>University of Guelph</v>
          </cell>
          <cell r="F67" t="str">
            <v>U of Guelph</v>
          </cell>
          <cell r="G67" t="str">
            <v>50 Stone Rd E</v>
          </cell>
          <cell r="H67" t="str">
            <v>Molecular &amp; Cellular Bio</v>
          </cell>
          <cell r="I67" t="str">
            <v>-</v>
          </cell>
          <cell r="J67" t="str">
            <v>Guelph</v>
          </cell>
          <cell r="K67" t="str">
            <v>ON</v>
          </cell>
          <cell r="L67" t="str">
            <v>N1G 2W1</v>
          </cell>
          <cell r="M67" t="str">
            <v>Canada</v>
          </cell>
          <cell r="P67" t="str">
            <v>hlye@uoguelph.ca</v>
          </cell>
          <cell r="Q67" t="str">
            <v>Yang Xu, University of Guelph, Molecular &amp; Cellular Biology, Summerlee Science Complex (Room 4453 or 4401), 50 Stone Road East (or 488 Gordon Street), Guelph ON  N1G 2W1
Tel: Office: 519-824-4120 x 54788, Cell: 519-760-1068; Email: yangxu@uoguelph.ca
(Purchaser: Agnes Bajkai, Susan Casey, or Karimat Gbolagade)</v>
          </cell>
          <cell r="R67" t="str">
            <v>CA</v>
          </cell>
          <cell r="S67" t="str">
            <v>Accounts Payable, University of Guelph, 50 Stone Road E, Guelph ON N1G 2W1; Email: acctspay@uoguelph.ca (Purchasers: Agnes Bajkai, Susan Casey, or Karimat Gbolagade; Department: Molecular &amp; Cellular Biology)</v>
          </cell>
          <cell r="T67" t="str">
            <v>email invoice to Accounts Payable at: acctspay@uoguelph.ca and reference the purchaser, department, and PO #</v>
          </cell>
          <cell r="U67">
            <v>103794</v>
          </cell>
        </row>
        <row r="68">
          <cell r="A68" t="str">
            <v>N/A</v>
          </cell>
          <cell r="B68" t="str">
            <v>Hao (Harry) Wu</v>
          </cell>
          <cell r="C68" t="str">
            <v>Harry</v>
          </cell>
          <cell r="D68" t="str">
            <v>M.Eng. Student; Lidan Tao places his orders</v>
          </cell>
          <cell r="E68" t="str">
            <v>Memorial University of Newfoundland</v>
          </cell>
          <cell r="F68" t="str">
            <v>Memorial U Newfoundland</v>
          </cell>
          <cell r="G68" t="str">
            <v>240 Prince Phillip Drive</v>
          </cell>
          <cell r="H68" t="str">
            <v>SJ Carew Bldg Loading #23</v>
          </cell>
          <cell r="I68" t="str">
            <v>Eng &amp; Applied Sci EN1015A</v>
          </cell>
          <cell r="J68" t="str">
            <v>St. John’s</v>
          </cell>
          <cell r="K68" t="str">
            <v>NL</v>
          </cell>
          <cell r="L68" t="str">
            <v>A1B 3X5</v>
          </cell>
          <cell r="M68" t="str">
            <v>Canada</v>
          </cell>
          <cell r="N68" t="str">
            <v xml:space="preserve">709-765-2968 </v>
          </cell>
          <cell r="P68" t="str">
            <v>hwu23@mun.ca</v>
          </cell>
          <cell r="Q68" t="str">
            <v>Lidan Tao (Laboratory Instructor), Memorial University of Newfoundland, Faculty of Engineering and Applied Science, Department of Civil Engineering, 240 Prince Phillip Drive, S.J. Carew Building Loading Bay Door #23, Room EN1015A, St. John’s, NL  A1B 3X5 
Tel: 709-864-4497; Email: ltao@mun.ca
FOR: Hao Wu (Harry); Tel: 709-765-2968; Email: hwu23@mun.ca
(Purchaser: Derek Burton or Arman; Email: engrpurchasing@mun.ca)</v>
          </cell>
          <cell r="R68" t="str">
            <v>CA</v>
          </cell>
          <cell r="S68" t="str">
            <v>Memorial University of Newfoundland- Faculty of Engineering &amp; Applied Science, 230 Elizabeth Avenue, St. John's, NL A1B 1T5; Email: accountspayable@mun.ca
OR (if using a PO):
Memorial University of Newfoundland, Financial and Administrative Services AP, 230 Elizabeth Avenue, PO Box 4200, St. Johns, NL A1C 5S7; Email: accountspayable@mun.ca</v>
          </cell>
          <cell r="T68" t="str">
            <v>Ship via Purolator Express…delivery may take 2 days instead of the usual 1 day!
Email invoice to: accountspayable@mun.ca (Attn: Arman (engrpurchasing@mun.ca)) &amp; Req # (customer ID 108138)
OR
Email invoice to: accountspayable@mun.ca (Attn: Arman (engrpurchasing@mun.ca)) &amp; PO # (customer ID 103401)</v>
          </cell>
          <cell r="U68" t="str">
            <v>108138
OR
103401</v>
          </cell>
        </row>
        <row r="69">
          <cell r="A69" t="str">
            <v>N/A</v>
          </cell>
          <cell r="B69" t="str">
            <v>Hassan Peerhossaini</v>
          </cell>
          <cell r="C69" t="str">
            <v>Hassan</v>
          </cell>
          <cell r="D69" t="str">
            <v>Professor Emeritus</v>
          </cell>
          <cell r="E69" t="str">
            <v>Western University</v>
          </cell>
          <cell r="F69" t="str">
            <v>Western U (UWO)</v>
          </cell>
          <cell r="G69" t="str">
            <v>1151 Richmond Street</v>
          </cell>
          <cell r="H69" t="str">
            <v>Thompson Eng/Dock 59/Rm40</v>
          </cell>
          <cell r="I69" t="str">
            <v>Eng Stores, TEB-FACENG</v>
          </cell>
          <cell r="J69" t="str">
            <v>London</v>
          </cell>
          <cell r="K69" t="str">
            <v>ON</v>
          </cell>
          <cell r="L69" t="str">
            <v>N6A 5B9</v>
          </cell>
          <cell r="M69" t="str">
            <v>Canada</v>
          </cell>
          <cell r="N69" t="str">
            <v>519-661-2111 x 80319</v>
          </cell>
          <cell r="P69" t="str">
            <v>hpeerhos@uwo.ca</v>
          </cell>
          <cell r="Q69" t="str">
            <v>Malihe Mehdizadeh Allaf (Supervisor: Hassan Peerhossaini), Western University, Department of Civil and Environmental Engineering, Engineering Stores, Thompson Eng Bldg, Dock 59, Room 40, ShipTo Address Code: TEB-ENGSTR, 1151 Richmond Street, London ON  N6A 5B9
Tel: 519-661-2038; Email: mmehdiz@uwo.ca
FOR: Hassan Peerhossain (Tel: 519-661-2111 x 80319; Email: hpeerhos@uwo.ca) &amp; Reza Saifi (Cell: 226-559-2474; Email: rsaifi@uwo.ca)</v>
          </cell>
          <cell r="R69" t="str">
            <v>CA</v>
          </cell>
          <cell r="S69" t="str">
            <v>University of Western Ontario, Financial Services, Suite 6100, Support Services Building, 1393 Western Rd, London ON  N6G 1G9; Tel: 519-661-2111; Email: apinvoice@uwo.ca (Attn: Accounts Payable or UWO Engineering Stores Purchaser (name and email)</v>
          </cell>
          <cell r="T69" t="str">
            <v>PO invoice = email invoice to Accounts Payable at: apinvoice@uwo.ca
non-PO invoice = email invoice to apinvoice@uwo.ca but put Attn: Purchaser's name and email address</v>
          </cell>
          <cell r="U69">
            <v>103838</v>
          </cell>
        </row>
        <row r="70">
          <cell r="A70" t="str">
            <v>1037-009</v>
          </cell>
          <cell r="B70" t="str">
            <v>Heidi Swanson</v>
          </cell>
          <cell r="C70" t="str">
            <v>Heidi</v>
          </cell>
          <cell r="D70" t="str">
            <v>Associate Professor (WLU) &amp; Adjunct Professor (UWaterloo)</v>
          </cell>
          <cell r="E70" t="str">
            <v>University of Waterloo</v>
          </cell>
          <cell r="F70" t="str">
            <v>UWaterloo</v>
          </cell>
          <cell r="G70" t="str">
            <v>200 University Ave W</v>
          </cell>
          <cell r="H70" t="str">
            <v>Biology</v>
          </cell>
          <cell r="I70" t="str">
            <v>-</v>
          </cell>
          <cell r="J70" t="str">
            <v>Waterloo</v>
          </cell>
          <cell r="K70" t="str">
            <v>ON</v>
          </cell>
          <cell r="L70" t="str">
            <v>N2L 3G1</v>
          </cell>
          <cell r="M70" t="str">
            <v>Canada</v>
          </cell>
          <cell r="P70" t="str">
            <v>heidi.swanson@uwaterloo.ca</v>
          </cell>
          <cell r="Q70" t="str">
            <v>Heidi Swanson (Adjunct Professor), University of Waterloo, Biology, 200 University Ave W, Waterloo, ON N2L 3G1
Email: heidi.swanson@uwaterloo.ca</v>
          </cell>
          <cell r="R70" t="str">
            <v>CA</v>
          </cell>
          <cell r="S70" t="str">
            <v>internal debit memo since she still has grants with Unit4 project #s</v>
          </cell>
          <cell r="T70" t="str">
            <v>Adjunct with Biology = UWaterloo Faculty of Science pricing
Internal debit memo given to client on mmm dd/yy; they returned it on mmm dd/yy; given to Lucy Satora on mmm dd/yy; credited to our account in mmm yyyy</v>
          </cell>
          <cell r="U70" t="str">
            <v>N/A</v>
          </cell>
        </row>
        <row r="71">
          <cell r="A71" t="str">
            <v>1009-002</v>
          </cell>
          <cell r="B71" t="str">
            <v>Hélène Loranger</v>
          </cell>
          <cell r="C71" t="str">
            <v>Hélène</v>
          </cell>
          <cell r="E71" t="str">
            <v>Centre d'Expertise en Analyse Environnementale du Quebec (CEAEQ)</v>
          </cell>
          <cell r="F71" t="str">
            <v>CEAEQ</v>
          </cell>
          <cell r="G71" t="str">
            <v>2700 rue Einstein</v>
          </cell>
          <cell r="H71" t="str">
            <v>Complexe sci (B2.320)</v>
          </cell>
          <cell r="I71" t="str">
            <v>Biologie et microbiologie</v>
          </cell>
          <cell r="J71" t="str">
            <v>Quebec</v>
          </cell>
          <cell r="K71" t="str">
            <v>QC</v>
          </cell>
          <cell r="L71" t="str">
            <v>G1P 3W8</v>
          </cell>
          <cell r="M71" t="str">
            <v>Canada</v>
          </cell>
          <cell r="N71" t="str">
            <v>418-643-1301 x 243 (or 358?)</v>
          </cell>
          <cell r="O71" t="str">
            <v>418-528-1091</v>
          </cell>
          <cell r="P71" t="str">
            <v>dbm@environnement.gouv.qc.ca</v>
          </cell>
          <cell r="Q71" t="str">
            <v>Hélène Loranger, Centre d'Expertise en Analyse Environnementale du Quebec (CEAEQ), 2700 rue Einstein, Complexe scientifique (bur. B2.320), Division de biologie et microbiologie, Quebec QC G1P 3W8
Tel: 418-643-1301 x 243 (or 358?); Fax: 418-528-1091; Email: dbm@environnement.gouv.qc.ca
(CEAEQ is a subsidiary of MELCC = Ministere de l'Environnement et de la lutte contre les changements climatiques)</v>
          </cell>
          <cell r="R71" t="str">
            <v>CG</v>
          </cell>
          <cell r="S71" t="str">
            <v>Attn: Comptes Payables, Centre d'Expertise en Analyse Environnementale du Quebec, Complexe scientifique, 2700 rue Einstein, Quebec, QC G1P 3W8; Email: ceaeq.admin@environnement.gouv.qc.ca
Email: Facturation.CEAEQ@environnement.gouv.qc.ca</v>
          </cell>
          <cell r="T71" t="str">
            <v>Should arrive next day but sometimes takes 2 days…even if paying for Purolator Express 10:30AM
uses a PO#; provide taxonomic certificates
send invoice to Comptes Payables at: ceaeq.admin@environnement.gouv.qc.ca
send invoice to Comptes Payables at: Facturation.CEAEQ@environnement.gouv.qc.ca</v>
          </cell>
          <cell r="U71">
            <v>100033</v>
          </cell>
        </row>
        <row r="72">
          <cell r="A72" t="str">
            <v>1065-002</v>
          </cell>
          <cell r="B72" t="str">
            <v>Houda Hanana</v>
          </cell>
          <cell r="C72" t="str">
            <v>Houda</v>
          </cell>
          <cell r="E72" t="str">
            <v>Environment and Climate Change Canada (ECCC) - Aquatic Contaminants Research Division (ACRD)</v>
          </cell>
          <cell r="F72" t="str">
            <v>ECCC - ACRD</v>
          </cell>
          <cell r="G72" t="str">
            <v>105 McGill St.</v>
          </cell>
          <cell r="H72" t="str">
            <v>7th Floor, ACRD</v>
          </cell>
          <cell r="I72" t="str">
            <v>-</v>
          </cell>
          <cell r="J72" t="str">
            <v>Montreal</v>
          </cell>
          <cell r="K72" t="str">
            <v>QC</v>
          </cell>
          <cell r="L72" t="str">
            <v>H2Y 2E7</v>
          </cell>
          <cell r="M72" t="str">
            <v>Canada</v>
          </cell>
          <cell r="N72" t="str">
            <v>Cell: 514-452-2064</v>
          </cell>
          <cell r="P72" t="str">
            <v>Houda.Hanana@ec.gc.ca</v>
          </cell>
          <cell r="Q72" t="str">
            <v>Houda Hanana, Environment and Climate Change Canada (ECCC), Aquatic Contaminants Research Division (ACRD), 105 McGill Street, 7th Floor, Montreal, QC H2Y 2E7 
Tel: Cell: 514-452-2064; Email: Houda.Hanana@ec.gc.ca</v>
          </cell>
          <cell r="R72" t="str">
            <v>CG</v>
          </cell>
          <cell r="S72" t="str">
            <v>Environment and Climate Change Canada - Aquatic Contaminants Research Division, 867 Lakeshore Rd., Burlington, ON L7S 1A1; Email: drcafagroupe-acrdfagroup@ec.gc.ca</v>
          </cell>
          <cell r="T72" t="str">
            <v>email invoice to Attn: Houda Hanana (DRCA Montreal) (Houda.Hanana@ec.gc.ca) at: drcafagroupe-acrdfagroup@ec.gc.ca</v>
          </cell>
          <cell r="U72">
            <v>103161</v>
          </cell>
        </row>
        <row r="73">
          <cell r="A73" t="str">
            <v>1031-001</v>
          </cell>
          <cell r="B73" t="str">
            <v>Huy Dang</v>
          </cell>
          <cell r="C73" t="str">
            <v>Huy</v>
          </cell>
          <cell r="D73" t="str">
            <v>Assistant Professor</v>
          </cell>
          <cell r="E73" t="str">
            <v>Trent University</v>
          </cell>
          <cell r="F73" t="str">
            <v>Trent U</v>
          </cell>
          <cell r="G73" t="str">
            <v>2089 East Bank Drive</v>
          </cell>
          <cell r="H73" t="str">
            <v>Shipping&amp;Receiving Centre</v>
          </cell>
          <cell r="I73" t="str">
            <v>School of the Env</v>
          </cell>
          <cell r="J73" t="str">
            <v>Peterborough</v>
          </cell>
          <cell r="K73" t="str">
            <v>ON</v>
          </cell>
          <cell r="L73" t="str">
            <v>K9L 1Z8</v>
          </cell>
          <cell r="M73" t="str">
            <v>Canada</v>
          </cell>
          <cell r="N73" t="str">
            <v>705-748-1011 x 6364</v>
          </cell>
          <cell r="P73" t="str">
            <v>huydang@trentu.ca</v>
          </cell>
          <cell r="Q73" t="str">
            <v>Shipping Address: Huy Dang (Environment), Trent University, 2089 East Bank Drive, c/o Shipping &amp; Receiving Centre, School of the Environment, Peterborough, ON K9L 1Z8
Tel: 705-748-1011 x 6364; Email: huydang@trentu.ca
(Mailing Address: Huy Dang (Environment), Trent University, 1600 West Bank Drive, Trent School of the Environment, Peterborough, ON  K9L 0G2)</v>
          </cell>
          <cell r="R73" t="str">
            <v>CA</v>
          </cell>
          <cell r="S73" t="str">
            <v>Trent University, 1600 West Bank Dr, Peterborough, ON  K9J 0G2; Email: Accountspayable@trentu.ca</v>
          </cell>
          <cell r="T73" t="str">
            <v>may or may not use a PO
email invoice to Purchasing Services at: Accountspayable@trentu.ca (specify "Attn: Purchasing Services for Huy Dang" when they don't use a PO)</v>
          </cell>
          <cell r="U73">
            <v>103748</v>
          </cell>
        </row>
        <row r="74">
          <cell r="A74" t="str">
            <v>N/A</v>
          </cell>
          <cell r="B74" t="str">
            <v>Ian Alford-Archibald</v>
          </cell>
          <cell r="C74" t="str">
            <v>Ian</v>
          </cell>
          <cell r="D74" t="str">
            <v>Biology Teacher; Works with Shane MacLeod</v>
          </cell>
          <cell r="E74" t="str">
            <v>Dartmouth High School</v>
          </cell>
          <cell r="F74" t="str">
            <v>Dartmouth H.S.</v>
          </cell>
          <cell r="G74" t="str">
            <v>95 Victoria Rd Ext</v>
          </cell>
          <cell r="H74" t="str">
            <v>Science Dept</v>
          </cell>
          <cell r="I74" t="str">
            <v>-</v>
          </cell>
          <cell r="J74" t="str">
            <v>Dartmouth</v>
          </cell>
          <cell r="K74" t="str">
            <v>NS</v>
          </cell>
          <cell r="L74" t="str">
            <v>B3A 1V2</v>
          </cell>
          <cell r="M74" t="str">
            <v>Canada</v>
          </cell>
          <cell r="N74" t="str">
            <v>902-471-5508</v>
          </cell>
          <cell r="P74" t="str">
            <v>ian.alford-archibald@gnspes.ca</v>
          </cell>
          <cell r="Q74" t="str">
            <v>Shane MacLeod (Science Department Head &amp; Physics Teacher), Dartmouth High School, Science Department, 95 Victoria Road Ext, Dartmouth, NS, B3A 1V2
Tel: 902-464-2457x4001211; Email: macleodg@hrce.ca
FOR: Ian Alford-Archibald (Biology Teacher); Tel: 902-471-5508; Email: ian.alford-archibald@gnspes.ca</v>
          </cell>
          <cell r="R74" t="str">
            <v>CA</v>
          </cell>
          <cell r="S74" t="str">
            <v>Dartmouth H.S.,  95 Victoria Rd., Dartmouth, NS  B3A 1V2; Email: dhs@hrce.ca</v>
          </cell>
          <cell r="T74" t="str">
            <v>Ship via Purolator Express
Email invoice to Shane MacLeod (macleodg@hrce.ca) at: dhs@hrce.ca</v>
          </cell>
          <cell r="U74">
            <v>101854</v>
          </cell>
        </row>
        <row r="75">
          <cell r="A75" t="str">
            <v>N/A</v>
          </cell>
          <cell r="B75" t="str">
            <v>Ijeoma Nwafor</v>
          </cell>
          <cell r="C75" t="str">
            <v>Ijeoma</v>
          </cell>
          <cell r="D75" t="str">
            <v>Supervisor: Joey Bernhardt</v>
          </cell>
          <cell r="E75" t="str">
            <v>University of Guelph</v>
          </cell>
          <cell r="F75" t="str">
            <v>U of Guelph</v>
          </cell>
          <cell r="G75" t="str">
            <v>50 Stone Rd E</v>
          </cell>
          <cell r="H75" t="str">
            <v>Integrative Bio, SSC 2408</v>
          </cell>
          <cell r="I75" t="str">
            <v>-</v>
          </cell>
          <cell r="J75" t="str">
            <v>Guelph</v>
          </cell>
          <cell r="K75" t="str">
            <v>ON</v>
          </cell>
          <cell r="L75" t="str">
            <v>N1G 2W1</v>
          </cell>
          <cell r="M75" t="str">
            <v>Canada</v>
          </cell>
          <cell r="P75" t="str">
            <v>inwafor@uoguelph.ca</v>
          </cell>
          <cell r="Q75" t="str">
            <v>Joey Bernhardt (PhD, Assistant Professor), University of Guelph, College of Biological Science (CBS), Integrative Biology, Summerlee Science Complex Room 2408 (SSC 2408), 50 Stone Road East, Guelph ON  N1G 2W1
Tel: 519-824-4120 x55820; Cell: 604-355-0653; Email: joey.bernhardt@uoguelph.ca
FOR: Ijeoma Nwafor (Supervisor: Joey Bernhardt); Email: inwafor@uoguelph.ca</v>
          </cell>
          <cell r="R75" t="str">
            <v>CA</v>
          </cell>
          <cell r="S75" t="str">
            <v>Accounts Payable, University of Guelph, 50 Stone Road E, Guelph ON N1G 2W1; Email: acctspay@uoguelph.ca (College of Biological Science, Purchasing Manager: Nora Teri, Tel: 519-824-4120 x52774, Personal Email: nteri@uoguelph.ca; Other Purchasers: Russell Hamley; Email: cbsclerk@uoguelph.ca)</v>
          </cell>
          <cell r="T75" t="str">
            <v>email invoice to Accounts Payable at: acctspay@uoguelph.ca and reference the purchaser, department, and PO #</v>
          </cell>
          <cell r="U75">
            <v>103794</v>
          </cell>
        </row>
        <row r="76">
          <cell r="A76" t="str">
            <v>N/A</v>
          </cell>
          <cell r="B76" t="str">
            <v>Jason Laurich</v>
          </cell>
          <cell r="C76" t="str">
            <v>Jason</v>
          </cell>
          <cell r="D76" t="str">
            <v>Postdoc; Supervisor: Joey Bernhardt</v>
          </cell>
          <cell r="E76" t="str">
            <v>University of Guelph</v>
          </cell>
          <cell r="F76" t="str">
            <v>U of Guelph</v>
          </cell>
          <cell r="G76" t="str">
            <v>50 Stone Rd E</v>
          </cell>
          <cell r="H76" t="str">
            <v>Integrative Bio, SSC 2408</v>
          </cell>
          <cell r="I76" t="str">
            <v>-</v>
          </cell>
          <cell r="J76" t="str">
            <v>Guelph</v>
          </cell>
          <cell r="K76" t="str">
            <v>ON</v>
          </cell>
          <cell r="L76" t="str">
            <v>N1G 2W1</v>
          </cell>
          <cell r="M76" t="str">
            <v>Canada</v>
          </cell>
          <cell r="P76" t="str">
            <v>jlaurich@uoguelph.ca</v>
          </cell>
          <cell r="Q76" t="str">
            <v>Joey Bernhardt (PhD, Assistant Professor), University of Guelph, College of Biological Science (CBS), Integrative Biology, Summerlee Science Complex Room 2408 (SSC 2408), 50 Stone Road East, Guelph ON  N1G 2W1
Tel: 519-824-4120 x55820; Cell: 604-355-0653; Email: joey.bernhardt@uoguelph.ca
FOR: Jason Laurich (Postdoc; Supervisor: Joey Bernhardt); Email: jlaurich@uoguelph.ca</v>
          </cell>
          <cell r="R76" t="str">
            <v>CA</v>
          </cell>
          <cell r="S76" t="str">
            <v>Accounts Payable, University of Guelph, 50 Stone Road E, Guelph ON N1G 2W1; Email: acctspay@uoguelph.ca (College of Biological Science, Purchasing Manager: Nora Teri, Tel: 519-824-4120 x52774, Personal Email: nteri@uoguelph.ca; Other Purchasers: Russell Hamley, Email: cbsclerk@uoguelph.ca; Tyler Domenico, Email: cbs.rfs@uoguelph.ca)</v>
          </cell>
          <cell r="T76" t="str">
            <v>email invoice to Accounts Payable at: acctspay@uoguelph.ca and reference the purchaser, department, and PO #</v>
          </cell>
          <cell r="U76">
            <v>103794</v>
          </cell>
        </row>
        <row r="77">
          <cell r="A77" t="str">
            <v>1085-001</v>
          </cell>
          <cell r="B77" t="str">
            <v>Ina Liedtke</v>
          </cell>
          <cell r="C77" t="str">
            <v>Ina</v>
          </cell>
          <cell r="E77" t="str">
            <v>Hygiene-Institut des Ruhrgebiets, Institut fur Umwelhygiene und Toxikologie</v>
          </cell>
          <cell r="F77" t="str">
            <v>Hygiene-Institut d Ruhrgebiets</v>
          </cell>
          <cell r="G77" t="str">
            <v>Rotthauser Str. 21</v>
          </cell>
          <cell r="H77" t="str">
            <v>-</v>
          </cell>
          <cell r="I77" t="str">
            <v>-</v>
          </cell>
          <cell r="J77" t="str">
            <v>Gelsenkirchen</v>
          </cell>
          <cell r="K77" t="str">
            <v>North Rhine-Westphalia (NR)</v>
          </cell>
          <cell r="L77">
            <v>45879</v>
          </cell>
          <cell r="M77" t="str">
            <v>Germany</v>
          </cell>
          <cell r="P77" t="str">
            <v>einkauf@hyg.de</v>
          </cell>
          <cell r="Q77" t="str">
            <v>Mr. Ernst, Hygiene-Institut des Ruhrgebiets, Institut fur Umwelhygiene und Toxikologie, Rotthauser Str. 21, Warenanahme "Einkauf Umwelt" - Haus-Nr. 21, Einfahrt uber Dickampstrasse, Gelsenkirchen, North Rhine-Westphalia, 45879 Germany
Tel: +49(0)209 - 92 42 140 (=00492099242140 for 2Ship); Email: m.ernst@hyg.de
FOR: Frau Ina Liedtke; Email: einkauf@hyg.de
(Purchaser: Julia Englich; Tel: +49 (0) 209/9242- 115; Email: englich@hyg.de OR Markus Ernst; Tel: +49(0)209 - 92 42 140; Email: m.ernst@hyg.de)</v>
          </cell>
          <cell r="R77" t="str">
            <v>IC</v>
          </cell>
          <cell r="S77" t="str">
            <v>Hygiene-Institut des Ruhrgebiets - Institut fur Umwelhygiene und Toxikologie, Rotthauser Str. 21, Gelsenkirchen, North Rhine-Westphalia (NRW), 45879  Germany; Email: rechnung@hyg.de</v>
          </cell>
          <cell r="T77" t="str">
            <v>uses a PO #; provide taxonomic certificates
use UW FedEx account + round up to nearest $5 increment + $25 Handling
email invoice to Accounts Payable at: rechnung@hyg.de</v>
          </cell>
          <cell r="U77">
            <v>111303</v>
          </cell>
        </row>
        <row r="78">
          <cell r="A78" t="str">
            <v>1045-003</v>
          </cell>
          <cell r="B78" t="str">
            <v>Irena Creed</v>
          </cell>
          <cell r="C78" t="str">
            <v>Irena</v>
          </cell>
          <cell r="D78" t="str">
            <v>Professor</v>
          </cell>
          <cell r="E78" t="str">
            <v>University of Toronto Scarborough</v>
          </cell>
          <cell r="F78" t="str">
            <v>U of Toronto Scarborough</v>
          </cell>
          <cell r="G78" t="str">
            <v>1095 Military Trail</v>
          </cell>
          <cell r="H78" t="str">
            <v>IC Loading Dock</v>
          </cell>
          <cell r="I78" t="str">
            <v>Env Science &amp; Chemistry</v>
          </cell>
          <cell r="J78" t="str">
            <v>Scarborough</v>
          </cell>
          <cell r="K78" t="str">
            <v>ON</v>
          </cell>
          <cell r="L78" t="str">
            <v>M1C 1A4</v>
          </cell>
          <cell r="M78" t="str">
            <v>Canada</v>
          </cell>
          <cell r="N78" t="str">
            <v>416-208-5661</v>
          </cell>
          <cell r="O78" t="str">
            <v>Ship To Email: chemstores@utsc.utoronto.ca</v>
          </cell>
          <cell r="P78" t="str">
            <v>irena.creed@utoronto.ca</v>
          </cell>
          <cell r="Q78" t="str">
            <v>Irena Creed, University of Toronto Scarborough, Environmental Science &amp; Chemistry, EV 468, 1095 Military Trail (IC Loading Dock), Scarborough, ON  M1C 1A4
Tel: 416-208-5661; Email: irena.creed@utoronto.ca (Ship To Email: chemstores@utsc.utoronto.ca)</v>
          </cell>
          <cell r="R78" t="str">
            <v>CA</v>
          </cell>
          <cell r="S78" t="str">
            <v>University of Toronto - Scarborough, 1265 Military Trail, Toronto, ON  M1C 1A4; Email: chemstores@utsc.utoronto.ca</v>
          </cell>
          <cell r="T78" t="str">
            <v>Use a DPO and email invoices to Accounts Payable at: chemstores@utsc.utoronto.ca</v>
          </cell>
          <cell r="U78">
            <v>107313</v>
          </cell>
        </row>
        <row r="79">
          <cell r="A79" t="str">
            <v>N/A</v>
          </cell>
          <cell r="B79" t="str">
            <v>Isaac Meza Padilla</v>
          </cell>
          <cell r="C79" t="str">
            <v>Isaac</v>
          </cell>
          <cell r="D79" t="str">
            <v>Supervisor: Jozef Nissimov</v>
          </cell>
          <cell r="E79" t="str">
            <v>University of Waterloo</v>
          </cell>
          <cell r="F79" t="str">
            <v>UWaterloo</v>
          </cell>
          <cell r="G79" t="str">
            <v>200 University Ave W</v>
          </cell>
          <cell r="H79" t="str">
            <v>Biology, B2-359</v>
          </cell>
          <cell r="I79" t="str">
            <v>-</v>
          </cell>
          <cell r="J79" t="str">
            <v>Waterloo</v>
          </cell>
          <cell r="K79" t="str">
            <v>ON</v>
          </cell>
          <cell r="L79" t="str">
            <v>N2L 3G1</v>
          </cell>
          <cell r="M79" t="str">
            <v>Canada</v>
          </cell>
          <cell r="O79" t="str">
            <v>519-746-0614</v>
          </cell>
          <cell r="P79" t="str">
            <v>imezapadilla@uwaterloo.ca</v>
          </cell>
          <cell r="Q79" t="str">
            <v>Isaac Meza Padilla (Supervisor: Jozef Nissimov), University of Waterloo, Department of Biology, Room B2-359, 200 University Avenue W, Waterloo, ON  N2L 3G1
Fax: 519-746-0614; Email: imezapadilla@uwaterloo.ca</v>
          </cell>
          <cell r="R79" t="str">
            <v>CA</v>
          </cell>
          <cell r="S79" t="str">
            <v>internal debit memo to: Jozef Nissimov, University of Waterloo, Department of Biology, Room B2-359B, 200 University Avenue W, Waterloo, ON  N2L 3G1; Tel: 519-888-4567 x 32058; Fax: 519-746-0614; Email: jnissimov@uwaterloo.ca</v>
          </cell>
          <cell r="T79" t="str">
            <v>internal debit memo given to Jozef Nissimov on mmm dd/yy; they returned it on mmm dd/yy; given to Lucy Satora on mmm dd/yy; credited to our account in mmm yyyy</v>
          </cell>
          <cell r="U79" t="str">
            <v>N/A</v>
          </cell>
        </row>
        <row r="80">
          <cell r="A80" t="str">
            <v>1007-002</v>
          </cell>
          <cell r="B80" t="str">
            <v>James Weaver</v>
          </cell>
          <cell r="C80" t="str">
            <v>James</v>
          </cell>
          <cell r="D80" t="str">
            <v>Plant Manager</v>
          </cell>
          <cell r="E80" t="str">
            <v>Cambridge Isotope Laboratories (CIL) Canada</v>
          </cell>
          <cell r="F80" t="str">
            <v>CIL Canada</v>
          </cell>
          <cell r="G80" t="str">
            <v>331 Rue Deslauriers</v>
          </cell>
          <cell r="H80" t="str">
            <v>-</v>
          </cell>
          <cell r="I80" t="str">
            <v>-</v>
          </cell>
          <cell r="J80" t="str">
            <v>St-Laurent</v>
          </cell>
          <cell r="K80" t="str">
            <v>QC</v>
          </cell>
          <cell r="L80" t="str">
            <v>H4N 1W2</v>
          </cell>
          <cell r="M80" t="str">
            <v>Canada</v>
          </cell>
          <cell r="N80" t="str">
            <v>514-723-0858 x222</v>
          </cell>
          <cell r="P80" t="str">
            <v xml:space="preserve">Jweaver@isotope.com </v>
          </cell>
          <cell r="Q80" t="str">
            <v>James Weaver (Plant Manager), Cambridge Isotope Laboratories (CIL) Canada, 331 Rue Deslauriers, Saint-Laurent, QC  H4N 1W2
Tel: 514-723-0858 x222; Email: Jweaver@isotope.com
(Purchaser: Caroline Araguas, Tel: 514-723-0858 x225, Email: caraguas@isotopecanada.com)
(Formerly FESKO Consultants)</v>
          </cell>
          <cell r="R80" t="str">
            <v>CC</v>
          </cell>
          <cell r="S80" t="str">
            <v>Caroline Araguas, Cambridge Isotope Laboratories Canada, 331 Rue Deslauriers, St-Laurent, QC  H4N 1W2; Tel: 514-723-0858 x225, Fax: 514-723-2275, Email: caroline.a@isotopecanada.com</v>
          </cell>
          <cell r="T80" t="str">
            <v>ship cryovials collect via FedEx First Overnight (FedEx account #179186187); charge a $5 Handling fee for collect shipment
email invoice to Caroline Araguas at: caroline.a@isotopecanada.com
NOTE: email address will need to be changed for next year to caraguas@isotope.com!</v>
          </cell>
          <cell r="U80">
            <v>103194</v>
          </cell>
        </row>
        <row r="81">
          <cell r="A81" t="str">
            <v>N/A</v>
          </cell>
          <cell r="B81" t="str">
            <v>Jana Farell</v>
          </cell>
          <cell r="C81" t="str">
            <v>Jana</v>
          </cell>
          <cell r="D81" t="str">
            <v>Supervisor: Dirk Wallschläger</v>
          </cell>
          <cell r="E81" t="str">
            <v>Wilfrid Laurier University</v>
          </cell>
          <cell r="F81" t="str">
            <v>Wilfrid Laurier U</v>
          </cell>
          <cell r="G81" t="str">
            <v>230 Regina St N</v>
          </cell>
          <cell r="H81" t="str">
            <v>Room CCRWS/CRW107</v>
          </cell>
          <cell r="I81" t="str">
            <v>-</v>
          </cell>
          <cell r="J81" t="str">
            <v>Waterloo</v>
          </cell>
          <cell r="K81" t="str">
            <v>ON</v>
          </cell>
          <cell r="L81" t="str">
            <v>N2J 3B6</v>
          </cell>
          <cell r="M81" t="str">
            <v>Canada</v>
          </cell>
          <cell r="N81" t="str">
            <v>705 957-2229</v>
          </cell>
          <cell r="P81" t="str">
            <v>jfarell@wlu.ca</v>
          </cell>
          <cell r="Q81" t="str">
            <v>Mailing Address: Wilfrid Laurier University, 75 University Ave. W, Waterloo, ON N2L 3C5 (Lab: CRW107 and SR318, Office: BA417)
Shipping Address: Wilfrid Laurier University, Room CCRWS/CRW107, 230 Regina Street North, Waterloo, ON N2J 3B6</v>
          </cell>
          <cell r="R81" t="str">
            <v>CA</v>
          </cell>
          <cell r="S81" t="str">
            <v>Accounts Payable, Wilfrid Laurier University, 75 University Ave. W., Waterloo ON  N2L 3C5; Email: acctpay@wlu.ca</v>
          </cell>
          <cell r="T81" t="str">
            <v>email invoice to Accounts Payable at: acctpay@wlu.ca</v>
          </cell>
          <cell r="U81">
            <v>103894</v>
          </cell>
        </row>
        <row r="82">
          <cell r="A82" t="str">
            <v>1020-001</v>
          </cell>
          <cell r="B82" t="str">
            <v>Janetta Fraser</v>
          </cell>
          <cell r="C82" t="str">
            <v>Janetta</v>
          </cell>
          <cell r="D82" t="str">
            <v>Laboratory Manager &amp; President</v>
          </cell>
          <cell r="E82" t="str">
            <v>Harris Industrial Testing Service Ltd. (HITS)</v>
          </cell>
          <cell r="F82" t="str">
            <v>Harris Industrial Testing</v>
          </cell>
          <cell r="G82" t="str">
            <v>21 Old Cobequid Road</v>
          </cell>
          <cell r="H82" t="str">
            <v>-</v>
          </cell>
          <cell r="I82" t="str">
            <v>-</v>
          </cell>
          <cell r="J82" t="str">
            <v>Waverley</v>
          </cell>
          <cell r="K82" t="str">
            <v>NS</v>
          </cell>
          <cell r="L82" t="str">
            <v>B2R 1P4</v>
          </cell>
          <cell r="M82" t="str">
            <v>Canada</v>
          </cell>
          <cell r="N82" t="str">
            <v>902-861-2232</v>
          </cell>
          <cell r="P82" t="str">
            <v>janetta@harrisindustrial.ca</v>
          </cell>
          <cell r="Q82" t="str">
            <v>Janetta Fraser, Harris Industrial Testing Service Ltd. (HITS), 21 Old Cobequid Road, Waverley, NS  B2R 1P4
Tel: 902-861-2232; Email: janetta@harrisindustrial.ca
(partially sold to AquaTerra when Carol &amp; Gary Harris retired)</v>
          </cell>
          <cell r="R82" t="str">
            <v>CC</v>
          </cell>
          <cell r="S82" t="str">
            <v>Harris Industrial Testing Service Ltd., 21 Old Cobequid Road, Waverley, NS, B2R 1P4; General invoicing email: office@harrisindustrial.ca; Attn: Janetta Fraser (Lab Manager and President), Tel: 902-861-2232, Email: janetta@harrisindustrial.ca
Attn: David Robinson (Office Manager), Tel: 902-448-0016, Email: david@harrisindustrial.ca; website: http://harrisindustrial.ca
Carol Harris, Harris Industrial Testing Service Ltd., 1320 Ashdale Rd., Site 13 Box 8, RR 1, Mount Uniacke NS B0N 1Z0; Tel: 902-757-0232, Fax: 902-757-0973, Email: office@harrisindustrial.info; website: http://harrisindustrial.info/</v>
          </cell>
          <cell r="T82" t="str">
            <v>provide taxonomic certificates; ship via Purolator or UPS?
shipment cost $xx via Purolator according to Agile program…huge ouch!
email invoice to Janetta Fraser at: office@harrisindustrial.ca
email invoice to Janetta Fraser at: janetta@harrisindustrial.ca
email invoice to David Robinson at: david@harrisindustrial.ca</v>
          </cell>
          <cell r="U82">
            <v>103252</v>
          </cell>
        </row>
        <row r="83">
          <cell r="A83" t="str">
            <v>1059-001</v>
          </cell>
          <cell r="B83" t="str">
            <v>Jean-Sebastien Deschenes</v>
          </cell>
          <cell r="C83" t="str">
            <v>Jean-Sebastien</v>
          </cell>
          <cell r="D83" t="str">
            <v>Professor</v>
          </cell>
          <cell r="E83" t="str">
            <v>Universite du Quebec a Rimouski</v>
          </cell>
          <cell r="F83" t="str">
            <v>U Quebec a Rimouski</v>
          </cell>
          <cell r="G83" t="str">
            <v>300 allee des Ursulines</v>
          </cell>
          <cell r="H83" t="str">
            <v>Reception de marchandise</v>
          </cell>
          <cell r="I83" t="str">
            <v>-</v>
          </cell>
          <cell r="J83" t="str">
            <v>Rimouski</v>
          </cell>
          <cell r="K83" t="str">
            <v>QC</v>
          </cell>
          <cell r="L83" t="str">
            <v>G5L 3A1</v>
          </cell>
          <cell r="M83" t="str">
            <v>Canada</v>
          </cell>
          <cell r="N83" t="str">
            <v>4187231986x1997</v>
          </cell>
          <cell r="P83" t="str">
            <v>jean-sebastien_deschenes@uqar.ca</v>
          </cell>
          <cell r="Q83" t="str">
            <v>Jean-Sebastien Deschenes, Universite du Quebec a Rimouski, 300 allee des Ursulines, Reception des marchandises, Rimouski, QC  G5L 3A1
Tel: 418-723-1986 x 1997; Email: jean-sebastien_deschenes@uqar.ca</v>
          </cell>
          <cell r="R83" t="str">
            <v>CA</v>
          </cell>
          <cell r="S83" t="str">
            <v>Universite du Quebec a Rimouski - Campus de Rimouski, 300, allee des Ursulines, C.P. 3000, succ A, Rimouski, QC  G5L 3A1; Email: factures@uqar.ca; Tel: 418-723-1986 x 1486; Fax: 418-724-1655 (Attn: Services finanaces et approvionnements)</v>
          </cell>
          <cell r="T83" t="str">
            <v>email invoice to Comptes payables at: factures@uqar.ca</v>
          </cell>
          <cell r="U83">
            <v>103773</v>
          </cell>
        </row>
        <row r="84">
          <cell r="A84" t="str">
            <v>1037-001</v>
          </cell>
          <cell r="B84" t="str">
            <v>Jenine McCutcheon</v>
          </cell>
          <cell r="C84" t="str">
            <v>Jenine</v>
          </cell>
          <cell r="D84" t="str">
            <v>Assistant Professor</v>
          </cell>
          <cell r="E84" t="str">
            <v>University of Waterloo</v>
          </cell>
          <cell r="F84" t="str">
            <v>UWaterloo</v>
          </cell>
          <cell r="G84" t="str">
            <v>200 University Ave W</v>
          </cell>
          <cell r="H84" t="str">
            <v>Earth &amp; Env Sci, EIT 2051A</v>
          </cell>
          <cell r="I84" t="str">
            <v>-</v>
          </cell>
          <cell r="J84" t="str">
            <v>Waterloo</v>
          </cell>
          <cell r="K84" t="str">
            <v>ON</v>
          </cell>
          <cell r="L84" t="str">
            <v xml:space="preserve"> N2L 3G1</v>
          </cell>
          <cell r="M84" t="str">
            <v>Canada</v>
          </cell>
          <cell r="N84" t="str">
            <v>519-888-4567 x37512</v>
          </cell>
          <cell r="P84" t="str">
            <v>jenine.mccutcheon@uwaterloo.ca</v>
          </cell>
          <cell r="Q84" t="str">
            <v>Jenine McCutcheon, University of Waterloo, Department of Earth &amp; Environmental Sciences, EIT 2051A, 200 University Ave. W, Waterloo, ON  N2L 3G1
Tel: 519-888-4567 x37512; Email: jenine.mccutcheon@uwaterloo.ca</v>
          </cell>
          <cell r="R84" t="str">
            <v>CA</v>
          </cell>
          <cell r="S84" t="str">
            <v>internal debit memo</v>
          </cell>
          <cell r="T84" t="str">
            <v>internal debit memo given to customer on mmm dd/yy; they returned it on mmm dd/yy; given to Lucy Satora on mmm dd/yy; credited to our account in mmm yyyy</v>
          </cell>
          <cell r="U84" t="str">
            <v>N/A</v>
          </cell>
        </row>
        <row r="85">
          <cell r="A85" t="str">
            <v>1074-001</v>
          </cell>
          <cell r="B85" t="str">
            <v>Jennifer Doyle</v>
          </cell>
          <cell r="C85" t="str">
            <v>Jennifer</v>
          </cell>
          <cell r="D85" t="str">
            <v>Former name: Jennfer Mews</v>
          </cell>
          <cell r="E85" t="str">
            <v>Avalon Laboratories Inc.</v>
          </cell>
          <cell r="F85" t="str">
            <v>Avalon Labs</v>
          </cell>
          <cell r="G85" t="str">
            <v>5 Sea Rose Avenue</v>
          </cell>
          <cell r="H85" t="str">
            <v>-</v>
          </cell>
          <cell r="I85" t="str">
            <v>-</v>
          </cell>
          <cell r="J85" t="str">
            <v>St. John's</v>
          </cell>
          <cell r="K85" t="str">
            <v>NL</v>
          </cell>
          <cell r="L85" t="str">
            <v>A1A 0P6</v>
          </cell>
          <cell r="M85" t="str">
            <v>Canada</v>
          </cell>
          <cell r="N85" t="str">
            <v>709-726-9345 x209</v>
          </cell>
          <cell r="P85" t="str">
            <v>jdoyle@avalonlaboratories.ca</v>
          </cell>
          <cell r="Q85" t="str">
            <v>Jennifer Doyle, Avalon Laboratories Inc., 5 Sea Rose Avenue, St. John's, NL  A1A 0P6
Tel: 709-726-9345 x209; Email: jmews@avalonlaboratories.ca
(Former name: Jennifer Mews)</v>
          </cell>
          <cell r="R85" t="str">
            <v>CC</v>
          </cell>
          <cell r="S85" t="str">
            <v>Avalon Laboratories Inc., 5 Sea Rose Avenue, St. John's, NL  A1A 0P6; Email: accountspayable@avalonlaboratories.ca</v>
          </cell>
          <cell r="T85" t="str">
            <v>provide taxonomic certificates
shipment cost $xx via Purolator or FedEx; charged accordingly
email invoice to Accounts Payable at: accountspayable@avalonlaboratories.ca</v>
          </cell>
          <cell r="U85">
            <v>105032</v>
          </cell>
        </row>
        <row r="86">
          <cell r="A86" t="str">
            <v>1002-001</v>
          </cell>
          <cell r="B86" t="str">
            <v>Jeremy Byrnes</v>
          </cell>
          <cell r="C86" t="str">
            <v>Jeremy</v>
          </cell>
          <cell r="D86" t="str">
            <v>Senior Analyst - Environmental</v>
          </cell>
          <cell r="E86" t="str">
            <v>ALS Environmental - Winnipeg</v>
          </cell>
          <cell r="F86" t="str">
            <v>ALS Winnipeg</v>
          </cell>
          <cell r="G86" t="str">
            <v>Unit 12 - 1329 Niakwa Rd E.</v>
          </cell>
          <cell r="H86" t="str">
            <v>c/o Winnipeg Receiving</v>
          </cell>
          <cell r="I86" t="str">
            <v>-</v>
          </cell>
          <cell r="J86" t="str">
            <v>Winnipeg</v>
          </cell>
          <cell r="K86" t="str">
            <v>MB</v>
          </cell>
          <cell r="L86" t="str">
            <v>R2J 3T4</v>
          </cell>
          <cell r="M86" t="str">
            <v>Canada</v>
          </cell>
          <cell r="N86" t="str">
            <v>Winnipeg lab = 204-255-9720</v>
          </cell>
          <cell r="O86" t="str">
            <v>Winnipeg = 204-255-9721</v>
          </cell>
          <cell r="P86" t="str">
            <v>Jeremy.Byrnes@ALSGlobal.com</v>
          </cell>
          <cell r="Q86" t="str">
            <v>Winnipeg Receiving Department, ALS Environmental - Winnipeg, Unit 12 - 1329 Niakwa Rd E., Winnipeg, MB  R2J 3T4
FOR: Jeremy Byrnes (Senior Analyst - Environmental); Winnipeg lab = 204-255-9720; Fax: Winnipeg = 204-255-9721; Email: Jeremy.Byrnes@ALSGlobal.com
(Purchaser: Amber Chang; Tel: O: 604 984 0221, D: 604 998 5319; Email: amber.chang@alsglobal.com OR  Amelie de Champs; O: +1 604 984 0221, D: +1 778 403 6549; Email: amelie.dechamps@alsglobal.com; General Purchasing Email: alsorders@alsglobal.com)</v>
          </cell>
          <cell r="R86" t="str">
            <v>CC</v>
          </cell>
          <cell r="S86" t="str">
            <v>Accounts Payable, ALS Laboratory Group, 2103 Dollarton Hwy, North Vancouver, BC  V7H 0A7; Tel: 604-984-0221, Fax: 604-998-1548, Email: acctspayable.canusa@alsglobal.com (Purchaser contact info = General (alsorders@alsglobal.com); Ferial Hayfa (Ferial.Hayfa@ALSGlobal.com); Darrell Becker (Darrell.Becker@alsglobal.com); Neda Nouri (neda.nouri@ALSGlobal.com); Nina Li (nina.li@ALSGlobal.com); Amber Chang (amber.chang@alsglobal.com); Amelie de Champs (amelie.dechamps@alsglobal.com))
Email: ALSWP.AcctsPay@alsglobal.com</v>
          </cell>
          <cell r="T86" t="str">
            <v>Provide taxonomic certificates
Uses a PO#; email invoice to Accounts Payable at: acctspayable.canusa@alsglobal.com
email invoice to Accounts Payable at: ALSWP.AcctsPay@alsglobal.com</v>
          </cell>
          <cell r="U86">
            <v>102875</v>
          </cell>
        </row>
        <row r="87">
          <cell r="A87" t="str">
            <v>1021-001</v>
          </cell>
          <cell r="B87" t="str">
            <v>Jerome Comte</v>
          </cell>
          <cell r="C87" t="str">
            <v>Jerome</v>
          </cell>
          <cell r="D87" t="str">
            <v>Associate Professor</v>
          </cell>
          <cell r="E87" t="str">
            <v>Institut National de la Recherche Scientifique (INRS) - Eau Terre Environnement (ETE)</v>
          </cell>
          <cell r="F87" t="str">
            <v>INRS - ETE</v>
          </cell>
          <cell r="G87" t="str">
            <v>490 rue de la Couronne</v>
          </cell>
          <cell r="H87" t="str">
            <v>-</v>
          </cell>
          <cell r="I87" t="str">
            <v>-</v>
          </cell>
          <cell r="J87" t="str">
            <v>Quebec</v>
          </cell>
          <cell r="K87" t="str">
            <v>QC</v>
          </cell>
          <cell r="L87" t="str">
            <v>G1K 9A9</v>
          </cell>
          <cell r="M87" t="str">
            <v>Canada</v>
          </cell>
          <cell r="N87" t="str">
            <v>418-654-2591</v>
          </cell>
          <cell r="P87" t="str">
            <v>jerome.comte@inrs.ca</v>
          </cell>
          <cell r="Q87" t="str">
            <v>Jerome Comte, Institut National de la Recherche Scientifique, Eau Terre Environnement (INRS- ETE), 490 rue de la Couronne, Quebec, QC G1K 9A9
Tel: 418-654-2591; Email: jerome.comte@inrs.ca
(INRS is part of Universite du Quebec)</v>
          </cell>
          <cell r="R87" t="str">
            <v>CA</v>
          </cell>
          <cell r="S87" t="str">
            <v>Institut National de la Recherche Scientifique (INRS) - Administration, 490 rue de la Couronne, Quebec, QC G1K 9A9; Attn: Comptes Payables, Email: cap@inrs.ca (comptesapayer@adm.inrs.ca)</v>
          </cell>
          <cell r="T87" t="str">
            <v>Should arrive next day but sometimes takes 2 days…even if paying for Purolator Express 10:30AM
requires a quote &amp; uses a PO
email invoice to Comptes Payables at: cap@inrs.ca
email invoice to Comptes Payables at: comptesapayer@adm.inrs.ca</v>
          </cell>
          <cell r="U87">
            <v>104897</v>
          </cell>
        </row>
        <row r="88">
          <cell r="A88" t="str">
            <v>1014-001</v>
          </cell>
          <cell r="B88" t="str">
            <v>Jerome Silvestre</v>
          </cell>
          <cell r="C88" t="str">
            <v>Jerome</v>
          </cell>
          <cell r="E88" t="str">
            <v>ECOLAB - Campus UPS</v>
          </cell>
          <cell r="F88" t="str">
            <v>ECOLAB - Campus UPS</v>
          </cell>
          <cell r="G88" t="str">
            <v>118 route de Narbonne</v>
          </cell>
          <cell r="H88" t="str">
            <v xml:space="preserve"> TOULOUSE CEDEX 9</v>
          </cell>
          <cell r="I88" t="str">
            <v>Bat 4 R1</v>
          </cell>
          <cell r="J88" t="str">
            <v>Toulouse</v>
          </cell>
          <cell r="K88" t="str">
            <v>Occitanie (xx?)</v>
          </cell>
          <cell r="L88" t="str">
            <v>31062</v>
          </cell>
          <cell r="M88" t="str">
            <v>France</v>
          </cell>
          <cell r="N88" t="str">
            <v>+ 33 5-34-32-39-39
cell: +33676428267</v>
          </cell>
          <cell r="O88" t="str">
            <v>+ 33 5-34-32-39-01
Former email address: jerome.silvestre@ensat.fr</v>
          </cell>
          <cell r="P88" t="str">
            <v>jerome.silvestre@toulouse-inp.fr</v>
          </cell>
          <cell r="Q88" t="str">
            <v>Mouchet Florence, 118 route de Narbonne, Bat 4 R1, 31062 TOULOUSE CEDEX 9, FRANCE (City: Toulouse; Region: Occitanie
Tel: 06 31 48 97 96; Email: florence.mouchet@univ-tlse2.fr
FOR: Jerome Silvestre; Tel: + 33 5-34-32-39-39, Cell: +33676428267; Fax: + 33 5-34-32-39-01; Email: jerome.silvestre@toulouse-inp.fr, Former Email: jerome.silvestre@ensat.fr
OR
Laboratoire ECOLAB, Avenue de l'Agrobiopole, Auzeville Tolosane, 31320 France (Although PO indicated 31326 Castanet Tolosan CEDEX) (region: Midi-Pyrenees, but okay to put "-" marks into Go-Logix system for province) (purchased by Ahmed Lebrihi or Chrystelle Radou or Catherine Donati)</v>
          </cell>
          <cell r="R88" t="str">
            <v>IA</v>
          </cell>
          <cell r="S88" t="str">
            <v>Unit 4 address:
Centre national de la recherche scientifique - EcoLab, Universite Paul Sabatier, Batiment 4R1, 118 route de Narbonne, 31062 Toulouse CEDEX 9, France (Financial contact: Catherine Donati, Gestionnaire = Administrative Manager; Tel: 05-61-55-89-04; Email: catherine.donati@univ-tlse3.fr)
when invoice goes to INPT Auzeville-Tolosane:
Chrystelle Radou, Institut National Polytechnique de Toulouse, EcoLab/Campus Ensat, Departement de Finance, Avenue de l’Agrobiopole, BP 32607, Auzeville-Tolosane, 31326 Castanet-Tolosan, France; Tel: + 33 5-62-19-39-74; Fax: + 33 5-62-19-39-01; Email: chrystelle.radou@ensat.fr; Website: http://www.ecolab.ups-tlse.fr/
when invoice goes to INPT Toulouse:
Chrystelle Radou, Institut National Polytechnique de Toulouse, Agence comptable - service facturier, 6 Allee Emilie Monso, BP 34038, 31029 Toulouse cedex 4, Toulouse, France 31029; Tel: + 33 5-34-32-39-74; Fax: + 33 5-34-32-39-71; Email: chrystelle.radou@ensat.fr
when invoice goes to CNRS Toulouse:
Catherine Donati, Le Centre national de la recherche scientifique (CNRS), Laboratoire ECOLAB - 1856, Université Paul Sabatier, 118 Route de Narbonne - Bat 4R1, 31062 Toulouse Cedex 9, Toulouse, France; Tel: 05-61-55-89-04; Email: catherine.donati@univ-tlse3.fr</v>
          </cell>
          <cell r="T88" t="str">
            <v>use UW FedEx account + round up to nearest $5 increment ($xx)
email invoice to Catherine Donati at: catherine.donati@univ-tlse3.fr
ensure the name "Florence Mouchet" is indicated on the invoice? double-check before issuing invoice!
if using a PO# (No. COM) then also reference the Code service Chorus Pro: UMR5245; SIRET: 18008901303720; NoTVAICC: FR40180089013
invoices are currently being mailed via Canada Post to Attn: Comptes Payables for Jerome Silvestre</v>
          </cell>
          <cell r="U88">
            <v>108485</v>
          </cell>
        </row>
        <row r="89">
          <cell r="A89" t="str">
            <v>N/A</v>
          </cell>
          <cell r="B89" t="str">
            <v>Jianguo (Jack) Hu</v>
          </cell>
          <cell r="C89" t="str">
            <v>Jack</v>
          </cell>
          <cell r="D89" t="str">
            <v>Technician 
Supervisor: Carlos Cruz</v>
          </cell>
          <cell r="E89" t="str">
            <v>University of Toronto</v>
          </cell>
          <cell r="F89" t="str">
            <v>U of Toronto</v>
          </cell>
          <cell r="G89" t="str">
            <v>25 Harbord Street</v>
          </cell>
          <cell r="H89" t="str">
            <v>Reception Suite 401</v>
          </cell>
          <cell r="I89" t="str">
            <v>Cell Systems &amp; Biology</v>
          </cell>
          <cell r="J89" t="str">
            <v>Toronto</v>
          </cell>
          <cell r="K89" t="str">
            <v>ON</v>
          </cell>
          <cell r="L89" t="str">
            <v>M5S 3G5</v>
          </cell>
          <cell r="M89" t="str">
            <v>Canada</v>
          </cell>
          <cell r="N89" t="str">
            <v>647-668-4801
Cell: 647-668-4801</v>
          </cell>
          <cell r="P89" t="str">
            <v>jack.hu@utoronto.ca</v>
          </cell>
          <cell r="Q89" t="str">
            <v>Jianguo Hu, University of Toronto, Department of Biology, Cell Systems and Biology, 25 Harbord Street, Reception Suite 401, Toronto, ON  M5S 3G5
Tel: 647-668-4801, Cell: 647-668-4801; Email: jack.hu@utoronto.ca</v>
          </cell>
          <cell r="R89" t="str">
            <v>CA</v>
          </cell>
          <cell r="S89" t="str">
            <v>Robbie Brar, University of Toronto - Dept of Ecology and Evolutionary Biology, 25 Willcocks Street, Toronto ON M5S 3B2; Tel: 416-978-3248, Fax: 416-978-5878, Email: robbie.brar@utoronto.ca</v>
          </cell>
          <cell r="T89" t="str">
            <v>for EEB 268
email invoice to Robbie Brar/Jianguo (Jack) Hu at: eeb.reception@utoronto.ca</v>
          </cell>
          <cell r="U89">
            <v>103819</v>
          </cell>
        </row>
        <row r="90">
          <cell r="A90" t="str">
            <v>1010-001</v>
          </cell>
          <cell r="B90" t="str">
            <v>Jillian Thompson-Anderson</v>
          </cell>
          <cell r="C90" t="str">
            <v>Jillian</v>
          </cell>
          <cell r="D90" t="str">
            <v>QA Officer</v>
          </cell>
          <cell r="E90" t="str">
            <v>City of Hamilton Environmental Lab</v>
          </cell>
          <cell r="F90" t="str">
            <v>City of Hamilton Environ. Lab</v>
          </cell>
          <cell r="G90" t="str">
            <v>700 Woodward Ave</v>
          </cell>
          <cell r="H90" t="str">
            <v>lab/admin building</v>
          </cell>
          <cell r="I90" t="str">
            <v>-</v>
          </cell>
          <cell r="J90" t="str">
            <v>Hamilton</v>
          </cell>
          <cell r="K90" t="str">
            <v>ON</v>
          </cell>
          <cell r="L90" t="str">
            <v>L8H 6P4</v>
          </cell>
          <cell r="M90" t="str">
            <v>Canada</v>
          </cell>
          <cell r="N90" t="str">
            <v>905-546-2424 x 5884</v>
          </cell>
          <cell r="P90" t="str">
            <v>JJ.Anderson@hamilton.ca</v>
          </cell>
          <cell r="Q90" t="str">
            <v>Jillian Thompson-Anderson (QA Officer), City of Hamilton Environmental Lab, 700 Woodward Ave, lab/admin building, Hamilton, ON  L8H 6P4
Tel: 905-546-2424 x 5884; Email: JJ.Anderson@hamilton.ca</v>
          </cell>
          <cell r="R90" t="str">
            <v>CG</v>
          </cell>
          <cell r="S90" t="str">
            <v>City of Hamilton Environmental Lab, 700 Woodward Avenue, Hamilton, ON  L8H 6P4; Tel: 905-546-2424; Email:  water.invoices@hamilton.ca</v>
          </cell>
          <cell r="T90" t="str">
            <v>email invoice to Jillian Thompson-Anderson at: water.invoices@hamilton.ca</v>
          </cell>
          <cell r="U90">
            <v>107755</v>
          </cell>
        </row>
        <row r="91">
          <cell r="A91" t="str">
            <v>1033-004</v>
          </cell>
          <cell r="B91" t="str">
            <v>Joey Bernhardt</v>
          </cell>
          <cell r="C91" t="str">
            <v>Joey</v>
          </cell>
          <cell r="D91" t="str">
            <v>PhD, Assistant Professor</v>
          </cell>
          <cell r="E91" t="str">
            <v>University of Guelph</v>
          </cell>
          <cell r="F91" t="str">
            <v>U of Guelph</v>
          </cell>
          <cell r="G91" t="str">
            <v>50 Stone Rd E</v>
          </cell>
          <cell r="H91" t="str">
            <v>Integrative Bio, SSC 2408</v>
          </cell>
          <cell r="I91" t="str">
            <v>-</v>
          </cell>
          <cell r="J91" t="str">
            <v>Guelph</v>
          </cell>
          <cell r="K91" t="str">
            <v>ON</v>
          </cell>
          <cell r="L91" t="str">
            <v>N1G 2W1</v>
          </cell>
          <cell r="M91" t="str">
            <v>Canada</v>
          </cell>
          <cell r="N91" t="str">
            <v>519-824-4120 x55820
Cell: 604-355-0653</v>
          </cell>
          <cell r="P91" t="str">
            <v>joey.bernhardt@uoguelph.ca</v>
          </cell>
          <cell r="Q91" t="str">
            <v>Joey Bernhardt (PhD, Assistant Professor), University of Guelph, College of Biological Science (CBS), Integrative Biology, Summerlee Science Complex Room 2408 (SSC 2408), 50 Stone Road East, Guelph ON  N1G 2W1
Tel: 519-824-4120 x55820; Cell: 604-355-0653; Email: joey.bernhardt@uoguelph.ca</v>
          </cell>
          <cell r="R91" t="str">
            <v>CA</v>
          </cell>
          <cell r="S91" t="str">
            <v>Accounts Payable, University of Guelph, 50 Stone Road E, Guelph ON N1G 2W1; Email: acctspay@uoguelph.ca (College of Biological Science, Purchasing Manager: Nora Teri, Tel: 519-824-4120 x52774, Personal Email: nteri@uoguelph.ca; Other Purchasers: Russell Hamley; Email: cbsclerk@uoguelph.ca)</v>
          </cell>
          <cell r="T91" t="str">
            <v>email invoice to Accounts Payable at: acctspay@uoguelph.ca and reference the purchaser, department, and PO #</v>
          </cell>
          <cell r="U91">
            <v>103794</v>
          </cell>
        </row>
        <row r="92">
          <cell r="A92" t="str">
            <v>1023-001</v>
          </cell>
          <cell r="B92" t="str">
            <v>Jon Stone</v>
          </cell>
          <cell r="C92" t="str">
            <v>Jon</v>
          </cell>
          <cell r="D92" t="str">
            <v>Professor</v>
          </cell>
          <cell r="E92" t="str">
            <v>McMaster University</v>
          </cell>
          <cell r="F92" t="str">
            <v>McMaster U</v>
          </cell>
          <cell r="G92" t="str">
            <v>1280 Main St. W</v>
          </cell>
          <cell r="H92" t="str">
            <v>Biology, Rm 325 or 327</v>
          </cell>
          <cell r="I92" t="str">
            <v>Life Sciences Bldg</v>
          </cell>
          <cell r="J92" t="str">
            <v>Hamilton</v>
          </cell>
          <cell r="K92" t="str">
            <v>ON</v>
          </cell>
          <cell r="L92" t="str">
            <v>L8S 4K1</v>
          </cell>
          <cell r="M92" t="str">
            <v>Canada</v>
          </cell>
          <cell r="N92" t="str">
            <v>office: 905-525-9140 x26136
lab: 905-525-9140 x27676</v>
          </cell>
          <cell r="O92" t="str">
            <v>905-522-6066</v>
          </cell>
          <cell r="P92" t="str">
            <v>jstoner@mcmaster.ca</v>
          </cell>
          <cell r="Q92" t="str">
            <v>Jon Stone, McMaster University, Department of Biology, Life Sciences Building, Room 325 or 327, 1280 Main Street West, Hamilton ON L8S 4K1
Tel: office: 905-525-9140 x26136, lab: 905-525-9140 x27676; Fax: 905-522-6066; Email: jstoner@mcmaster.ca</v>
          </cell>
          <cell r="R92" t="str">
            <v>CA</v>
          </cell>
          <cell r="S92" t="str">
            <v>McMaster University - Department of Biology, 1280 Main Street West, Life Sciences Building (LSB-218), Hamilton ON L8S 4K1; Email: biology2@mcmaster.ca</v>
          </cell>
          <cell r="T92" t="str">
            <v>ship via Purolator Express
email invoice to Jon Stone (jstoner@mcmaster.ca; LSB-327) at: biology2@mcmaster.ca</v>
          </cell>
          <cell r="U92">
            <v>106747</v>
          </cell>
        </row>
        <row r="93">
          <cell r="A93" t="str">
            <v>1019-001</v>
          </cell>
          <cell r="B93" t="str">
            <v>Joshua (Josh) Arnie</v>
          </cell>
          <cell r="C93" t="str">
            <v>Josh</v>
          </cell>
          <cell r="D93" t="str">
            <v>Manager of Plant &amp; Invertebrate Toxicology</v>
          </cell>
          <cell r="E93" t="str">
            <v>Eurofins EAG Agroscience Services</v>
          </cell>
          <cell r="F93" t="str">
            <v>Eurofins Agroscience</v>
          </cell>
          <cell r="G93" t="str">
            <v>8598 Commerce Drive
(can also use 8665 Brooks Drive)</v>
          </cell>
          <cell r="H93" t="str">
            <v>-</v>
          </cell>
          <cell r="I93" t="str">
            <v>-</v>
          </cell>
          <cell r="J93" t="str">
            <v>Easton</v>
          </cell>
          <cell r="K93" t="str">
            <v>MD</v>
          </cell>
          <cell r="L93">
            <v>21601</v>
          </cell>
          <cell r="M93" t="str">
            <v>USA</v>
          </cell>
          <cell r="N93" t="str">
            <v>410-822-8600</v>
          </cell>
          <cell r="P93" t="str">
            <v>joshua.arnie@as.eurofinsus.com</v>
          </cell>
          <cell r="Q93" t="str">
            <v>Joshua Arnie, Eurofins EAG Agroscience Services, 8598 Commerce Drive, Easton MD 21601 USA
Tel: 410-822-8600; Email: joshua.arnie@as.eurofinsus.com
(NOTE: Josh may put 8665 Brooks Drive, Easton, MD, 21601-7487, USA on the order request but it is the same facility with multiple buildings and mailing addresses)</v>
          </cell>
          <cell r="R93" t="str">
            <v>IC</v>
          </cell>
          <cell r="S93" t="str">
            <v>Eurofins EAG Agroscience, LLC - Easton, 8598 Commerce Drive, Easton MD 21601-7488 USA; Attn: Mike Schuettpelz (Procurement Coordinator), Tel: 410-822-8600, Email:  michaelschuettpelz@as.eurofinsus.com
Email: michaelschuettpelz@eurofinsus.com</v>
          </cell>
          <cell r="T93" t="str">
            <v>Provide taxonomic certificates
Use UW FedEx account &amp; round up to nearest $5 increment + $25 Handling OR send collect with FedEx account # 134739452 for both shipping and Customs?
Use "Live cell cultures; research; non-haz." or "Lab algal cultures; research; non-haz." wording on shipping request
Email invoice to Mike Schuettpelz at: Michael.Schuettpelz@as.eurofinsus.com
Notify Mike Schuettpelz after invoice has been issued
email invoice to Mike Schuettpelz at: michaelschuettpelz@eurofinsus.com</v>
          </cell>
          <cell r="U93">
            <v>108766</v>
          </cell>
        </row>
        <row r="94">
          <cell r="A94" t="str">
            <v>1037-002</v>
          </cell>
          <cell r="B94" t="str">
            <v>Jozef Nissimov</v>
          </cell>
          <cell r="C94" t="str">
            <v>Jozef</v>
          </cell>
          <cell r="D94" t="str">
            <v>Assistant Professor</v>
          </cell>
          <cell r="E94" t="str">
            <v>University of Waterloo</v>
          </cell>
          <cell r="F94" t="str">
            <v>UWaterloo</v>
          </cell>
          <cell r="G94" t="str">
            <v>200 University Ave W</v>
          </cell>
          <cell r="H94" t="str">
            <v>Biology, B2-359B</v>
          </cell>
          <cell r="I94" t="str">
            <v>-</v>
          </cell>
          <cell r="J94" t="str">
            <v>Waterloo</v>
          </cell>
          <cell r="K94" t="str">
            <v>ON</v>
          </cell>
          <cell r="L94" t="str">
            <v>N2L 3G1</v>
          </cell>
          <cell r="M94" t="str">
            <v>Canada</v>
          </cell>
          <cell r="N94" t="str">
            <v>519-888-4567 x 35995
Cell: 226-978-6379</v>
          </cell>
          <cell r="O94" t="str">
            <v>519-746-0614</v>
          </cell>
          <cell r="P94" t="str">
            <v>jnissimov@uwaterloo.ca</v>
          </cell>
          <cell r="Q94" t="str">
            <v>Jozef Nissimov, University of Waterloo, Department of Biology, Room B2-359B, 200 University Avenue W, Waterloo, ON  N2L 3G1
Tel: 519-888-4567 x 35995, Cell: 226-978-6379; Fax: 519-746-0614; Email: jnissimov@uwaterloo.ca</v>
          </cell>
          <cell r="R94" t="str">
            <v>CA</v>
          </cell>
          <cell r="S94" t="str">
            <v>internal debit memo to: Jozef Nissimov, University of Waterloo, Department of Biology, Room B2-359B, 200 University Avenue W, Waterloo, ON  N2L 3G1; Tel: 519-888-4567 x 32058; Fax: 519-746-0614; Email: jnissimov@uwaterloo.ca</v>
          </cell>
          <cell r="T94" t="str">
            <v>internal debit memo given to Jozef Nissimov on mmm dd/yy; they returned it on mmm dd/yy; given to Lucy Satora on mmm dd/yy; credited to our account in mmm yyyy</v>
          </cell>
          <cell r="U94" t="str">
            <v>N/A</v>
          </cell>
        </row>
        <row r="95">
          <cell r="A95" t="str">
            <v>1034-001</v>
          </cell>
          <cell r="B95" t="str">
            <v>Karsten Liber</v>
          </cell>
          <cell r="C95" t="str">
            <v>Karsten</v>
          </cell>
          <cell r="D95" t="str">
            <v>Professor</v>
          </cell>
          <cell r="E95" t="str">
            <v>University of Saskatchewan</v>
          </cell>
          <cell r="F95" t="str">
            <v>U of Saskatchewan</v>
          </cell>
          <cell r="G95" t="str">
            <v>44 Campus Drive</v>
          </cell>
          <cell r="H95" t="str">
            <v>Toxicology Centre, Rm 11</v>
          </cell>
          <cell r="I95" t="str">
            <v>-</v>
          </cell>
          <cell r="J95" t="str">
            <v>Saskatoon</v>
          </cell>
          <cell r="K95" t="str">
            <v>SK</v>
          </cell>
          <cell r="L95" t="str">
            <v>S7N 5B3</v>
          </cell>
          <cell r="M95" t="str">
            <v>Canada</v>
          </cell>
          <cell r="N95" t="str">
            <v>306-966-7444</v>
          </cell>
          <cell r="P95" t="str">
            <v>karsten.liber@usask.ca</v>
          </cell>
          <cell r="Q95" t="str">
            <v>University of Saskatchewan, Toxicology Centre, Room 11, 44 Campus Drive, Saskatoon, SK S7N 5B3</v>
          </cell>
          <cell r="R95" t="str">
            <v>CA</v>
          </cell>
          <cell r="S95" t="str">
            <v>University of Saskatchewan, ConnectionPoint, Arts Building, Rm 258, Saskatoon, SK  S7N 5A7; Email: connectionpoint@usask.ca
Adriana Brown, University of Saskatchewan, 44 Campus Drive, Room 11, Saskatoon, Saskatchewan S7N 5B3; Tel: 306-966-7443, Email: adriana.brown@usask.ca (Contact in Sharepoint: Elise Bird; Tel: 306 966-8729, Email: jelisebird@gmail.com)</v>
          </cell>
          <cell r="T95" t="str">
            <v>ship via Purolator Express
email invoice to Attn: Karsten Liber (Toxicology Centre) at: connectionpoint@usask.ca with External reference: Karsten Liber (karsten.liber@usask.ca)</v>
          </cell>
          <cell r="U95">
            <v>103813</v>
          </cell>
        </row>
        <row r="96">
          <cell r="A96" t="str">
            <v>1018-001</v>
          </cell>
          <cell r="B96" t="str">
            <v>Karyne Plante</v>
          </cell>
          <cell r="C96" t="str">
            <v>Karyne</v>
          </cell>
          <cell r="D96" t="str">
            <v>Laboratory Supervisor</v>
          </cell>
          <cell r="E96" t="str">
            <v>Eurofins - EnvironeX</v>
          </cell>
          <cell r="F96" t="str">
            <v>Eurofins - EnvironeX</v>
          </cell>
          <cell r="G96" t="str">
            <v>4495 boulevard Wilfrid-Hamel</v>
          </cell>
          <cell r="H96" t="str">
            <v>Suite 150, Ecotox</v>
          </cell>
          <cell r="I96" t="str">
            <v>-</v>
          </cell>
          <cell r="J96" t="str">
            <v>Quebec</v>
          </cell>
          <cell r="K96" t="str">
            <v>QC</v>
          </cell>
          <cell r="L96" t="str">
            <v>G1P 2J7</v>
          </cell>
          <cell r="M96" t="str">
            <v>Canada</v>
          </cell>
          <cell r="N96" t="str">
            <v>418-977-1220
Toll free: 1-877-977-1220</v>
          </cell>
          <cell r="P96" t="str">
            <v>karyneplante@et.eurofinsca.com</v>
          </cell>
          <cell r="Q96" t="str">
            <v>Karyne Plante, Eurofins - EnvironeX, Suite 150, Ecotox, 4495 boulevard Wilfrid-Hamel, Quebec, QC  G1P 2J7
Tel: 418-977-1220; Toll free: 1-877-977-1220; Email: karyneplante@et.eurofinsca.com
(Order sometimes placed by Daniela Uhrig (Project Manager), Tel: 418-878-4927 x 23330, Email: DanielaUhrig@Eurofins.com; Purchaser: Louise Riopel or Karim Charland &lt;KarimCharland@eurofins.com&gt; or Isabelle Blackburn &lt;isabelleblackburn@labenvironex.com&gt; or Eva Maraj &lt;EvaMaraj@eurofins.com&gt;)</v>
          </cell>
          <cell r="R96" t="str">
            <v>CC</v>
          </cell>
          <cell r="S96" t="str">
            <v>Attn: Accounts Payable, Eurofins Environment Testing Canada Inc., 1120 Finch Ave W, Suite 200, North York ON  M3J 3H7; Email: APCanada@eurofins.com
Attn: Accounts Payable, Eurofins Environment Testing Canada Inc., 1111 Flint Road, Unit 36, North York ON  M3J 3C7</v>
          </cell>
          <cell r="T96" t="str">
            <v>takes 2 days to arrive…there isn't any next day delivery even by paying for Purolator Express 10:30AM
provide taxonomic certificates
email invoice to Accounts Payable at APCanada@eurofins.com</v>
          </cell>
          <cell r="U96">
            <v>104582</v>
          </cell>
        </row>
        <row r="97">
          <cell r="A97" t="str">
            <v>1029-002</v>
          </cell>
          <cell r="B97" t="str">
            <v>Katherina (Gil) Softcheck</v>
          </cell>
          <cell r="C97" t="str">
            <v>Gil</v>
          </cell>
          <cell r="D97" t="str">
            <v>Senior Biologist</v>
          </cell>
          <cell r="E97" t="str">
            <v>Smithers</v>
          </cell>
          <cell r="F97" t="str">
            <v>Smithers</v>
          </cell>
          <cell r="G97" t="str">
            <v>790 Main St.</v>
          </cell>
          <cell r="H97" t="str">
            <v>Env. Risk Sciences</v>
          </cell>
          <cell r="I97" t="str">
            <v>-</v>
          </cell>
          <cell r="J97" t="str">
            <v>Wareham</v>
          </cell>
          <cell r="K97" t="str">
            <v>MA</v>
          </cell>
          <cell r="L97" t="str">
            <v>02571-1037</v>
          </cell>
          <cell r="M97" t="str">
            <v>USA</v>
          </cell>
          <cell r="N97" t="str">
            <v>508-295-2550</v>
          </cell>
          <cell r="O97" t="str">
            <v>508-295-8107</v>
          </cell>
          <cell r="P97" t="str">
            <v>ksoftcheck@smithers.com</v>
          </cell>
          <cell r="Q97" t="str">
            <v>Katherina (Gil) Softcheck, Smithers, Environmental Risk Sciences, 790 Main St., Wareham MA 02571-1037, USA
Tel: 508-295-2550; Fax: 508-295-8107; Email: ksoftcheck@smithers.com
Broker information: Dawn Slutz, Compass Forwarding Co., Inc., 159-15 Rockaway Blvd, Jamaica, New York 11434
Tel: 718-528-3589 x223; Fax: 718-528-6751; Email: dslutz@compassfwd.com</v>
          </cell>
          <cell r="R97" t="str">
            <v>IC</v>
          </cell>
          <cell r="S97" t="str">
            <v>Smithers - Massachusetts, 790 Main St., Wareham MA 02571-1037, USA; Email: whm-ap@smithers.com
(Contact: Allison Hutsell; Tel: 508-295-2550, Fax: 508-295-8107, Email: ahutsell@smithers.com)</v>
          </cell>
          <cell r="T97" t="str">
            <v>use UW FedEx account + round up to nearest $5 increment ($xx) OR ship collect using their FedEx account #1063-9444-0. Also note that they use an external broker (Compass Forwarding), so always cc John Scully Shipping/Receiving Agent (jscully@smithers.com) and their broker with the tracking # information and a scan of the Customs letter! 
They use a PO#. Email invoice to Accounts Payable at: whm-ap@smithers.com</v>
          </cell>
          <cell r="U97">
            <v>103645</v>
          </cell>
        </row>
        <row r="98">
          <cell r="A98" t="str">
            <v>1034-002</v>
          </cell>
          <cell r="B98" t="str">
            <v>Katherine Raes</v>
          </cell>
          <cell r="C98" t="str">
            <v>Katherine</v>
          </cell>
          <cell r="D98" t="str">
            <v>Graduate Secretary &amp; Research Officer</v>
          </cell>
          <cell r="E98" t="str">
            <v>University of Saskatchewan</v>
          </cell>
          <cell r="F98" t="str">
            <v>U of Saskatchewan</v>
          </cell>
          <cell r="G98" t="str">
            <v>44 Campus Drive</v>
          </cell>
          <cell r="H98" t="str">
            <v>Toxicology Centre</v>
          </cell>
          <cell r="I98" t="str">
            <v>-</v>
          </cell>
          <cell r="J98" t="str">
            <v>Saskatoon</v>
          </cell>
          <cell r="K98" t="str">
            <v>SK</v>
          </cell>
          <cell r="L98" t="str">
            <v>S7N 5B3</v>
          </cell>
          <cell r="M98" t="str">
            <v>Canada</v>
          </cell>
          <cell r="N98" t="str">
            <v>Office: 306-966-2795
Cell: 306-850-4100
Main Office: 306-966-7441</v>
          </cell>
          <cell r="O98" t="str">
            <v>Alternate email:
kar425@mail.usask.ca</v>
          </cell>
          <cell r="P98" t="str">
            <v>katherine.raes@usask.ca</v>
          </cell>
          <cell r="Q98" t="str">
            <v>Katherine Raes, University of Saskatchewan, Toxicology Centre, 44 Campus Drive, Saskatoon, SK S7N 5B3
OR if shipping to her home address: Raes Residence, 207 Wakabayashi Way, Saskatoon, SK, S7K 7M1
Office: 306-966-2795, Cell: 306-850-4100, Main Office: 306-966-7441; Email: katherine.raes@usask.ca, Alternate email: kar425@mail.usask.ca 
(Formerly a student (Supervisor: Karsten Liber); currently Graduate Secretary &amp; Research Officer)</v>
          </cell>
          <cell r="R98" t="str">
            <v>CA</v>
          </cell>
          <cell r="S98" t="str">
            <v>University of Saskatchewan, ConnectionPoint, Arts Building, Rm 258, Saskatoon, SK  S7N 5A7; Email: connectionpoint@usask.ca
Katherine Raes, University of Saskatchewan, 44 Campus Drive, Room 11, Saskatoon, Saskatchewan S7N 5B3; Tel: 306-966-8729, Email: kar425@mail.usask.ca (Contact in Sharepoint: Elise Bird; Tel: 306 966-8729, Email: jelisebird@gmail.com)</v>
          </cell>
          <cell r="T98" t="str">
            <v>shipment cost $26.09 via UPS…OUCH! (but also used a pretty big box)
email invoice to Katherine Raes (Toxicology Centre) at: connectionpoint@usask.ca with request to forward it to Katherine Raes (katherine.raes@usask.ca)
Purchaser: Katherine Raes</v>
          </cell>
          <cell r="U98">
            <v>103813</v>
          </cell>
        </row>
        <row r="99">
          <cell r="A99" t="str">
            <v>1030-001</v>
          </cell>
          <cell r="B99" t="str">
            <v>Katheryn Klajman</v>
          </cell>
          <cell r="C99" t="str">
            <v>Katheryn</v>
          </cell>
          <cell r="D99" t="str">
            <v>Section Coordinator</v>
          </cell>
          <cell r="E99" t="str">
            <v>Testmark Laboratories Ltd.</v>
          </cell>
          <cell r="F99" t="str">
            <v>Testmark Labs</v>
          </cell>
          <cell r="G99" t="str">
            <v>7 Margaret Street N</v>
          </cell>
          <cell r="H99" t="str">
            <v>Env Tox Dept</v>
          </cell>
          <cell r="I99" t="str">
            <v>-</v>
          </cell>
          <cell r="J99" t="str">
            <v>Garson</v>
          </cell>
          <cell r="K99" t="str">
            <v>ON</v>
          </cell>
          <cell r="L99" t="str">
            <v>P3L 1E1</v>
          </cell>
          <cell r="M99" t="str">
            <v>Canada</v>
          </cell>
          <cell r="N99" t="str">
            <v xml:space="preserve">705-693-1121;
Toll-free: 1-888-282-0422 </v>
          </cell>
          <cell r="O99" t="str">
            <v>705-693-1124
Alternate email:
Katheryn.Klajman@testmark.ca</v>
          </cell>
          <cell r="P99" t="str">
            <v>toxicology@testmark.ca</v>
          </cell>
          <cell r="Q99" t="str">
            <v>Katheryn Klajman, Testmark Laboratories Ltd., Environmental Toxicology Department, 7 Margaret Street N, Garson, ON  P3L 1E1
Tel: 705-693-1121; Toll-free: 1-888-282-0422; Fax: 705-693-1124; Email: toxicology@testmark.ca; Alternate email: Katheryn.Klajman@testmark.ca
(Purchasers: Angela Prevost; Tel: 705-693-1121 x 229; Email: Angela.Prevost@testmark.ca or orders@testmark.ca OR Kamran Mansoor; Tel: 705 -693-1121 Ext.229; Email: Kamran.Mansoor@testmark.ca or orders@testmark.ca)</v>
          </cell>
          <cell r="R99" t="str">
            <v>CC</v>
          </cell>
          <cell r="S99" t="str">
            <v>Attn: Accounts Payable, Testmark Laboratories Ltd., 7 Margaret Street N, Garson, ON  P3L 1E1; Email: orders@testmark.ca  (used to be accounting@testmark.ca, then sierra.fiacconi@testmark.ca, now orders@testmark.ca)</v>
          </cell>
          <cell r="T99" t="str">
            <v>provide taxonomic certificates; uses a P.O. # some of the time
Note: they may pick up their samples at the Purolator office
email invoice to Accounts Payable at: orders@testmark.ca</v>
          </cell>
          <cell r="U99">
            <v>103703</v>
          </cell>
        </row>
        <row r="100">
          <cell r="A100" t="str">
            <v>N/A</v>
          </cell>
          <cell r="B100" t="str">
            <v>Kathleen Nolan</v>
          </cell>
          <cell r="C100" t="str">
            <v>Kathleen</v>
          </cell>
          <cell r="D100" t="str">
            <v>Supervisor: Andreas Heyland</v>
          </cell>
          <cell r="E100" t="str">
            <v>University of Guelph</v>
          </cell>
          <cell r="F100" t="str">
            <v>U of Guelph</v>
          </cell>
          <cell r="G100" t="str">
            <v>50 Stone Rd E</v>
          </cell>
          <cell r="H100" t="str">
            <v>Science Complex / Rm 1468</v>
          </cell>
          <cell r="I100" t="str">
            <v>Integrative Biology</v>
          </cell>
          <cell r="J100" t="str">
            <v>Guelph</v>
          </cell>
          <cell r="K100" t="str">
            <v>ON</v>
          </cell>
          <cell r="L100" t="str">
            <v>N1G 2W1</v>
          </cell>
          <cell r="M100" t="str">
            <v>Canada</v>
          </cell>
          <cell r="N100" t="str">
            <v>Cell: 519-766-7341</v>
          </cell>
          <cell r="P100" t="str">
            <v>knolan@uoguelph.ca</v>
          </cell>
          <cell r="Q100" t="str">
            <v>Kathleen Nolan (Supervisor: Andreas Heyland), University of Guelph, Department of Integrative Biology, Science Complex (Room 1468), 50 Stone Road East, Guelph ON N1G 2W1
Cell: 519-766-7341; Email: knolan@uoguelph.ca</v>
          </cell>
          <cell r="R100" t="str">
            <v>CA</v>
          </cell>
          <cell r="S100" t="str">
            <v>Accounts Payable, University of Guelph, 50 Stone Road E, Guelph ON N1G 2W1; Email: acctspay@uoguelph.ca (Purchasers: Susan Casey (susan@uoguelph.ca) or Jesse Allen (jallen16@uoguelph.ca); Department of Integrative Biology)</v>
          </cell>
          <cell r="T100" t="str">
            <v>email invoice to Accounts Payable at: acctspay@uoguelph.ca and reference the purchaser, department, and PO #</v>
          </cell>
          <cell r="U100">
            <v>103794</v>
          </cell>
        </row>
        <row r="101">
          <cell r="A101" t="str">
            <v>1003-001</v>
          </cell>
          <cell r="B101" t="str">
            <v>Kathryn (Katie) Thomas</v>
          </cell>
          <cell r="C101" t="str">
            <v>Katie</v>
          </cell>
          <cell r="D101" t="str">
            <v>Works with Jason Deglint</v>
          </cell>
          <cell r="E101" t="str">
            <v>Blue Lion Labs</v>
          </cell>
          <cell r="F101" t="str">
            <v>Blue Lion Labs</v>
          </cell>
          <cell r="G101" t="str">
            <v>160 Elgin Crescent</v>
          </cell>
          <cell r="H101" t="str">
            <v>-</v>
          </cell>
          <cell r="I101" t="str">
            <v>-</v>
          </cell>
          <cell r="J101" t="str">
            <v>Waterloo</v>
          </cell>
          <cell r="K101" t="str">
            <v>ON</v>
          </cell>
          <cell r="L101" t="str">
            <v>N2J 2S6</v>
          </cell>
          <cell r="M101" t="str">
            <v>Canada</v>
          </cell>
          <cell r="N101" t="str">
            <v>519-993-7126</v>
          </cell>
          <cell r="P101" t="str">
            <v>katie@bluelionlabs.com</v>
          </cell>
          <cell r="Q101" t="str">
            <v>Kathryn (Katie) Thomas, Blue Lion Labs, 160 Elgin Crescent, Waterloo, ON  N2J 2S6
Tel: 519-993-7126; Email: katie@bluelionlabs.com
(Works with Jason Deglint)</v>
          </cell>
          <cell r="R101" t="str">
            <v>CC</v>
          </cell>
          <cell r="S101" t="str">
            <v>Blue Lion Labs, 160 Elgin Crescent, Waterloo, ON N2J 2S6; Tel: 519-993-7126; Email: info@bluelionlabs.com</v>
          </cell>
          <cell r="T101" t="str">
            <v>provided nonprofit pricing since still affiliated with Uwaterloo
email invoice to Katie Thomas at: info@bluelionlabs.com</v>
          </cell>
          <cell r="U101">
            <v>109424</v>
          </cell>
        </row>
        <row r="102">
          <cell r="A102" t="str">
            <v>1072-001</v>
          </cell>
          <cell r="B102" t="str">
            <v>Katrin Zwirglmaier</v>
          </cell>
          <cell r="C102" t="str">
            <v>Katrin</v>
          </cell>
          <cell r="D102" t="str">
            <v>Principal Investigator</v>
          </cell>
          <cell r="E102" t="str">
            <v>Institut fuer Mikrobiologie der Bundeswehr</v>
          </cell>
          <cell r="F102" t="str">
            <v>Inst. Microbiologie Bundeswehr</v>
          </cell>
          <cell r="G102" t="str">
            <v>Neuherbergstrasse 11</v>
          </cell>
          <cell r="H102" t="str">
            <v>Geb. 01/Eingang F 1.OG</v>
          </cell>
          <cell r="I102" t="str">
            <v>-</v>
          </cell>
          <cell r="J102" t="str">
            <v>Muenchen</v>
          </cell>
          <cell r="K102" t="str">
            <v>Bavaria (BY)</v>
          </cell>
          <cell r="L102">
            <v>80937</v>
          </cell>
          <cell r="M102" t="str">
            <v>Germany</v>
          </cell>
          <cell r="N102" t="str">
            <v>+49 89 992692 3933</v>
          </cell>
          <cell r="P102" t="str">
            <v>katrinzwirglmaier@bundeswehr.org</v>
          </cell>
          <cell r="Q102" t="str">
            <v>Hr. Stephan Motzkus, Institut für Mikrobiologie der Bundeswehr (InstMikroBioBw), Neuherbergstraße 11, Geb. 01/Eingang F 1.OG, München, Bavaria, Deutschland  80937
Tel: +49 89 992692 3891; Email: stephanmotzkus@bundeswehr.org
FOR: Katrin Zwirglmaier; Tel: +49 89 992692 3933; Email: katrinzwirglmaier@bundeswehr.org
(address wording in English: Institut fuer Mikrobiologie der Bundeswehr (InstMikroBioBw), Neuherbergstrasse11, Geb. 01/Eingang F 1.OG, Muenchen (Munich - city), Bavaria (BY - region), 80937 Germany (DE) Germany)</v>
          </cell>
          <cell r="R102" t="str">
            <v>IG</v>
          </cell>
          <cell r="S102" t="str">
            <v>Sanitatsakademie der Bundeswehr, S4 Beschaffung, Neuherbergstrasse 11, Muenchen (Munich - city), Bavaria (region), Germany  80937; Email: SanAkBwS4Beschaffung@bundeswehr.org</v>
          </cell>
          <cell r="T102" t="str">
            <v>Put note on shipment that facility may be closed after noon on Friday
Use UW FedEx account + round up to nearest $5 increment + $25 Handling
Actual cost of shipping for W-2207 was $288.08 (=116.61+138.11+33.36), therefore, the S&amp;H fee should have been $315 instead of the $175 that was quoted - a diff of $140!
Quote a S&amp;H fee worst-case scenario of at least CAD $320 for future orders
Oddly, this shipment routed through Memphis, TN!
Email invoice to Verbindlichkeiten (Accounts Payable) at: SanAkBwS4Beschaffung@bundeswehr.org</v>
          </cell>
          <cell r="U102">
            <v>111526</v>
          </cell>
        </row>
        <row r="103">
          <cell r="A103" t="str">
            <v>N/A</v>
          </cell>
          <cell r="B103" t="str">
            <v>Katrina Steiner</v>
          </cell>
          <cell r="C103" t="str">
            <v>Katrina</v>
          </cell>
          <cell r="D103" t="str">
            <v>Supervisor: Andre Simpson</v>
          </cell>
          <cell r="E103" t="str">
            <v>University of Toronto Scarborough</v>
          </cell>
          <cell r="F103" t="str">
            <v>U of Toronto Scarborough</v>
          </cell>
          <cell r="G103" t="str">
            <v>1265 Military Trail</v>
          </cell>
          <cell r="H103" t="str">
            <v>Sci Wing Loading Dock</v>
          </cell>
          <cell r="I103" t="str">
            <v>-</v>
          </cell>
          <cell r="J103" t="str">
            <v>Toronto</v>
          </cell>
          <cell r="K103" t="str">
            <v>ON</v>
          </cell>
          <cell r="L103" t="str">
            <v>M1C 1A4</v>
          </cell>
          <cell r="M103" t="str">
            <v>Canada</v>
          </cell>
          <cell r="P103" t="str">
            <v>katrina.steiner@mail.utoronto.ca</v>
          </cell>
          <cell r="Q103" t="str">
            <v>Andre Simpson c/o CHMStores, University of Toronto Scarborough, 1265 Military Trail, Science Wing Loading Dock, Toronto, ON  M1C 1A4 
Tel: 416-287-7645 (CHMStores); Email: chemstores@utsc.utoronto.ca (CHMStores)
FOR: Katrina Steiner (Supervisor: Andre Simpson); Email: katrina.steiner@mail.utoronto.ca</v>
          </cell>
          <cell r="R103" t="str">
            <v>CA</v>
          </cell>
          <cell r="S103" t="str">
            <v>University of Toronto - Scarborough, 1265 Military Trail, Toronto, ON  M1C 1A4; Email: chemstores@utsc.utoronto.ca
OR
University of Toronto at Scarborough - Dept of Physical &amp; Environmental Sciences, 1265 Military Trail, Toronto, ON  M1C 1A4; Email: accountspayable@utsc.utoronto.ca</v>
          </cell>
          <cell r="T103" t="str">
            <v>Use a PO and email invoices to Accounts Payable at: chemstores@utsc.utoronto.ca
OR
Use a PO and email invoices to Accounts Payable at: accountspayable@utsc.utoronto.ca</v>
          </cell>
          <cell r="U103" t="str">
            <v>107313
OR
103833</v>
          </cell>
        </row>
        <row r="104">
          <cell r="A104" t="str">
            <v>N/A</v>
          </cell>
          <cell r="B104" t="str">
            <v>Keira Harshaw</v>
          </cell>
          <cell r="C104" t="str">
            <v>Keira</v>
          </cell>
          <cell r="D104" t="str">
            <v>Research Assistant; Supervisor: Xuexiu Chang</v>
          </cell>
          <cell r="E104" t="str">
            <v>University of Windsor - Great Lakes Institute for Environmental Research (GLIER)</v>
          </cell>
          <cell r="F104" t="str">
            <v>U of Windsor - GLIER</v>
          </cell>
          <cell r="G104" t="str">
            <v>2601 Union Street</v>
          </cell>
          <cell r="H104" t="str">
            <v>c/o Shipping &amp; Receiving</v>
          </cell>
          <cell r="I104" t="str">
            <v>for GLIER Rm 131</v>
          </cell>
          <cell r="J104" t="str">
            <v xml:space="preserve"> Windsor</v>
          </cell>
          <cell r="K104" t="str">
            <v>ON</v>
          </cell>
          <cell r="L104" t="str">
            <v>N9B 3P4</v>
          </cell>
          <cell r="M104" t="str">
            <v>Canada</v>
          </cell>
          <cell r="P104" t="str">
            <v>harshawk@uwindsor.ca</v>
          </cell>
          <cell r="Q104" t="str">
            <v>Xuexiu Chang, University of Windsor, Great Lakes Institute for Environmental Research (GLIER), Room 131, c/o Shipping and Receiving, 2601 Union Street, Windsor, ON  N9B 3P4
Tel: 519-253-3000 x4843; Email: xuexiu.chang@uwindsor.ca
FOR: Keira Harshaw (Research Assistant; Supervisor: Xuexiu Chang); Email: harshawk@uwindsor.ca</v>
          </cell>
          <cell r="R104" t="str">
            <v>CA</v>
          </cell>
          <cell r="S104" t="str">
            <v>University of Windsor, Accounts Payable, 401 Sunset Ave, Windsor, ON  N9B 3P4; Email: apinvoices@uwindsor.ca</v>
          </cell>
          <cell r="T104" t="str">
            <v>uses a PO #
email invoice to Accounts Payable at: apinvoices@uwindsor.ca</v>
          </cell>
          <cell r="U104">
            <v>103839</v>
          </cell>
        </row>
        <row r="105">
          <cell r="A105" t="str">
            <v>1071-001</v>
          </cell>
          <cell r="B105" t="str">
            <v>Kenji Iwasaki</v>
          </cell>
          <cell r="C105" t="str">
            <v>Kenji</v>
          </cell>
          <cell r="D105" t="str">
            <v>Researcher</v>
          </cell>
          <cell r="E105" t="str">
            <v>Institute of Microalgal Technology (IMAT) - Japan</v>
          </cell>
          <cell r="F105" t="str">
            <v>IMAT Japan</v>
          </cell>
          <cell r="G105" t="str">
            <v>6208-1 Nakano</v>
          </cell>
          <cell r="H105" t="str">
            <v>Fund. Tech. Res. Inst.</v>
          </cell>
          <cell r="I105" t="str">
            <v>-</v>
          </cell>
          <cell r="J105" t="str">
            <v>Hiroshima</v>
          </cell>
          <cell r="K105" t="str">
            <v>HP</v>
          </cell>
          <cell r="L105" t="str">
            <v>725-0301</v>
          </cell>
          <cell r="M105" t="str">
            <v>Japan</v>
          </cell>
          <cell r="N105" t="str">
            <v>+81846644108</v>
          </cell>
          <cell r="P105" t="str">
            <v>kenji.iwasaki@imat.co.jp</v>
          </cell>
          <cell r="Q105" t="str">
            <v>Kenji Iwasaki, Institute of Microalgal Technology (IMAT) - Japan, 6208-1 Nakano, IMAT Fundamental Technology Research Institute, Hiroshima, Hiroshima Prefecture, 725-0301, JP 
Tel: +81846644108; Email: kenji.iwasaki@imat.co.jp
(Note: could use either 'HP' or ISO code '34' in 2Ship but Trevor said it doesn't really matter so used 'HP'. ISO codes found at: https://en.wikipedia.org/wiki/ISO_3166-2:JP#:~:text=The%20first%20part%20is%20JP,alpha%2D2%20code%20of%20Japan)</v>
          </cell>
          <cell r="R105" t="str">
            <v>IC</v>
          </cell>
          <cell r="S105" t="str">
            <v>Institute of Microalgal Technology, Japan (IMAT), KSP EAST511, 3-2-1 Sakado, Takatsu-ku, Kawasaki (city), Kanagawa (prefecture: ISO code 14), Japan 213-0012 (Contact: Noriko Nakamura; Tel: +81448133380; Email: noriko.nakamura@imat.or.jp)</v>
          </cell>
          <cell r="T105" t="str">
            <v>use UW FedEx account + round up to nearest $5 increment + $25 Handling
Routes through Memphis, TN
email invoice to Noriko Nakamura at: noriko.nakamura@imat.or.jp</v>
          </cell>
          <cell r="U105">
            <v>111074</v>
          </cell>
        </row>
        <row r="106">
          <cell r="A106" t="str">
            <v>N/A</v>
          </cell>
          <cell r="B106" t="str">
            <v>Kevin Erratt</v>
          </cell>
          <cell r="C106" t="str">
            <v>Kevin</v>
          </cell>
          <cell r="D106" t="str">
            <v>Supervisor: Irena Creed</v>
          </cell>
          <cell r="E106" t="str">
            <v>University of Toronto Scarborough</v>
          </cell>
          <cell r="F106" t="str">
            <v>U of Toronto Scarborough</v>
          </cell>
          <cell r="G106" t="str">
            <v>1095 Military Trail</v>
          </cell>
          <cell r="H106" t="str">
            <v>IC Loading Dock</v>
          </cell>
          <cell r="I106" t="str">
            <v>Env Science &amp; Chemistry</v>
          </cell>
          <cell r="J106" t="str">
            <v>Scarborough</v>
          </cell>
          <cell r="K106" t="str">
            <v>ON</v>
          </cell>
          <cell r="L106" t="str">
            <v>M1C 1A4</v>
          </cell>
          <cell r="M106" t="str">
            <v>Canada</v>
          </cell>
          <cell r="N106" t="str">
            <v>548-788-9007</v>
          </cell>
          <cell r="O106" t="str">
            <v>Ship To Email: chemstores@utsc.utoronto.ca</v>
          </cell>
          <cell r="P106" t="str">
            <v>k.erratt@utoronto.ca</v>
          </cell>
          <cell r="Q106" t="str">
            <v>Kevin Erratt (Supervisor: Irena Creed), University of Toronto Scarborough, Environmental Science &amp; Chemistry, 1095 Military Trail (IC Loading Dock), Scarborough, ON  M1C 1A4
Kevin = Tel: 548-788-9007; Email: k.erratt@utoronto.ca; Irena = Tel: 416-208-5661; Email: irena.creed@utoronto.ca (Ship To Email: chemstores@utsc.utoronto.ca)</v>
          </cell>
          <cell r="R106" t="str">
            <v>CA</v>
          </cell>
          <cell r="S106" t="str">
            <v>University of Toronto - Scarborough, 1265 Military Trail, Toronto, ON  M1C 1A4; Email: chemstores@utsc.utoronto.ca</v>
          </cell>
          <cell r="T106" t="str">
            <v>Use a DPO and email invoices to Accounts Payable at: chemstores@utsc.utoronto.ca</v>
          </cell>
          <cell r="U106">
            <v>107313</v>
          </cell>
        </row>
        <row r="107">
          <cell r="A107" t="str">
            <v>1041-001</v>
          </cell>
          <cell r="B107" t="str">
            <v>Kevin Wilkinson</v>
          </cell>
          <cell r="C107" t="str">
            <v>Kevin</v>
          </cell>
          <cell r="D107" t="str">
            <v>Professor</v>
          </cell>
          <cell r="E107" t="str">
            <v>Universite de Montreal</v>
          </cell>
          <cell r="F107" t="str">
            <v>U de Montreal</v>
          </cell>
          <cell r="G107" t="str">
            <v>1375 Avenue Therese-Lavoie-Roux</v>
          </cell>
          <cell r="H107" t="str">
            <v>Campus MIL Receiving</v>
          </cell>
          <cell r="I107" t="str">
            <v>for Chemistry B-5075</v>
          </cell>
          <cell r="J107" t="str">
            <v>Montreal</v>
          </cell>
          <cell r="K107" t="str">
            <v>QC</v>
          </cell>
          <cell r="L107" t="str">
            <v>H2V 0B3</v>
          </cell>
          <cell r="M107" t="str">
            <v>Canada</v>
          </cell>
          <cell r="N107" t="str">
            <v>514-343-6741</v>
          </cell>
          <cell r="P107" t="str">
            <v>kj.wilkinson@umontreal.ca</v>
          </cell>
          <cell r="Q107" t="str">
            <v>Kevin Wilkinson, Universite de Montreal, 1375 Avenue Therese-Lavoie-Roux, c/o Campus MIL Receiving, Chemistry B-5075, Montreal, QC, H2V 0B3
Tel: 514-343-6741; Email: kj.wilkinson@umontreal.ca</v>
          </cell>
          <cell r="R107" t="str">
            <v>CA</v>
          </cell>
          <cell r="S107" t="str">
            <v>University of Montreal - Chimie/Chemistry, C.P. 6204 succursale Centre-ville, Montreal, QC, H3C 3T4; Email: finances@chimie.umontreal.ca
University of Montreal - Chimie/Chemistry, C.P. 6204 succursale Centre-ville, Montreal, QC, H3C 3T4; Email: audrey.morin.8@umontreal.ca (Contact: Audrey Morin, Agente de gestion financiere)</v>
          </cell>
          <cell r="T107" t="str">
            <v>email invoice to Kevin Wilkinson (kj.wilkinson@umontreal.ca) at: finances@chimie.umontreal.ca
email invoice to Audrey Morin at: audrey.morin.8@umontreal.ca</v>
          </cell>
          <cell r="U107">
            <v>109270</v>
          </cell>
        </row>
        <row r="108">
          <cell r="A108" t="str">
            <v>1037-003</v>
          </cell>
          <cell r="B108" t="str">
            <v>Kim Cuddington</v>
          </cell>
          <cell r="C108" t="str">
            <v>Kim</v>
          </cell>
          <cell r="D108" t="str">
            <v>Professor</v>
          </cell>
          <cell r="E108" t="str">
            <v>University of Waterloo</v>
          </cell>
          <cell r="F108" t="str">
            <v>UWaterloo</v>
          </cell>
          <cell r="G108" t="str">
            <v>200 University Ave W</v>
          </cell>
          <cell r="H108" t="str">
            <v>Biology, B2-241</v>
          </cell>
          <cell r="I108" t="str">
            <v>-</v>
          </cell>
          <cell r="J108" t="str">
            <v>Waterloo</v>
          </cell>
          <cell r="K108" t="str">
            <v>ON</v>
          </cell>
          <cell r="L108" t="str">
            <v>N2L 3G1</v>
          </cell>
          <cell r="M108" t="str">
            <v>Canada</v>
          </cell>
          <cell r="N108" t="str">
            <v>Office: 519-888-4567 x 32468
Lab: 519-888-4567 x 31084</v>
          </cell>
          <cell r="O108" t="str">
            <v>519-746-0614</v>
          </cell>
          <cell r="P108" t="str">
            <v>kcudding@uwaterloo.ca</v>
          </cell>
          <cell r="Q108" t="str">
            <v>Kim Cuddington, University of Waterloo, Biology Department, B2-241, 200 University Ave. W, Waterloo ON N2L 3G1
Office: 519-888-4567 x 32468, Lab: 519-888-4567 x 31084; Fax: 519-746-0614; Email: kcudding@uwaterloo.ca</v>
          </cell>
          <cell r="R108" t="str">
            <v>CA</v>
          </cell>
          <cell r="S108" t="str">
            <v>internal debit memo to Kim Cuddington</v>
          </cell>
          <cell r="T108" t="str">
            <v>internal debit memo given to customer on mmm dd/yy; they returned it on mmm dd/yy; given to Lucy Satora on mmm dd/yy; credited to our account in mmm yyyy</v>
          </cell>
          <cell r="U108" t="str">
            <v>N/A</v>
          </cell>
        </row>
        <row r="109">
          <cell r="A109" t="str">
            <v>N/A</v>
          </cell>
          <cell r="B109" t="str">
            <v>Kim Racine</v>
          </cell>
          <cell r="C109" t="str">
            <v>Kim</v>
          </cell>
          <cell r="D109" t="str">
            <v xml:space="preserve">Professional asistant; Supervisor: Claude Fortin
</v>
          </cell>
          <cell r="E109" t="str">
            <v>Institut National de la Recherche Scientifique (INRS) - Eau Terre Environnement (ETE)</v>
          </cell>
          <cell r="F109" t="str">
            <v>INRS - ETE</v>
          </cell>
          <cell r="G109" t="str">
            <v>490 rue de la Couronne</v>
          </cell>
          <cell r="H109" t="str">
            <v>-</v>
          </cell>
          <cell r="I109" t="str">
            <v>-</v>
          </cell>
          <cell r="J109" t="str">
            <v>Quebec</v>
          </cell>
          <cell r="K109" t="str">
            <v>QC</v>
          </cell>
          <cell r="L109" t="str">
            <v>G1K 9A9</v>
          </cell>
          <cell r="M109" t="str">
            <v>Canada</v>
          </cell>
          <cell r="N109" t="str">
            <v>418-654-3766
Cell: 418-240-0175</v>
          </cell>
          <cell r="P109" t="str">
            <v>Kim.Racine@inrs.ca</v>
          </cell>
          <cell r="Q109" t="str">
            <v>Kim Racine (Professional asistant; Supervisor: Claude Fortin), Institut National de la Recherche Scientifique, Eau Terre Environnement (INRS- ETE), 490 rue de la Couronne, Quebec, QC G1K 9A9
Tel: 418-654-3766, Cell: 418-240-0175; Email: Kim.Racine@inrs.ca
(INRS is part of Universite du Quebec)</v>
          </cell>
          <cell r="R109" t="str">
            <v>CA</v>
          </cell>
          <cell r="S109" t="str">
            <v>Institut National de la Recherche Scientifique (INRS) - Administration, 490 rue de la Couronne, Quebec, QC G1K 9A9; Attn: Comptes Payables, Email: cap@inrs.ca (comptesapayer@adm.inrs.ca)</v>
          </cell>
          <cell r="T109" t="str">
            <v>Should arrive next day but sometimes takes 2 days…even if paying for Purolator Express 10:30AM
requires a quote &amp; uses a PO
email invoice to Comptes Payables at: cap@inrs.ca
email invoice to Comptes Payables at: comptesapayer@adm.inrs.ca</v>
          </cell>
          <cell r="U109">
            <v>104897</v>
          </cell>
        </row>
        <row r="110">
          <cell r="A110" t="str">
            <v>1037-004</v>
          </cell>
          <cell r="B110" t="str">
            <v>Kirsten Müller</v>
          </cell>
          <cell r="C110" t="str">
            <v>Kirsten</v>
          </cell>
          <cell r="D110" t="str">
            <v>Professor</v>
          </cell>
          <cell r="E110" t="str">
            <v>University of Waterloo</v>
          </cell>
          <cell r="F110" t="str">
            <v>UWaterloo</v>
          </cell>
          <cell r="G110" t="str">
            <v>200 University Ave W</v>
          </cell>
          <cell r="H110" t="str">
            <v>Biology</v>
          </cell>
          <cell r="I110" t="str">
            <v>-</v>
          </cell>
          <cell r="J110" t="str">
            <v>Waterloo</v>
          </cell>
          <cell r="K110" t="str">
            <v>ON</v>
          </cell>
          <cell r="L110" t="str">
            <v>N2L 3G1</v>
          </cell>
          <cell r="M110" t="str">
            <v>Canada</v>
          </cell>
          <cell r="N110" t="str">
            <v>519-888-4567 x 32224</v>
          </cell>
          <cell r="O110" t="str">
            <v>519-746-0614</v>
          </cell>
          <cell r="P110" t="str">
            <v>kmmuller@uwaterloo.ca</v>
          </cell>
          <cell r="Q110" t="str">
            <v>Kirsten Müller, University of Waterloo, Biology Department, 200 University Ave W, Waterloo, ON N2L 3G1
Tel: 519-888-4567 x 32224; Fax: 519-746-0614; Email: kmMüller@uwaterloo.ca</v>
          </cell>
          <cell r="R110" t="str">
            <v>CA</v>
          </cell>
          <cell r="S110" t="str">
            <v>internal debit memo</v>
          </cell>
          <cell r="T110" t="str">
            <v>internal debit memo given to customer on mmm dd/yy; they returned it on mmm dd/yy; given to Lucy Satora on mmm dd/yy; credited to our account in mmm yyyy</v>
          </cell>
          <cell r="U110" t="str">
            <v>N/A</v>
          </cell>
        </row>
        <row r="111">
          <cell r="A111" t="str">
            <v>N/A</v>
          </cell>
          <cell r="B111" t="str">
            <v>Kris James</v>
          </cell>
          <cell r="C111" t="str">
            <v>Kris</v>
          </cell>
          <cell r="D111" t="str">
            <v>Lab technician for Assuity Alassuity</v>
          </cell>
          <cell r="E111" t="str">
            <v>Fanshawe College</v>
          </cell>
          <cell r="F111" t="str">
            <v>Fanshawe College</v>
          </cell>
          <cell r="G111" t="str">
            <v>1001 Fanshawe College Blvd</v>
          </cell>
          <cell r="H111" t="str">
            <v>Receiving - Room B1037</v>
          </cell>
          <cell r="I111" t="str">
            <v>Applied Science &amp; Tech</v>
          </cell>
          <cell r="J111" t="str">
            <v>London</v>
          </cell>
          <cell r="K111" t="str">
            <v>ON</v>
          </cell>
          <cell r="L111" t="str">
            <v>N5Y 5R6</v>
          </cell>
          <cell r="M111" t="str">
            <v>Canada</v>
          </cell>
          <cell r="N111" t="str">
            <v>Cell: 519-851-0856</v>
          </cell>
          <cell r="P111" t="str">
            <v>kjames2@FanshaweC.ca</v>
          </cell>
          <cell r="Q111" t="str">
            <v>Kris James (Lab technician for Assuity Alassuity, Room D3001-1), Fanshawe College, Applied Science &amp; Technology, 1001 Fanshawe College Blvd., Receiving Department, Room B1037, London, ON  N5Y 5R6
Cell: 519-851-0856; Email: kjames2@FanshaweC.ca
FOR: Assuity Alassuity; Email: aalassuity@FanshaweC.ca</v>
          </cell>
          <cell r="R111" t="str">
            <v>CA</v>
          </cell>
          <cell r="S111" t="str">
            <v>Fanshawe College, 1001 Fanshawe College Blvd., PO Box 7005, London, ON  N5Y 5R6; Email: payments@fanshawec.ca</v>
          </cell>
          <cell r="T111" t="str">
            <v>ship via Purolator Express
email invoice to Accounts Payable at: payments@fanshawec.ca</v>
          </cell>
          <cell r="U111">
            <v>103191</v>
          </cell>
        </row>
        <row r="112">
          <cell r="A112" t="str">
            <v>N/A</v>
          </cell>
          <cell r="B112" t="str">
            <v>Lama Aldamman</v>
          </cell>
          <cell r="C112" t="str">
            <v>Lama</v>
          </cell>
          <cell r="D112" t="str">
            <v>Lab Instructor/Chargée de cours</v>
          </cell>
          <cell r="E112" t="str">
            <v>Universite de Montreal</v>
          </cell>
          <cell r="F112" t="str">
            <v>U de Montreal</v>
          </cell>
          <cell r="G112" t="str">
            <v>1375 Therese-Lavoie-Roux</v>
          </cell>
          <cell r="H112" t="str">
            <v>Complexe science, Quai #1</v>
          </cell>
          <cell r="I112" t="str">
            <v xml:space="preserve">Sciences biologiques </v>
          </cell>
          <cell r="J112" t="str">
            <v>Outremont</v>
          </cell>
          <cell r="K112" t="str">
            <v>QC</v>
          </cell>
          <cell r="L112" t="str">
            <v>H2V 0B3</v>
          </cell>
          <cell r="M112" t="str">
            <v>Canada</v>
          </cell>
          <cell r="P112" t="str">
            <v>lama.aldamman@umontreal.ca</v>
          </cell>
          <cell r="Q112" t="str">
            <v>Alexei Guerra (Lab Coordinator, B-1222.1), Universite de Montreal, 1375 Avenue Thérèse-Lavoie-Roux, Complexe des sciences, Quai de réception # 1, Departement de sciences biologiques, Outremont, QC  H2V 0B3 
Tel: 514-434-2498 x 1041; Email: alexei.guerra.ordaz@umontreal.ca
FOR: Lama Aldamman (Lab Instructor/Chargée de cours); Email: lama.aldamman@umontreal.ca</v>
          </cell>
          <cell r="R112" t="str">
            <v>CA</v>
          </cell>
          <cell r="S112" t="str">
            <v>Universite de Montreal - Dept de sciences biologiques, Complexe des sciences, 1375 Avenue Therese-Lavoie-Roux, Montreal, QC  H2V 0B3 (Contact: Frederique Collin Delagrave (Technicienne en administration); Tel: 514-343-6111 x1250; Email: frederique.collin.delagrave@umontreal.ca)
OR if using a PO:
Universite de Montreal - Direction des finances, Secteurs Comptes Fournisseurs, C.P. 6128, Succursale Centre-Ville, Montreal, QC  H3C 3J7; Email: facturefournisseur@fin.umontreal.ca (Questions go to comptesapayer@fin.umontreal.ca)</v>
          </cell>
          <cell r="T112" t="str">
            <v>Ship on Wednesdays via Purolator Express 10:30AM to Attn: Alexei Guerra
Email invoice to UMontreal Accounts Payable for Alexei Guerra/Lama Aldamman (invoicing details must match the PO exactly!) (Unit4 #111982) OR
Email invoice to Frederique Collin Delagrave at: frederique.collin.delagrave@umontreal.ca for Alexei Guerra/Lama Aldamman (Unit4 #111055)</v>
          </cell>
          <cell r="U112" t="str">
            <v>111982
OR
111055</v>
          </cell>
        </row>
        <row r="113">
          <cell r="A113" t="str">
            <v>1022-002</v>
          </cell>
          <cell r="B113" t="str">
            <v>Leanne Dumontier</v>
          </cell>
          <cell r="C113" t="str">
            <v>Leanne</v>
          </cell>
          <cell r="D113" t="str">
            <v>Technician</v>
          </cell>
          <cell r="E113" t="str">
            <v>Lethbridge College</v>
          </cell>
          <cell r="F113" t="str">
            <v>Lethbridge College</v>
          </cell>
          <cell r="G113" t="str">
            <v>3000 College Drive South</v>
          </cell>
          <cell r="H113" t="str">
            <v>PA1155</v>
          </cell>
          <cell r="I113" t="str">
            <v>Shipping &amp; Receiving</v>
          </cell>
          <cell r="J113" t="str">
            <v>Lethbridge</v>
          </cell>
          <cell r="K113" t="str">
            <v>AB</v>
          </cell>
          <cell r="L113" t="str">
            <v>T1K 1L6</v>
          </cell>
          <cell r="M113" t="str">
            <v>Canada</v>
          </cell>
          <cell r="P113" t="str">
            <v>leanne.dumontier@lethbridgecollege.ca</v>
          </cell>
          <cell r="Q113" t="str">
            <v>David Haight, Lethbridge College, c/o Shipping &amp; Receiving – PA1155, 3000 College Drive South, Lethbridge, AB  T1K 1L6 
Tel: 403-320-3202 x5594; Email: david.haight@lethbridgecollege.ca
FOR: Leanne Dumontier; Email: leanne.dumontier@lethbridgecollege.ca
(OR Attn: Shipping/Receiving (for Leanne Dumontier); Tel: 403-320-3238; Email: Jon.stegen@lethbridgecollege.ca)</v>
          </cell>
          <cell r="R113" t="str">
            <v>CA</v>
          </cell>
          <cell r="S113" t="str">
            <v>Lethbridge College, 3000 College Drive South, Lethbridge, AB  T1K 1L6; Email: Accountspayable@lethbridgecollege.ca</v>
          </cell>
          <cell r="T113" t="str">
            <v>email invoice to Accounts Payable at:  Accountspayable@lethbridgecollege.ca</v>
          </cell>
          <cell r="U113">
            <v>105436</v>
          </cell>
        </row>
        <row r="114">
          <cell r="A114" t="str">
            <v>1050-001</v>
          </cell>
          <cell r="B114" t="str">
            <v>Leila Azimian</v>
          </cell>
          <cell r="C114" t="str">
            <v>Leila</v>
          </cell>
          <cell r="D114" t="str">
            <v>Founder of Bio-Stat-Green Consulting Inc;
Former student at Western U (Supervisor: Amarjeet Bassi)</v>
          </cell>
          <cell r="E114" t="str">
            <v>Home Address - Azimian Residence</v>
          </cell>
          <cell r="F114" t="str">
            <v>Azimian Residence</v>
          </cell>
          <cell r="G114" t="str">
            <v>204-9901 Keele St</v>
          </cell>
          <cell r="H114" t="str">
            <v>-</v>
          </cell>
          <cell r="I114" t="str">
            <v>-</v>
          </cell>
          <cell r="J114" t="str">
            <v>Maple</v>
          </cell>
          <cell r="K114" t="str">
            <v>ON</v>
          </cell>
          <cell r="L114" t="str">
            <v>L6A 0A1</v>
          </cell>
          <cell r="M114" t="str">
            <v>Canada</v>
          </cell>
          <cell r="N114" t="str">
            <v>Cell: 647-763-7351</v>
          </cell>
          <cell r="P114" t="str">
            <v>Leilaazimian1@gmail.com</v>
          </cell>
          <cell r="Q114" t="str">
            <v>Leila Azimian, Azimian Residence, 204-9901 Keele St, L6A 0A1, Maple, ON (home address)
Cell: 647-763-7351; Email: Leilaazimian1@gmail.com
(Founder of Bio-Stat-Green Consulting Inc; Website: https://bio-stat-green.consulting/)
(Former student at Western U (Former Email: lazimian@uwo.ca); Former Supervisor: Amarjeet Bassi)</v>
          </cell>
          <cell r="R114" t="str">
            <v>CC</v>
          </cell>
          <cell r="S114" t="str">
            <v>Leila Azimian, 204, 9901 Keele Street, Maple, ON  L6A 0A1; Email: Leilaazimian1@gmail.com
OR
Ocean Startup Project - NBIF, 110-40 Crowther Lane, Fredericton, NB  E3C 0J1; Tel: 902-314-8288; Email: msimon@oceanstartupproject.ca; Website: https://oceanstartupproject.ca/ (Contact: Matthew Simon, Finance Manager)</v>
          </cell>
          <cell r="T114" t="str">
            <v>Ship via Purolator Express
Small start-up company so offered mid-way price between CA and CC
Email invoice to Leila Azimian at: Leilaazimian1@gmail.com
OR
Email invoice to Matthew Simon at: msimon@oceanstartupproject.ca</v>
          </cell>
          <cell r="U114" t="str">
            <v>110877
OR
111834</v>
          </cell>
        </row>
        <row r="115">
          <cell r="A115" t="str">
            <v>1024-001</v>
          </cell>
          <cell r="B115" t="str">
            <v>Lidan Tao</v>
          </cell>
          <cell r="C115" t="str">
            <v>Lidan</v>
          </cell>
          <cell r="D115" t="str">
            <v>Laboratory Instructor</v>
          </cell>
          <cell r="E115" t="str">
            <v>Memorial University of Newfoundland</v>
          </cell>
          <cell r="F115" t="str">
            <v>Memorial U Newfoundland</v>
          </cell>
          <cell r="G115" t="str">
            <v>240 Prince Phillip Drive</v>
          </cell>
          <cell r="H115" t="str">
            <v>SJ Carew Bldg Loading #23</v>
          </cell>
          <cell r="I115" t="str">
            <v>Eng &amp; Applied Sci EN1015A</v>
          </cell>
          <cell r="J115" t="str">
            <v>St. John’s</v>
          </cell>
          <cell r="K115" t="str">
            <v>NL</v>
          </cell>
          <cell r="L115" t="str">
            <v>A1B 3X5</v>
          </cell>
          <cell r="M115" t="str">
            <v>Canada</v>
          </cell>
          <cell r="N115" t="str">
            <v>709-864-4497</v>
          </cell>
          <cell r="P115" t="str">
            <v>ltao@mun.ca</v>
          </cell>
          <cell r="Q115" t="str">
            <v>Lidan Tao (Laboratory Instructor), Memorial University of Newfoundland, Faculty of Engineering and Applied Science, Department of Civil Engineering, 240 Prince Phillip Drive, S.J. Carew Building Loading Bay Door #23, Room EN1015A, St. John’s, NL  A1B 3X5 
Tel: 709-864-4497; Email: ltao@mun.ca
(Purchaser: Derek Burton or Arman; Email: engrpurchasing@mun.ca)</v>
          </cell>
          <cell r="R115" t="str">
            <v>CA</v>
          </cell>
          <cell r="S115" t="str">
            <v>Memorial University of Newfoundland- Faculty of Engineering &amp; Applied Science, 230 Elizabeth Avenue, St. John's, NL A1B 1T5; Email: accountspayable@mun.ca
OR (if using a PO):
Memorial University of Newfoundland, Financial and Administrative Services AP, 230 Elizabeth Avenue, PO Box 4200, St. Johns, NL A1C 5S7; Email: accountspayable@mun.ca</v>
          </cell>
          <cell r="T115" t="str">
            <v>Ship via Purolator Express…delivery may take 2 days instead of the usual 1 day!
Email invoice to: accountspayable@mun.ca (Attn: Arman (engrpurchasing@mun.ca)) &amp; Req # (customer ID 108138)
OR
Email invoice to: accountspayable@mun.ca (Attn: Arman (engrpurchasing@mun.ca)) &amp; PO # (customer ID 103401)</v>
          </cell>
          <cell r="U115" t="str">
            <v>108138
OR
103401</v>
          </cell>
        </row>
        <row r="116">
          <cell r="A116" t="str">
            <v>N/A</v>
          </cell>
          <cell r="B116" t="str">
            <v>Lison Hache</v>
          </cell>
          <cell r="C116" t="str">
            <v>Lison</v>
          </cell>
          <cell r="D116" t="str">
            <v>Senior Laboratory Technologist</v>
          </cell>
          <cell r="E116" t="str">
            <v>Environment and Climate Change Canada (ECCC) - Atlantic Laboratory for Environmental Testing (ALET)</v>
          </cell>
          <cell r="F116" t="str">
            <v>ECCC - ALET</v>
          </cell>
          <cell r="G116" t="str">
            <v>443 Universite Ave</v>
          </cell>
          <cell r="H116" t="str">
            <v>AESC Tox Lab</v>
          </cell>
          <cell r="I116" t="str">
            <v>-</v>
          </cell>
          <cell r="J116" t="str">
            <v>Moncton</v>
          </cell>
          <cell r="K116" t="str">
            <v>NB</v>
          </cell>
          <cell r="L116" t="str">
            <v>E1A 3E9</v>
          </cell>
          <cell r="M116" t="str">
            <v>Canada</v>
          </cell>
          <cell r="N116" t="str">
            <v>506-800-2079
Cell: 506-252-1971</v>
          </cell>
          <cell r="O116" t="str">
            <v>506-851-6608</v>
          </cell>
          <cell r="P116" t="str">
            <v>Lison.Hache@ec.gc.ca</v>
          </cell>
          <cell r="Q116" t="str">
            <v>To: Charles (Chuck) Hopper (Physical Scientist &amp; Acting Toxicology Supervisor), Environment and Climate Change Canada (ECCC), Atlantic Laboratory for Environmental Testing (ALET), Atlantic Environmental Science Centre (AESC), Toxicology Lab, 443 Universite Avenue, Moncton, NB  E1A 3E9
Tel: 506-800-1784; Fax: 506-851-6608; Email: charles.hopper@ec.gc.ca
FOR: Lison Hache (Senior Laboratory Technologist); Tel: 506-800-2079; Cell: 506-252-1971; Email: Lison.Hache@ec.gc.ca</v>
          </cell>
          <cell r="R116" t="str">
            <v>CG</v>
          </cell>
          <cell r="S116" t="str">
            <v>Environment and Climate Change Canada - Environmental Science Centre, P.O. Box 23005, Moncton, NB   E1A 6S8; Attn: Charles (Chuck) Hopper, Tel: 506-800-1784, Email: charles.hopper@ec.gc.ca</v>
          </cell>
          <cell r="T116" t="str">
            <v>Provide taxonomic certificates
Email invoice to Chuck Hopper at: charles.hopper@ec.gc.ca</v>
          </cell>
          <cell r="U116">
            <v>103165</v>
          </cell>
        </row>
        <row r="117">
          <cell r="A117" t="str">
            <v>N/A</v>
          </cell>
          <cell r="B117" t="str">
            <v>Malihe (Mali) Mehdizadeh Allaf</v>
          </cell>
          <cell r="C117" t="str">
            <v>Mali</v>
          </cell>
          <cell r="D117" t="str">
            <v>Research Officer; Supervisor: Hassan Peerhossaini</v>
          </cell>
          <cell r="E117" t="str">
            <v>Western University</v>
          </cell>
          <cell r="F117" t="str">
            <v>Western U (UWO)</v>
          </cell>
          <cell r="G117" t="str">
            <v>1151 Richmond Street</v>
          </cell>
          <cell r="H117" t="str">
            <v>Thompson Eng/Dock 59/Rm40</v>
          </cell>
          <cell r="I117" t="str">
            <v>Eng Stores, TEB-FACENG</v>
          </cell>
          <cell r="J117" t="str">
            <v>London</v>
          </cell>
          <cell r="K117" t="str">
            <v>ON</v>
          </cell>
          <cell r="L117" t="str">
            <v>N6A 5B9</v>
          </cell>
          <cell r="M117" t="str">
            <v>Canada</v>
          </cell>
          <cell r="N117" t="str">
            <v>519-661-2038</v>
          </cell>
          <cell r="P117" t="str">
            <v>mmehdiz@uwo.ca</v>
          </cell>
          <cell r="Q117" t="str">
            <v>Malihe Mehdizadeh Allaf (Supervisor: Hassan Peerhossaini), Western University, Department of Civil and Environmental Engineering, Engineering Stores, Thompson Eng Bldg, Dock 59, Room 40, ShipTo Address Code: TEB-ENGSTR, 1151 Richmond Street, London ON  N6A 5B9
Email: mmehdiz@uwo.ca</v>
          </cell>
          <cell r="R117" t="str">
            <v>CA</v>
          </cell>
          <cell r="S117" t="str">
            <v>University of Western Ontario, Financial Services, Suite 6100, Support Services Building, 1393 Western Rd, London ON  N6G 1G9; Tel: 519-661-2111; Email: apinvoice@uwo.ca (Attn: Accounts Payable or UWO Engineering Stores Purchaser (name and email)</v>
          </cell>
          <cell r="T117" t="str">
            <v>PO invoice = email invoice to Accounts Payable at: apinvoice@uwo.ca
non-PO invoice = email invoice to apinvoice@uwo.ca but put Attn: Purchaser's name and email address</v>
          </cell>
          <cell r="U117">
            <v>103838</v>
          </cell>
        </row>
        <row r="118">
          <cell r="A118" t="str">
            <v>N/A</v>
          </cell>
          <cell r="B118" t="str">
            <v>Manon Sarrazin</v>
          </cell>
          <cell r="C118" t="str">
            <v>Manon</v>
          </cell>
          <cell r="D118" t="str">
            <v>Works with Sabine Dodard and Nancy Perreault</v>
          </cell>
          <cell r="E118" t="str">
            <v>Conseil National de Recherches Canada (CNRC)</v>
          </cell>
          <cell r="F118" t="str">
            <v>CNRC</v>
          </cell>
          <cell r="G118" t="str">
            <v>6100 Avenue Royalmount</v>
          </cell>
          <cell r="H118" t="str">
            <v>Portes 6 &amp; 7</v>
          </cell>
          <cell r="I118" t="str">
            <v>Reception Marchandises</v>
          </cell>
          <cell r="J118" t="str">
            <v>Montreal</v>
          </cell>
          <cell r="K118" t="str">
            <v>QC</v>
          </cell>
          <cell r="L118" t="str">
            <v>H4P 2R2</v>
          </cell>
          <cell r="M118" t="str">
            <v>Canada</v>
          </cell>
          <cell r="N118" t="str">
            <v>514-496-2663</v>
          </cell>
          <cell r="P118" t="str">
            <v>Manon.Sarrazin@cnrc-nrc.gc.ca</v>
          </cell>
          <cell r="Q118" t="str">
            <v>Manon Sarrazin/Sabine Dodard/Vinicio Vasquez (Technical Officer and Facility Coordinator, Analytical Chemistry), Conseil National de Recherches Canada (CNRC), 6100 Avenue Royalmount, Portes 6 &amp; 7, Entree Reception Marchandises, Montreal, QC  H4P 2R2
Tel: 514-496-2663 (Manon), 514-496-2663 (Sabine), 514-496-2541 (Vinicio); Email: Manon.sarrazin@cnrc-nrc.gc.ca (Manon), sabine.dodard@cnrc-nrc.gc.ca (Sabine), vinicio.vasquez@cnrc-nrc.gc.ca (Vinicio)
(Purchaser: Luc Beliveau, Tel: 514-496-6108, Email: luc.beliveau@cnrc-nrc.gc.ca OR Stephane Lajoie, Tel: 514-496-6108, Fax: 514-496-6350, Email: Stephane.Lajoie@cnrc-nrc.gc.ca)
(Works with Sabine Dodard and Nancy Perreault)</v>
          </cell>
          <cell r="R118" t="str">
            <v>CG</v>
          </cell>
          <cell r="S118" t="str">
            <v>When paying by credit card:
National Research Council of Canada - Montreal Royalmount, 6100 Avenue Royalmount, Montreal, QC  H4P 2R2
When using a PO:
National Research Council of Canada, 1200 Montreal Road, M-50, Ottawa, ON  K1A 0R6; Email: nrc.invoice-facture.cnrc@nrc-cnrc.gc.ca</v>
          </cell>
          <cell r="T118" t="str">
            <v>Invoices are currently being mailed via Canada Post to the Royalmount office (Unit4 ID 107425) for credit card payment (Attn: Marie-Josée Lorrain)
Alternatively, if using a PO, then most invoices go directly to the main Ottawa AP office (Unit4 ID 103482) with Attn: Accounts Payable/Comptes Payables at: nrc.invoice-facture.cnrc@nrc-cnrc.gc.ca</v>
          </cell>
          <cell r="U118" t="str">
            <v>107425
or
103482</v>
          </cell>
        </row>
        <row r="119">
          <cell r="A119" t="str">
            <v>1045-001</v>
          </cell>
          <cell r="B119" t="str">
            <v>Marc Cadotte</v>
          </cell>
          <cell r="C119" t="str">
            <v>Marc</v>
          </cell>
          <cell r="D119" t="str">
            <v>Professor</v>
          </cell>
          <cell r="E119" t="str">
            <v>University of Toronto Scarborough</v>
          </cell>
          <cell r="F119" t="str">
            <v>U of Toronto Scarborough</v>
          </cell>
          <cell r="G119" t="str">
            <v>1265 Military Trail</v>
          </cell>
          <cell r="H119" t="str">
            <v>Biological Sciences</v>
          </cell>
          <cell r="I119" t="str">
            <v>-</v>
          </cell>
          <cell r="J119" t="str">
            <v>Toronto</v>
          </cell>
          <cell r="K119" t="str">
            <v>ON</v>
          </cell>
          <cell r="L119" t="str">
            <v>M1C 1A4</v>
          </cell>
          <cell r="M119" t="str">
            <v>Canada</v>
          </cell>
          <cell r="N119" t="str">
            <v>416-208-5105</v>
          </cell>
          <cell r="O119" t="str">
            <v>Ship To Email: chemstores@utsc.utoronto.ca</v>
          </cell>
          <cell r="P119" t="str">
            <v>marc.cadotte@utoronto.ca</v>
          </cell>
          <cell r="Q119" t="str">
            <v>Marc Cadotte, University of Toronto Scarborough, Department of Biological Sciences, 1265 Military Trail, Toronto ON  M1C 1A4
Tel: 416-208-5105; Email: marc.cadotte@utoronto.ca (Ship To Email: chemstores@utsc.utoronto.ca)</v>
          </cell>
          <cell r="R119" t="str">
            <v>CA</v>
          </cell>
          <cell r="S119" t="str">
            <v>University of Toronto - Scarborough, 1265 Military Trail, Toronto, ON  M1C 1A4; Email: chemstores@utsc.utoronto.ca</v>
          </cell>
          <cell r="T119" t="str">
            <v>Use a Biology PO and email invoices to Accounts Payable at: chemstores@utsc.utoronto.ca
(if no PO, request forwarding to purchaser for credit card payment)</v>
          </cell>
          <cell r="U119">
            <v>107313</v>
          </cell>
        </row>
        <row r="120">
          <cell r="A120" t="str">
            <v>1042-001</v>
          </cell>
          <cell r="B120" t="str">
            <v>Marc Strous</v>
          </cell>
          <cell r="C120" t="str">
            <v>Marc</v>
          </cell>
          <cell r="D120" t="str">
            <v>Professor</v>
          </cell>
          <cell r="E120" t="str">
            <v>University of Calgary</v>
          </cell>
          <cell r="F120" t="str">
            <v>U of Calgary</v>
          </cell>
          <cell r="G120" t="str">
            <v>2500 University Dr NW</v>
          </cell>
          <cell r="H120" t="str">
            <v>c/o Shipping &amp; Receiving</v>
          </cell>
          <cell r="I120" t="str">
            <v>EEEL-509 Bio Sci</v>
          </cell>
          <cell r="J120" t="str">
            <v>Calgary</v>
          </cell>
          <cell r="K120" t="str">
            <v>AB</v>
          </cell>
          <cell r="L120" t="str">
            <v>T2N 1N4</v>
          </cell>
          <cell r="M120" t="str">
            <v>Canada</v>
          </cell>
          <cell r="N120" t="str">
            <v>403-220-6604</v>
          </cell>
          <cell r="P120" t="str">
            <v>m.strous@ucalgary.ca</v>
          </cell>
          <cell r="Q120" t="str">
            <v>Marc Strous, University of Calgary, Biological Sciences, 2500 University Drive NW, c/o Shipping and Receiving, EEEL-509, Calgary AB  T2N 1N4
Tel: 403-220-6604; Email: m.strous@ucalgary.ca</v>
          </cell>
          <cell r="R120" t="str">
            <v>CA</v>
          </cell>
          <cell r="S120" t="str">
            <v>University of Calgary, Accounts Payable, 2500 University Drive NW, Calgary AB T2N 1N4; Email: invoices@ucalgary.ca</v>
          </cell>
          <cell r="T120" t="str">
            <v>Ship via Purolator Express
Email invoice to Accounts Payable at: invoices@ucalgary.ca</v>
          </cell>
          <cell r="U120">
            <v>103791</v>
          </cell>
        </row>
        <row r="121">
          <cell r="A121" t="str">
            <v>N/A</v>
          </cell>
          <cell r="B121" t="str">
            <v>Marianne Potvin</v>
          </cell>
          <cell r="C121" t="str">
            <v>Marianne</v>
          </cell>
          <cell r="D121" t="str">
            <v>Professionnelle de recherche;
Supervisor: Roger C. Levesque</v>
          </cell>
          <cell r="E121" t="str">
            <v>Université Laval</v>
          </cell>
          <cell r="F121" t="str">
            <v>U Laval - IBIS</v>
          </cell>
          <cell r="G121" t="str">
            <v>1030 avenue de la Médecine</v>
          </cell>
          <cell r="H121" t="str">
            <v>Pavillon CHM, Local 0147</v>
          </cell>
          <cell r="I121" t="str">
            <v>Laboratoire R C Levesque</v>
          </cell>
          <cell r="J121" t="str">
            <v>Quebec</v>
          </cell>
          <cell r="K121" t="str">
            <v>QC</v>
          </cell>
          <cell r="L121" t="str">
            <v>G1V 0A6</v>
          </cell>
          <cell r="M121" t="str">
            <v>Canada</v>
          </cell>
          <cell r="N121" t="str">
            <v>418-656-2131 x 404471</v>
          </cell>
          <cell r="P121" t="str">
            <v>Marianne.Potvin@qo.ulaval.ca</v>
          </cell>
          <cell r="Q121" t="str">
            <v>Irena Kukavica, Université Laval, Institut de biologie intégrative et des systèmes (IBIS), Pavillon Charles-Eugene-Marchand (CHM), Local 0147, Laboratoire R C Levesque, 1030 avenue de la Medecine, Quebec, QC, G1V 0A6; Tel: 418-656-2131 x404471; Email: kukavica@fmed.ulaval.ca
FOR: Marianne Potvin (Supervisor: Roger C. Levesque); Tel: 418-656-2131 x 404471; Email: Marianne.Potvin@qo.ulaval.ca</v>
          </cell>
          <cell r="R121" t="str">
            <v>CA</v>
          </cell>
          <cell r="S121" t="str">
            <v>Universite Laval, Service des Finances, 2345 allee des Bibliotheques, Quebec, QC  G1V 0A6; Email: BC_payable@sf.ulaval.ca</v>
          </cell>
          <cell r="T121" t="str">
            <v>takes 2 days to arrive…there isn't any next day delivery even by paying for Purolator Express 10:30AM
email invoice to Comptes Payables at: BC_payable@sf.ulaval.ca</v>
          </cell>
          <cell r="U121">
            <v>108411</v>
          </cell>
        </row>
        <row r="122">
          <cell r="A122" t="str">
            <v>1012-001</v>
          </cell>
          <cell r="B122" t="str">
            <v>Marie-Josée Lorrain</v>
          </cell>
          <cell r="C122" t="str">
            <v>Marie-Josée</v>
          </cell>
          <cell r="D122" t="str">
            <v>Works with Sabine Dodard</v>
          </cell>
          <cell r="E122" t="str">
            <v>Conseil National de Recherches Canada (CNRC)</v>
          </cell>
          <cell r="F122" t="str">
            <v>CNRC</v>
          </cell>
          <cell r="G122" t="str">
            <v>6100 Avenue Royalmount</v>
          </cell>
          <cell r="H122" t="str">
            <v>Portes 6 &amp; 7</v>
          </cell>
          <cell r="I122" t="str">
            <v>Reception Marchandises</v>
          </cell>
          <cell r="J122" t="str">
            <v>Montreal</v>
          </cell>
          <cell r="K122" t="str">
            <v>QC</v>
          </cell>
          <cell r="L122" t="str">
            <v>H4P 2R2</v>
          </cell>
          <cell r="M122" t="str">
            <v>Canada</v>
          </cell>
          <cell r="N122" t="str">
            <v>438-357-8050</v>
          </cell>
          <cell r="P122" t="str">
            <v>Marie-Josee.Lorrain@cnrc-nrc.gc.ca</v>
          </cell>
          <cell r="Q122" t="str">
            <v>Marie-Josée Lorrain, Conseil National de Recherches Canada (CNRC), 6100 Avenue Royalmount, Portes 6 &amp; 7, Entree Reception Marchandises, Montreal, QC  H4P 2R2 
Tel: 438-357-8050; Email: Marie-Josee.Lorrain@cnrc-nrc.gc.ca
(Purchaser: Luc Beliveau, Tel: 514-496-6108, Email: luc.beliveau@cnrc-nrc.gc.ca OR Stephane Lajoie, Tel: 514-496-6108, Fax: 514-496-6350, Email: Stephane.Lajoie@cnrc-nrc.gc.ca)
(Works with Sabine Dodard; Tel: 514-496-2663; Email: sabine.dodard@cnrc-nrc.gc.ca)</v>
          </cell>
          <cell r="R122" t="str">
            <v>CG</v>
          </cell>
          <cell r="S122" t="str">
            <v>When paying by credit card:
National Research Council of Canada - Montreal Royalmount, 6100 Avenue Royalmount, Montreal, QC  H4P 2R2
When using a PO:
National Research Council of Canada, 1200 Montreal Road, M-50, Ottawa, ON  K1A 0R6; Email: nrc.invoice-facture.cnrc@nrc-cnrc.gc.ca</v>
          </cell>
          <cell r="T122" t="str">
            <v>invoices are currently being mailed via Canada Post to the Royalmount office (Customer ID 107425) for credit card payment
Alternatively, if using a PO, then most invoices go directly to the main Ottawa AP office (Customer ID 103482) with Attn: Accounts Payable/Comptes Payables at: nrc.invoice-facture.cnrc@nrc-cnrc.gc.ca</v>
          </cell>
          <cell r="U122" t="str">
            <v>107425
or
103482</v>
          </cell>
        </row>
        <row r="123">
          <cell r="A123" t="str">
            <v>1034-004</v>
          </cell>
          <cell r="B123" t="str">
            <v>Markus Hecker</v>
          </cell>
          <cell r="C123" t="str">
            <v>Markus</v>
          </cell>
          <cell r="D123" t="str">
            <v>Professor</v>
          </cell>
          <cell r="E123" t="str">
            <v>University of Saskatchewan</v>
          </cell>
          <cell r="F123" t="str">
            <v>U of Saskatchewan</v>
          </cell>
          <cell r="G123" t="str">
            <v>44 Campus Drive</v>
          </cell>
          <cell r="H123" t="str">
            <v>Toxicology Centre</v>
          </cell>
          <cell r="I123" t="str">
            <v>-</v>
          </cell>
          <cell r="J123" t="str">
            <v>Saskatoon</v>
          </cell>
          <cell r="K123" t="str">
            <v>SK</v>
          </cell>
          <cell r="L123" t="str">
            <v>S7N 5B3</v>
          </cell>
          <cell r="M123" t="str">
            <v>Canada</v>
          </cell>
          <cell r="N123" t="str">
            <v>306-966-5233
Main Office: 306-966-7441</v>
          </cell>
          <cell r="P123" t="str">
            <v>markus.hecker@usask.ca</v>
          </cell>
          <cell r="Q123" t="str">
            <v>Katherine Raes, University of Saskatchewan, Toxicology Centre, 44 Campus Drive, Saskatoon, SK S7N 5B3
Office: 306-966-2795, Cell: 306-850-4100, Main Office: 306-966-7441; Email: katherine.raes@usask.ca, Alternate email: kar425@mail.usask.ca
FOR: Markus Hecker (School of Environment and Sustainability); Tel: 306-966-5233; Email: markus.hecker@usask.ca</v>
          </cell>
          <cell r="R123" t="str">
            <v>CA</v>
          </cell>
          <cell r="S123" t="str">
            <v>University of Saskatchewan, ConnectionPoint, Arts Building, Rm 258, Saskatoon, SK  S7N 5A7; Email: connectionpoint@usask.ca</v>
          </cell>
          <cell r="T123" t="str">
            <v>Email invoice to Katherine Raes (Toxicology Centre) at: connectionpoint@usask.ca with reference to Markus Hecker
Purchaser: Katherine Raes</v>
          </cell>
          <cell r="U123">
            <v>103813</v>
          </cell>
        </row>
        <row r="124">
          <cell r="A124" t="str">
            <v>1077-001</v>
          </cell>
          <cell r="B124" t="str">
            <v>Martin Van Den Berghe</v>
          </cell>
          <cell r="C124" t="str">
            <v>Martin</v>
          </cell>
          <cell r="D124" t="str">
            <v>Founder and CEO of Cytochrome</v>
          </cell>
          <cell r="E124" t="str">
            <v>Cytochrome</v>
          </cell>
          <cell r="F124" t="str">
            <v>Cytochrome</v>
          </cell>
          <cell r="G124" t="str">
            <v>0 Marine Lab Rd</v>
          </cell>
          <cell r="H124" t="str">
            <v>c/o MUN - OSC (CDRF)</v>
          </cell>
          <cell r="I124" t="str">
            <v>-</v>
          </cell>
          <cell r="J124" t="str">
            <v>St. John's</v>
          </cell>
          <cell r="K124" t="str">
            <v>NL</v>
          </cell>
          <cell r="L124" t="str">
            <v>A1C 5S7</v>
          </cell>
          <cell r="M124" t="str">
            <v>Canada</v>
          </cell>
          <cell r="N124" t="str">
            <v>709-571-7453</v>
          </cell>
          <cell r="P124" t="str">
            <v>martin@cytochrome.org</v>
          </cell>
          <cell r="Q124" t="str">
            <v>Martin Van Den Berghe, Cytochrome, 0 Marine Lab Rd, c/o Memorial University (MUN), Ocean Sciences Centre (OSC), Cold-Ocean Deep-Sea Research Facility (CDRF), St. John's, NL  A1C 5S7
Tel: 709-571-7453; Email: martin@cytochrome.org</v>
          </cell>
          <cell r="R124" t="str">
            <v>CC</v>
          </cell>
          <cell r="S124" t="str">
            <v>Cytochrome, c/o MUN Ocean Sciences Centre (CDRF), 0 Marine Lab Rd, St. John's, NL  A1C 5S7; Email: finance@cytochrome.org; Website: https://www.cytochrome.org/ (Contact: Towsif Ahmed; Job Title: Manager of Operations and Finance; Tel: 519-501-5935)</v>
          </cell>
          <cell r="T124" t="str">
            <v xml:space="preserve">shipping cost $xx.xx via Purolator or FedEx?...charged accordingly ($xx)
small start-up company so offer mid-way external pricing
email invoice to Towsif Ahmed at: finance@cytochrome.org </v>
          </cell>
          <cell r="U124">
            <v>110718</v>
          </cell>
        </row>
        <row r="125">
          <cell r="A125" t="str">
            <v>N/A</v>
          </cell>
          <cell r="B125" t="str">
            <v>Martina Rendas</v>
          </cell>
          <cell r="C125" t="str">
            <v>Martina</v>
          </cell>
          <cell r="D125" t="str">
            <v>Project Manager/ Purchaser</v>
          </cell>
          <cell r="E125" t="str">
            <v>Nautilus Environmental Company Inc. - Guelph</v>
          </cell>
          <cell r="F125" t="str">
            <v>Nautilus Env - Guelph</v>
          </cell>
          <cell r="G125" t="str">
            <v>B-11 Nicholas Beaver Road</v>
          </cell>
          <cell r="H125" t="str">
            <v>-</v>
          </cell>
          <cell r="I125" t="str">
            <v>-</v>
          </cell>
          <cell r="J125" t="str">
            <v>Puslinch</v>
          </cell>
          <cell r="K125" t="str">
            <v>ON</v>
          </cell>
          <cell r="L125" t="str">
            <v>N0B 2J0</v>
          </cell>
          <cell r="M125" t="str">
            <v>Canada</v>
          </cell>
          <cell r="N125" t="str">
            <v>519-763-4412 x 324</v>
          </cell>
          <cell r="O125" t="str">
            <v>519-763-4419</v>
          </cell>
          <cell r="P125" t="str">
            <v>mrendas@aquatox.ca</v>
          </cell>
          <cell r="Q125" t="str">
            <v>Martina Rendas, Nautilus Environmental Company Inc., B-11 Nicholas Beaver Road, Puslinch ON  N0B 2J0
Tel: 519-763-4412 x 324; Fax: 519-763-4419; Email: mrendas@aquatox.ca
(Lab Manager: Shawna Kirkpatrick, Email: skirkpatrick@aquatox.ca; Purchaser: Martina Rendas, Email: mrendas@aquatox.ca)
(Formerly AquaTox Testing &amp; Consulting Inc.)</v>
          </cell>
          <cell r="R125" t="str">
            <v>CC</v>
          </cell>
          <cell r="S125" t="str">
            <v>Nautilus Environmental - Guelph, B-11 Nicholas Beaver Road, Puslinch ON  N0B 2J0; Tel: 519-763-4412 x304, Fax: 519-763-4419; Email: accounting@nautilusenvironmental.ca
AquaTox Testing &amp; Consulting Inc., B-11 Nicholas Beaver Road, Puslinch ON  N0B 2J0; Tel: 519-763-4412 x304, Fax: 519-763-4419; Email: tcarter@aquatox.ca</v>
          </cell>
          <cell r="T125" t="str">
            <v>email invoice to Accounts Payable at: accounting@nautilusenvironmental.ca
email invoice to Terry Carter at: tcarter@aquatox.ca with Attn: Martina Rendas</v>
          </cell>
          <cell r="U125">
            <v>102886</v>
          </cell>
        </row>
        <row r="126">
          <cell r="A126" t="str">
            <v>1065-001</v>
          </cell>
          <cell r="B126" t="str">
            <v>Martina Rudy</v>
          </cell>
          <cell r="C126" t="str">
            <v>Martina</v>
          </cell>
          <cell r="D126" t="str">
            <v>Physical Scientist</v>
          </cell>
          <cell r="E126" t="str">
            <v>Environment and Climate Change Canada (ECCC) - Aquatic Contaminants Research Division (ACRD)</v>
          </cell>
          <cell r="F126" t="str">
            <v>ECCC - ACRD</v>
          </cell>
          <cell r="G126" t="str">
            <v>867 Lakeshore Rd</v>
          </cell>
          <cell r="H126" t="str">
            <v>Aquatic Contaminants Res</v>
          </cell>
          <cell r="I126" t="str">
            <v>-</v>
          </cell>
          <cell r="J126" t="str">
            <v>Burlington</v>
          </cell>
          <cell r="K126" t="str">
            <v>ON</v>
          </cell>
          <cell r="L126" t="str">
            <v>L7S 1A1</v>
          </cell>
          <cell r="M126" t="str">
            <v>Canada</v>
          </cell>
          <cell r="N126" t="str">
            <v>905-336-4880</v>
          </cell>
          <cell r="O126" t="str">
            <v>905-336-4699</v>
          </cell>
          <cell r="P126" t="str">
            <v>martina.rudy@ec.gc.ca</v>
          </cell>
          <cell r="Q126" t="str">
            <v>Martina Rudy, Environment and Climate Change Canada (ECCC), Aquatic Contaminants Research Division (ACRD), 867 Lakeshore Rd., Burlington, ON L7S 1A1
Tel: 905-336-4880; Fax: 905-336-4699; Email: martina.rudy@ec.gc.ca</v>
          </cell>
          <cell r="R126" t="str">
            <v>CG</v>
          </cell>
          <cell r="S126" t="str">
            <v>Environment and Climate Change Canada - Aquatic Contaminants Research Division, 867 Lakeshore Rd., Burlington, ON L7S 1A1; Email: drcafagroupe-acrdfagroup@ec.gc.ca
Email: ec.drcafagroup-acrdfagroup@canada.ca</v>
          </cell>
          <cell r="T126" t="str">
            <v>email invoice to Jamie Campbell (Jamie.Campbell@ec.gc.ca) &amp; Martina Rudy (Martina.Rudy@ec.gc.ca) at: drcafagroupe-acrdfagroup@ec.gc.ca
email invoice to Christina Pecchia (christina.pecchia@canada.ca)/Martina Rudy at: ec.drcafagroup-acrdfagroup@canada.ca</v>
          </cell>
          <cell r="U126">
            <v>103161</v>
          </cell>
        </row>
        <row r="127">
          <cell r="A127" t="str">
            <v>N/A</v>
          </cell>
          <cell r="B127" t="str">
            <v>Maude Pomerleau</v>
          </cell>
          <cell r="C127" t="str">
            <v>Maude</v>
          </cell>
          <cell r="D127" t="str">
            <v>Research Assistant;
Supervisor: Jerome Comte</v>
          </cell>
          <cell r="E127" t="str">
            <v>Institut National de la Recherche Scientifique (INRS) - Eau Terre Environnement (ETE)</v>
          </cell>
          <cell r="F127" t="str">
            <v>INRS - ETE</v>
          </cell>
          <cell r="G127" t="str">
            <v>490 rue de la Couronne</v>
          </cell>
          <cell r="H127" t="str">
            <v>-</v>
          </cell>
          <cell r="I127" t="str">
            <v>-</v>
          </cell>
          <cell r="J127" t="str">
            <v>Quebec</v>
          </cell>
          <cell r="K127" t="str">
            <v>QC</v>
          </cell>
          <cell r="L127" t="str">
            <v>G1K 9A9</v>
          </cell>
          <cell r="M127" t="str">
            <v>Canada</v>
          </cell>
          <cell r="N127" t="str">
            <v xml:space="preserve">418-654-3682 </v>
          </cell>
          <cell r="P127" t="str">
            <v>Maude.Pomerleau@inrs.ca</v>
          </cell>
          <cell r="Q127" t="str">
            <v>Maude Pomerleau (Research Assistant for Jerome Comte), Institut National de la Recherche Scientifique, Eau Terre Environnement (INRS- ETE), 490 rue de la Couronne, Quebec, QC G1K 9A9
Tel: 418-654-3682; Email: Maude.Pomerleau@inrs.ca
(INRS is part of Universite du Quebec)</v>
          </cell>
          <cell r="R127" t="str">
            <v>CA</v>
          </cell>
          <cell r="S127" t="str">
            <v>Institut National de la Recherche Scientifique (INRS) - Administration, 490 rue de la Couronne, Quebec, QC G1K 9A9; Attn: Comptes Payables, Email: cap@inrs.ca (comptesapayer@adm.inrs.ca)</v>
          </cell>
          <cell r="T127" t="str">
            <v>Should arrive next day but sometimes takes 2 days…even if paying for Purolator Express 10:30AM
requires a quote &amp; uses a PO
email invoice to Comptes Payables at: cap@inrs.ca
email invoice to Comptes Payables at: comptesapayer@adm.inrs.ca</v>
          </cell>
          <cell r="U127">
            <v>104897</v>
          </cell>
        </row>
        <row r="128">
          <cell r="A128" t="str">
            <v>1062-001</v>
          </cell>
          <cell r="B128" t="str">
            <v>Mia Fearey</v>
          </cell>
          <cell r="C128" t="str">
            <v>Mia</v>
          </cell>
          <cell r="D128" t="str">
            <v>Testing Coordinator and Biologist</v>
          </cell>
          <cell r="E128" t="str">
            <v>Nautilus Environmental Company Inc. - Calgary</v>
          </cell>
          <cell r="F128" t="str">
            <v>Nautilus Env - Calgary</v>
          </cell>
          <cell r="G128" t="str">
            <v>10823 27th Street SE</v>
          </cell>
          <cell r="H128" t="str">
            <v>-</v>
          </cell>
          <cell r="I128" t="str">
            <v>-</v>
          </cell>
          <cell r="J128" t="str">
            <v>Calgary</v>
          </cell>
          <cell r="K128" t="str">
            <v>AB</v>
          </cell>
          <cell r="L128" t="str">
            <v>T2Z 3V9</v>
          </cell>
          <cell r="M128" t="str">
            <v>Canada</v>
          </cell>
          <cell r="N128" t="str">
            <v>403-253-7121</v>
          </cell>
          <cell r="O128" t="str">
            <v>403-252-9363</v>
          </cell>
          <cell r="P128" t="str">
            <v>mia@nautilusenvironmental.ca</v>
          </cell>
          <cell r="Q128" t="str">
            <v>Nautilus Environmental Company Inc., 10823 27th Street SE, Calgary, AB  T2Z 3V9
(formerly Hydroqual Laboratories Ltd.)</v>
          </cell>
          <cell r="R128" t="str">
            <v>CC</v>
          </cell>
          <cell r="S128" t="str">
            <v>Attn: Accounts Payable, Nautilus Environmental, 10823 27th Street SE, Calgary, AB  T2Z 3V9; Email: accounting@nautilusenvironmental.ca
Email: abaccounts@nautilusenvironmental.ca</v>
          </cell>
          <cell r="T128" t="str">
            <v>email invoice to Accounts Payable at: accounting@nautilusenvironmental.ca
email invoice to Accounts Payable/Katherine Martens at: abaccounts@nautilusenvironmental.ca</v>
          </cell>
          <cell r="U128">
            <v>103485</v>
          </cell>
        </row>
        <row r="129">
          <cell r="A129" t="str">
            <v>1013-001</v>
          </cell>
          <cell r="B129" t="str">
            <v>Michael (Mike) Chanov</v>
          </cell>
          <cell r="C129" t="str">
            <v>Mike</v>
          </cell>
          <cell r="D129" t="str">
            <v>Director, Ecotoxicity Laboratory</v>
          </cell>
          <cell r="E129" t="str">
            <v>EA Engineering, Science, and Technology, Inc.</v>
          </cell>
          <cell r="F129" t="str">
            <v>EA Eng, Sci, and Tech</v>
          </cell>
          <cell r="G129" t="str">
            <v>231 Schilling Circle</v>
          </cell>
          <cell r="H129" t="str">
            <v>-</v>
          </cell>
          <cell r="I129" t="str">
            <v>-</v>
          </cell>
          <cell r="J129" t="str">
            <v>Hunt Valley</v>
          </cell>
          <cell r="K129" t="str">
            <v>MD</v>
          </cell>
          <cell r="L129" t="str">
            <v>21031</v>
          </cell>
          <cell r="M129" t="str">
            <v>USA</v>
          </cell>
          <cell r="N129" t="str">
            <v>410-584-7000 x 5120
or 410-329-5120</v>
          </cell>
          <cell r="P129" t="str">
            <v>mchanov@eaest.com</v>
          </cell>
          <cell r="Q129" t="str">
            <v>Michael Chanov (Director, Ecotoxicity Laboratory), EA Engineering, Science and Technology, Inc., 231 Schilling Circle, Hunt Valley, MD  21031  USA
Tel: 410-584-7000 x 5120 or 410-329-5120; Email: mchanov@eaest.com</v>
          </cell>
          <cell r="R129" t="str">
            <v>IC</v>
          </cell>
          <cell r="S129" t="str">
            <v>Attn: Accounts Payable or Michael Chanov, EA Engineering, Science, and Technology, Inc., PBC, 225 Schilling Circle, Suite 400, Hunt Valley, MD 21031; Tel: 410-584-7000; Fax: 410-584-1057; Email: midatlanticap@eaest.com</v>
          </cell>
          <cell r="T129" t="str">
            <v>use UW FedEx account + round up to nearest $5 increment
email invoice to Accounts Payable or Michael Chanov at: midatlanticap@eaest.com</v>
          </cell>
          <cell r="U129">
            <v>103127</v>
          </cell>
        </row>
        <row r="130">
          <cell r="A130" t="str">
            <v>1036-001</v>
          </cell>
          <cell r="B130" t="str">
            <v>Michael (Mike) Phillips</v>
          </cell>
          <cell r="C130" t="str">
            <v>Mike</v>
          </cell>
          <cell r="D130" t="str">
            <v>Professor</v>
          </cell>
          <cell r="E130" t="str">
            <v>University of Toronto Mississauga</v>
          </cell>
          <cell r="F130" t="str">
            <v>U of Toronto Mississauga</v>
          </cell>
          <cell r="G130" t="str">
            <v>3359 Mississauga Rd N</v>
          </cell>
          <cell r="H130" t="str">
            <v>Davis Bldg - Biology</v>
          </cell>
          <cell r="I130" t="str">
            <v>-</v>
          </cell>
          <cell r="J130" t="str">
            <v>Mississauga</v>
          </cell>
          <cell r="K130" t="str">
            <v>ON</v>
          </cell>
          <cell r="L130" t="str">
            <v>L5L 1C6</v>
          </cell>
          <cell r="M130" t="str">
            <v>Canada</v>
          </cell>
          <cell r="N130" t="str">
            <v>905-569-4848</v>
          </cell>
          <cell r="P130" t="str">
            <v>michaelandrew.phillips@utoronto.ca</v>
          </cell>
          <cell r="Q130" t="str">
            <v>Michael Phillips, University of Toronto Mississauga, 3359 Mississauga Rd N, Davis Bldg - Biology, Mississauga, ON  L5L 1C6
Tel: 905-569-4848; Email: michaelandrew.phillips@utoronto.ca</v>
          </cell>
          <cell r="R130" t="str">
            <v>CA</v>
          </cell>
          <cell r="S130" t="str">
            <v>University of Toronto Mississauga - Dept of Biology, William Davis Building, 3359 Mississauga Road, Mississauga, ON  L5L 1C6; Contact: Stephanie Melo, Position: Manager, Operations &amp; Finance, Email: stephanie.melo@utoronto.ca</v>
          </cell>
          <cell r="T130" t="str">
            <v>ship via Purolator Express
may or may not use a PO# (Note: he used the same PO# for 2023/2024 orders!)
email invoice to Stephanie Melo at: stephanie.melo@utoronto.ca</v>
          </cell>
          <cell r="U130">
            <v>103831</v>
          </cell>
        </row>
        <row r="131">
          <cell r="A131" t="str">
            <v>1028-001</v>
          </cell>
          <cell r="B131" t="str">
            <v>Michael (Mike) Schulz</v>
          </cell>
          <cell r="C131" t="str">
            <v>Mike</v>
          </cell>
          <cell r="D131" t="str">
            <v xml:space="preserve">instructor </v>
          </cell>
          <cell r="E131" t="str">
            <v>Portage College</v>
          </cell>
          <cell r="F131" t="str">
            <v>Portage College</v>
          </cell>
          <cell r="G131" t="str">
            <v>9531 - 94 Avenue</v>
          </cell>
          <cell r="H131" t="str">
            <v>Natural Resources Dept</v>
          </cell>
          <cell r="I131" t="str">
            <v>-</v>
          </cell>
          <cell r="J131" t="str">
            <v>Lac La Biche</v>
          </cell>
          <cell r="K131" t="str">
            <v>AB</v>
          </cell>
          <cell r="L131" t="str">
            <v>T0A 2C0</v>
          </cell>
          <cell r="M131" t="str">
            <v>Canada</v>
          </cell>
          <cell r="N131" t="str">
            <v>780-623-4934
Cell: 780-520-5292
Campus Tel: 1-866-623-5551</v>
          </cell>
          <cell r="P131" t="str">
            <v>Michael.Schulz@portagecollege.ca</v>
          </cell>
          <cell r="Q131" t="str">
            <v>Michael Schulz, Portage College, 9531 - 94 Avenue, Natural Resources Dept, Lac La Biche, AB T0A 2C0
Tel: 780-623-4934, Cell: 780-520-5292, Campus Tel: 1-866-623-5551; Email: Michael.Schulz@portagecollege.ca
(Purchasers: Chelsea Eckel; Tel: 780-639-7129; Email: Chelsea.eckel@portagecollege.ca OR Darlene Uganecz; Tel: 780-623-5571; Email: darlene.uganecz@portagecollege.ca)</v>
          </cell>
          <cell r="R131" t="str">
            <v>CA</v>
          </cell>
          <cell r="S131" t="str">
            <v>Attn: Accounts Payable, Portage College, 9531 - 94 Avenue, Box 417, Lac La Biche, AB  T0A 2C0; Email address: payables@portagecollege.ca</v>
          </cell>
          <cell r="T131" t="str">
            <v>ship via UPS or Purolator (Purolator might be both quicker and cheaper as per 2020)
shipment cost $27.13 via Purolator (2 days) according to Agile (so charged $30) in 2018
shipment cost $48.75 via UPS (2 days) according to Agile (so charged $50) in 2019
shipment cost $29.75 via Purolator (1 day!) according to Agile (so charged $30) in 2020
email invoice to Accounts Payable at: payables@portagecollege.ca (put Michael Schulz's name; could also put "Purchased by xxxx")</v>
          </cell>
          <cell r="U131">
            <v>105342</v>
          </cell>
        </row>
        <row r="132">
          <cell r="A132" t="str">
            <v>1051-001</v>
          </cell>
          <cell r="B132" t="str">
            <v>Michael Paterson</v>
          </cell>
          <cell r="C132" t="str">
            <v>Michael</v>
          </cell>
          <cell r="D132" t="str">
            <v>Senior Research Scientist</v>
          </cell>
          <cell r="E132" t="str">
            <v>IISD-Experimental Lakes Area</v>
          </cell>
          <cell r="F132" t="str">
            <v>IISD - ELA</v>
          </cell>
          <cell r="G132" t="str">
            <v>111 Lombard Avenue</v>
          </cell>
          <cell r="H132" t="str">
            <v>Suite 325</v>
          </cell>
          <cell r="I132" t="str">
            <v>-</v>
          </cell>
          <cell r="J132" t="str">
            <v>Winnipeg</v>
          </cell>
          <cell r="K132" t="str">
            <v>MB</v>
          </cell>
          <cell r="L132" t="str">
            <v>R3L 1E4</v>
          </cell>
          <cell r="M132" t="str">
            <v>Canada</v>
          </cell>
          <cell r="N132" t="str">
            <v>204-390-3517</v>
          </cell>
          <cell r="P132" t="str">
            <v>pbulloch@iisd-ela.org</v>
          </cell>
          <cell r="Q132" t="str">
            <v>Patrique Bulloch (Food Web Biologist; Supervisor: Michael Paterson), IISD-Experimental Lakes Area, 111 Lombard Avenue, Suite 325, Winnipeg, MB  R3L 1E4
Tel: 204-390-3517; Email: pbulloch@iisd-ela.org</v>
          </cell>
          <cell r="R132" t="str">
            <v>CA</v>
          </cell>
          <cell r="S132" t="str">
            <v>IISD Experimental Lakes Area, 111 Lombard Avenue, Suite 325, Winnipeg, MB  R3B 0T4; Email: accountspayable@iisd.ca</v>
          </cell>
          <cell r="T132" t="str">
            <v>email invoice to Accounts Payable at: accountspayable@iisd.ca (accepts non-PO invoices); Attn: Patrique Bulloch/Michael Paterson</v>
          </cell>
          <cell r="U132">
            <v>106668</v>
          </cell>
        </row>
        <row r="133">
          <cell r="A133" t="str">
            <v>1032-001</v>
          </cell>
          <cell r="B133" t="str">
            <v>Michelle Tseng</v>
          </cell>
          <cell r="C133" t="str">
            <v>Michelle</v>
          </cell>
          <cell r="D133" t="str">
            <v>Assistant Professor</v>
          </cell>
          <cell r="E133" t="str">
            <v>University of British Columbia</v>
          </cell>
          <cell r="F133" t="str">
            <v>U of British Columbia</v>
          </cell>
          <cell r="G133" t="str">
            <v>1015-6270 University Blvd</v>
          </cell>
          <cell r="H133" t="str">
            <v>c/o Shipping &amp; Receiving</v>
          </cell>
          <cell r="I133" t="str">
            <v>Botany, Room 3156</v>
          </cell>
          <cell r="J133" t="str">
            <v>Vancouver</v>
          </cell>
          <cell r="K133" t="str">
            <v>BC</v>
          </cell>
          <cell r="L133" t="str">
            <v>V6T 1Z4</v>
          </cell>
          <cell r="M133" t="str">
            <v>Canada</v>
          </cell>
          <cell r="N133" t="str">
            <v>778-232-7404
604-822-5040</v>
          </cell>
          <cell r="O133" t="str">
            <v>Alternate Email:
mtseng@zoology.ubc.ca</v>
          </cell>
          <cell r="P133" t="str">
            <v>tsengm@mail.ubc.ca</v>
          </cell>
          <cell r="Q133" t="str">
            <v>Michelle Tseng (Botany, Room 3156), University of British Columbia, 1015-6270 University Blvd, c/o Shipping &amp; Receiving, Vancouver, BC  V6T 1Z4 
Tel: 778-232-7404; Email: tsengm@mail.ubc.ca, Alternate Email: mtseng@zoology.ubc.ca</v>
          </cell>
          <cell r="R133" t="str">
            <v>CA</v>
          </cell>
          <cell r="S133" t="str">
            <v>University of British Columbia - Department of Botany, 3156-6270 University Blvd, Vancouver, BC  V6T 1Z4, Email:  
finance.botany@ubc.ca (Contact: Sara Feizi (Finance Clerk), Tel: 604-827-0067 or 604-822-8524, Email: sara.feizi@botany.ubc.ca)</v>
          </cell>
          <cell r="T133" t="str">
            <v>Ship via Purolator Express
Email invoice to: finance.botany@ubc.ca and reference "Botany Accounts Payable (end-user: Michelle Tseng)" (or email to ubc.invoices@ubc.ca as it now reads in the Unit4 Customer database?)</v>
          </cell>
          <cell r="U133">
            <v>104982</v>
          </cell>
        </row>
        <row r="134">
          <cell r="A134" t="str">
            <v>1009-003</v>
          </cell>
          <cell r="B134" t="str">
            <v>Mireille Ratté</v>
          </cell>
          <cell r="C134" t="str">
            <v>Mireille</v>
          </cell>
          <cell r="D134" t="str">
            <v>Laboratory technician</v>
          </cell>
          <cell r="E134" t="str">
            <v>Centre d'Expertise en Analyse Environnementale du Quebec (CEAEQ)</v>
          </cell>
          <cell r="F134" t="str">
            <v>CEAEQ</v>
          </cell>
          <cell r="G134" t="str">
            <v>2700 rue Einstein</v>
          </cell>
          <cell r="H134" t="str">
            <v>Complexe sci (bur B2.320)</v>
          </cell>
          <cell r="I134" t="str">
            <v>Biologie &amp; microbio (DBM)</v>
          </cell>
          <cell r="J134" t="str">
            <v>Quebec</v>
          </cell>
          <cell r="K134" t="str">
            <v>QC</v>
          </cell>
          <cell r="L134" t="str">
            <v>G1P 3W8</v>
          </cell>
          <cell r="M134" t="str">
            <v>Canada</v>
          </cell>
          <cell r="N134" t="str">
            <v>418-643-1301 x 243</v>
          </cell>
          <cell r="O134" t="str">
            <v>Ship To Email: dbm@environnement.gouv.qc.ca</v>
          </cell>
          <cell r="P134" t="str">
            <v>mireille.ratte@environnement.gouv.qc.ca</v>
          </cell>
          <cell r="Q134" t="str">
            <v>Mireille Ratté, Centre d'Expertise en Analyse Environnementale du Quebec (CEAEQ), 2700 rue Einstein, Complexe scientifique (bur. B2.320), Division de biologie et microbiologie (DBM), Quebec QC G1P 3W8
(CEAEQ is a subsidiary of MELCC = Ministere de l'Environnement et de la lutte contre les changements climatiques)
Tel: 418-643-1301 x 243; Email: mireille.ratte@environnement.gouv.qc.ca; Ship To Email: dbm@environnement.gouv.qc.ca</v>
          </cell>
          <cell r="R134" t="str">
            <v>CG</v>
          </cell>
          <cell r="S134" t="str">
            <v>Attn: Comptes Payables, Centre d'Expertise en Analyse Environnementale du Quebec, Complexe scientifique, 2700 rue Einstein, Quebec, QC G1P 3W8; Email: ceaeq.admin@environnement.gouv.qc.ca</v>
          </cell>
          <cell r="T134" t="str">
            <v>Ship via Purolator Express; usually arrives next day but can sometimes take 2 days to arrive (10:30AM service doesn't speed up delivery) 
Uses a PO#; provide taxonomic certificates
Send invoice to Comptes Payables at: ceaeq.admin@environnement.gouv.qc.ca</v>
          </cell>
          <cell r="U134">
            <v>100033</v>
          </cell>
        </row>
        <row r="135">
          <cell r="A135" t="str">
            <v>1056-001</v>
          </cell>
          <cell r="B135" t="str">
            <v>Mo Shamma</v>
          </cell>
          <cell r="C135" t="str">
            <v>Mo</v>
          </cell>
          <cell r="D135" t="str">
            <v>Research Associate</v>
          </cell>
          <cell r="E135" t="str">
            <v>Nova Scotia Community College - Ivany Campus</v>
          </cell>
          <cell r="F135" t="str">
            <v>NSCC - Ivany Campus</v>
          </cell>
          <cell r="G135" t="str">
            <v>80 Mawiomi Place</v>
          </cell>
          <cell r="H135" t="str">
            <v>Lab 3331</v>
          </cell>
          <cell r="I135" t="str">
            <v>-</v>
          </cell>
          <cell r="J135" t="str">
            <v>Dartmouth</v>
          </cell>
          <cell r="K135" t="str">
            <v>NS</v>
          </cell>
          <cell r="L135" t="str">
            <v>B2Y 0A5</v>
          </cell>
          <cell r="M135" t="str">
            <v>Canada</v>
          </cell>
          <cell r="N135" t="str">
            <v>902-491-1682
Cell: 902-789-0757</v>
          </cell>
          <cell r="O135" t="str">
            <v>Fax: 902-491-1089</v>
          </cell>
          <cell r="P135" t="str">
            <v>Mo.Shamma@nscc.ca</v>
          </cell>
          <cell r="Q135" t="str">
            <v>Adam Biggs, Nova Scotia Community College - Ivany Campus, 80 Mawiomi Place, Lab 3331, Dartmouth, NS  B2Y 0A5
Tel: 587-436-5838, Email: adam.biggs@nscc.ca 
FOR: Mo Shamma - Tel: 902-491-1682, Cell: 902-789-0757; Fax: 902-491-1089; Email: Mo.Shamma@nscc.ca &amp; Thomas Harrison
(Personnel Notes: Adam Biggs is the lab manager who will receive the shipment; Thomas Harrison is a student at NSCC who will grow the cultures in the lab; Mo Shamma is the project leader in collaboration with Prof. Martin Tango from Acadia University; Brenda Veinot is the department administrative assistant who will issue the PO/DPO for the order.)</v>
          </cell>
          <cell r="R135" t="str">
            <v>CA</v>
          </cell>
          <cell r="S135" t="str">
            <v>Nova Scotia Community College - Annapolis Valley Campus, 50 Elliott Road, Lawrencetown, NS  B0S 1M0 (Contact: Brenda Veinot; Tel: 902-825-5433; Email: brenda.veinot@nscc.ca)</v>
          </cell>
          <cell r="T135" t="str">
            <v>invoices are currently being mailed via Canada Post to Attn: Brenda Veinot</v>
          </cell>
          <cell r="U135">
            <v>108197</v>
          </cell>
        </row>
        <row r="136">
          <cell r="A136" t="str">
            <v>1037-006</v>
          </cell>
          <cell r="B136" t="str">
            <v>Mohamad T. Araji</v>
          </cell>
          <cell r="C136" t="str">
            <v>Mohamad</v>
          </cell>
          <cell r="D136" t="str">
            <v>Professor</v>
          </cell>
          <cell r="E136" t="str">
            <v>University of Waterloo</v>
          </cell>
          <cell r="F136" t="str">
            <v>UWaterloo</v>
          </cell>
          <cell r="G136" t="str">
            <v>200 University Ave. W</v>
          </cell>
          <cell r="H136" t="str">
            <v>Civil &amp; Env Eng, ARC 2102</v>
          </cell>
          <cell r="I136" t="str">
            <v>-</v>
          </cell>
          <cell r="J136" t="str">
            <v>Waterloo</v>
          </cell>
          <cell r="K136" t="str">
            <v>ON</v>
          </cell>
          <cell r="L136" t="str">
            <v>N2L 3G1</v>
          </cell>
          <cell r="M136" t="str">
            <v>Canada</v>
          </cell>
          <cell r="N136" t="str">
            <v>519-888-4567 x27664</v>
          </cell>
          <cell r="P136" t="str">
            <v>mohamad.araji@uwaterloo.ca</v>
          </cell>
          <cell r="Q136" t="str">
            <v>Mohamad T. Araji, University of Waterloo, Civil &amp; Environmental Engineering, ARC 2102, 200 University Avenue W, Waterloo, ON N2L 3G1
Tel: 519-888-4567 x27664; Email: mohamad.araji@uwaterloo.ca</v>
          </cell>
          <cell r="R136" t="str">
            <v>CA</v>
          </cell>
          <cell r="S136" t="str">
            <v>internal debit memo to: Dr. Mohamad T. Araji (for Adham Elmalky), University of Waterloo, Civil &amp; Environmental Engineering, ARC 2102, 200 University Ave W, Waterloo ON N2L 3G1; Tel: 519-888-4567 x27664; Email: mohamad.araji@uwaterloo.ca</v>
          </cell>
          <cell r="T136" t="str">
            <v>internal debit memo given to client on mmm dd/yy; they returned it on mmm dd/yy; given to Lucy Satora on mmm dd/yy; credited to our account in mmm yyyy</v>
          </cell>
          <cell r="U136" t="str">
            <v>N/A</v>
          </cell>
        </row>
        <row r="137">
          <cell r="A137" t="str">
            <v>N/A</v>
          </cell>
          <cell r="B137" t="str">
            <v>Mohamed Alabbasi</v>
          </cell>
          <cell r="C137" t="str">
            <v>Mohamed</v>
          </cell>
          <cell r="D137" t="str">
            <v>Supervisor: Marc Cadotte</v>
          </cell>
          <cell r="E137" t="str">
            <v>University of Toronto Scarborough</v>
          </cell>
          <cell r="F137" t="str">
            <v>U of Toronto Scarborough</v>
          </cell>
          <cell r="G137" t="str">
            <v>1265 Military Trail</v>
          </cell>
          <cell r="H137" t="str">
            <v>Biological Sciences</v>
          </cell>
          <cell r="I137" t="str">
            <v>-</v>
          </cell>
          <cell r="J137" t="str">
            <v>Toronto (but Trevor changed it to Scarborough)</v>
          </cell>
          <cell r="K137" t="str">
            <v>ON</v>
          </cell>
          <cell r="L137" t="str">
            <v>M1C 1A4</v>
          </cell>
          <cell r="M137" t="str">
            <v>Canada</v>
          </cell>
          <cell r="O137" t="str">
            <v>Ship To Email: chemstores@utsc.utoronto.ca</v>
          </cell>
          <cell r="P137" t="str">
            <v>mohamed.alabbasi@mail.utoronto.ca</v>
          </cell>
          <cell r="Q137" t="str">
            <v>Marc Cadotte, University of Toronto Scarborough, Department of Biological Sciences, 1265 Military Trail, Toronto ON  M1C 1A4
Tel: 416-208-5105; Email: marc.cadotte@utoronto.ca (Ship To Email: chemstores@utsc.utoronto.ca)
FOR: Mohamed Alabbasi (Supervisor: Marc Cadotte); Email: mohamed.alabbasi@mail.utoronto.ca</v>
          </cell>
          <cell r="R137" t="str">
            <v>CA</v>
          </cell>
          <cell r="S137" t="str">
            <v>University of Toronto - Scarborough, 1265 Military Trail, Toronto, ON  M1C 1A4; Email: chemstores@utsc.utoronto.ca</v>
          </cell>
          <cell r="T137" t="str">
            <v>Use a Biology DPO and email invoices to Accounts Payable at: chemstores@utsc.utoronto.ca
(if no PO, request forwarding to purchaser for credit card payment)</v>
          </cell>
          <cell r="U137">
            <v>107313</v>
          </cell>
        </row>
        <row r="138">
          <cell r="A138" t="str">
            <v>N/A</v>
          </cell>
          <cell r="B138" t="str">
            <v xml:space="preserve">Moira Ijzerman </v>
          </cell>
          <cell r="C138" t="str">
            <v>Moira</v>
          </cell>
          <cell r="D138" t="str">
            <v>Supervisor: Ryan Prosser</v>
          </cell>
          <cell r="E138" t="str">
            <v>University of Guelph</v>
          </cell>
          <cell r="F138" t="str">
            <v>U of Guelph</v>
          </cell>
          <cell r="G138" t="str">
            <v>50 Stone Rd E</v>
          </cell>
          <cell r="H138" t="str">
            <v>SES - Bovey Building</v>
          </cell>
          <cell r="I138" t="str">
            <v>-</v>
          </cell>
          <cell r="J138" t="str">
            <v>Guelph</v>
          </cell>
          <cell r="K138" t="str">
            <v>ON</v>
          </cell>
          <cell r="L138" t="str">
            <v>N1G 2W1</v>
          </cell>
          <cell r="M138" t="str">
            <v>Canada</v>
          </cell>
          <cell r="N138" t="str">
            <v>Cell: 647-588-9678</v>
          </cell>
          <cell r="P138" t="str">
            <v>mijzerma@uoguelph.ca</v>
          </cell>
          <cell r="Q138" t="str">
            <v>Moira Ijzerman (Supervisor: Ryan Prosser), University of Guelph, School of Environmental Sciences, Bovey Building, 50 Stone Road East, Guelph ON  N1G 2W1
Cell: 647-588-9678; Email: mijzerma@uoguelph.ca</v>
          </cell>
          <cell r="R138" t="str">
            <v>CA</v>
          </cell>
          <cell r="S138" t="str">
            <v>Accounts Payable, University of Guelph, 50 Stone Road E, Guelph ON N1G 2W1; Email: acctspay@uoguelph.ca (Purchaser: Izabella Onik; Tel: 519-824-4120 x52712; Email: sesclerk@uoguelph.ca; School of Environmental Sciences)</v>
          </cell>
          <cell r="T138" t="str">
            <v>email invoice to Accounts Payable at: acctspay@uoguelph.ca and reference the purchaser, department, and PO #</v>
          </cell>
          <cell r="U138">
            <v>103794</v>
          </cell>
        </row>
        <row r="139">
          <cell r="A139" t="str">
            <v>1037-005</v>
          </cell>
          <cell r="B139" t="str">
            <v>Monica Emelko</v>
          </cell>
          <cell r="C139" t="str">
            <v>Monica</v>
          </cell>
          <cell r="D139" t="str">
            <v>Professor</v>
          </cell>
          <cell r="E139" t="str">
            <v>University of Waterloo</v>
          </cell>
          <cell r="F139" t="str">
            <v>UWaterloo</v>
          </cell>
          <cell r="G139" t="str">
            <v>200 University Ave W</v>
          </cell>
          <cell r="H139" t="str">
            <v>Civil &amp; Env Eng, DWE 2448</v>
          </cell>
          <cell r="I139" t="str">
            <v>-</v>
          </cell>
          <cell r="J139" t="str">
            <v>Waterloo</v>
          </cell>
          <cell r="K139" t="str">
            <v>ON</v>
          </cell>
          <cell r="L139" t="str">
            <v>N2L 3G1</v>
          </cell>
          <cell r="M139" t="str">
            <v>Canada</v>
          </cell>
          <cell r="N139" t="str">
            <v>?</v>
          </cell>
          <cell r="O139" t="str">
            <v>519-888-4349?</v>
          </cell>
          <cell r="P139" t="str">
            <v>mbemelko@uwaterloo.ca</v>
          </cell>
          <cell r="Q139" t="str">
            <v>Monica Emelko, University of Waterloo, Department of Civil and Environmental Engineering, DWE 2448, 200 University Ave. W, Waterloo ON N2L 3G1
Email: mbemelko@uwaterloo.ca</v>
          </cell>
          <cell r="R139" t="str">
            <v>CA</v>
          </cell>
          <cell r="S139" t="str">
            <v>internal debit memo</v>
          </cell>
          <cell r="T139" t="str">
            <v>internal debit memo given to customer on mmm dd/yy; they returned it on mmm dd/yy; given to Lucy Satora on mmm dd/yy; credited to our account in mmm yyyy</v>
          </cell>
          <cell r="U139" t="str">
            <v>N/A</v>
          </cell>
        </row>
        <row r="140">
          <cell r="A140" t="str">
            <v>1082-001</v>
          </cell>
          <cell r="B140" t="str">
            <v>Munir Boodhwani</v>
          </cell>
          <cell r="C140" t="str">
            <v>Munir</v>
          </cell>
          <cell r="D140" t="str">
            <v>Father of Aliyan Boodhwani</v>
          </cell>
          <cell r="E140" t="str">
            <v>Home Address - Boodhwani Residence (affiliated with Colonel By Secondary School)</v>
          </cell>
          <cell r="F140" t="str">
            <v>Boodhwani Residence</v>
          </cell>
          <cell r="G140" t="str">
            <v>552 Courtenay Avenue</v>
          </cell>
          <cell r="H140" t="str">
            <v>-</v>
          </cell>
          <cell r="I140" t="str">
            <v>-</v>
          </cell>
          <cell r="J140" t="str">
            <v>Ottawa</v>
          </cell>
          <cell r="K140" t="str">
            <v>ON</v>
          </cell>
          <cell r="L140" t="str">
            <v>K2A 3B3</v>
          </cell>
          <cell r="M140" t="str">
            <v>Canada</v>
          </cell>
          <cell r="N140" t="str">
            <v>613-252-5238</v>
          </cell>
          <cell r="P140" t="str">
            <v>mboodhwani@gmail.com</v>
          </cell>
          <cell r="Q140" t="str">
            <v>Aliyan Boodhwani (Son of Munir Boodhwani) (attends Colonel By Secondary School), Boodhwani Residence, 552 Courtenay Avenue, Ottawa, ON  K2A 3B3 (home address)
Tel: 613-581-8327; Email: aliyanboodhwani@gmail.com
(Contact info for Munir Boodhwani (Father of Aliyan Boodhwani): Tel: 613-252-5238; Email: mboodhwani@gmail.com)</v>
          </cell>
          <cell r="R140" t="str">
            <v>CA</v>
          </cell>
          <cell r="S140" t="str">
            <v>Munir Boodhwani, 552 Courtenay Avenue, Ottawa, ON  K2A 3B3; Tel: 613-252-5238; Email: mboodhwani@gmail.com</v>
          </cell>
          <cell r="T140" t="str">
            <v>email invoice to Munir Boodhwani at: mboodhwani@gmail.com</v>
          </cell>
          <cell r="U140">
            <v>111255</v>
          </cell>
        </row>
        <row r="141">
          <cell r="A141" t="str">
            <v>N/A</v>
          </cell>
          <cell r="B141" t="str">
            <v>Nadia Golestani</v>
          </cell>
          <cell r="C141" t="str">
            <v>Nadia</v>
          </cell>
          <cell r="D141" t="str">
            <v>Supervisor: Ralph Robinson at Selected Bioproducts &amp; Wendy Pearson at U of Guelph</v>
          </cell>
          <cell r="E141" t="str">
            <v>University of Guelph</v>
          </cell>
          <cell r="F141" t="str">
            <v>U of Guelph</v>
          </cell>
          <cell r="G141" t="str">
            <v>50 Stone Rd E</v>
          </cell>
          <cell r="H141" t="str">
            <v>Dept of Animal Biosciences</v>
          </cell>
          <cell r="I141" t="str">
            <v>-</v>
          </cell>
          <cell r="J141" t="str">
            <v>Guelph</v>
          </cell>
          <cell r="K141" t="str">
            <v>ON</v>
          </cell>
          <cell r="L141" t="str">
            <v>N1G 2W1</v>
          </cell>
          <cell r="M141" t="str">
            <v>Canada</v>
          </cell>
          <cell r="P141" t="str">
            <v>golestan@uoguelph.ca</v>
          </cell>
          <cell r="Q141" t="str">
            <v>Nadia Golestani (Supervisor: Ralph Robinson at Selected Bioproducts &amp; Wendy Pearson at U of Guelph), University of Guelph, Department of Animal Biosciences, 50 Stone Road East, Guelph, ON  N1G 2W1
Email: golestan@uoguelph.ca</v>
          </cell>
          <cell r="R141" t="str">
            <v>CA</v>
          </cell>
          <cell r="S141" t="str">
            <v>Selected BioProducts Inc., 127 Seventh Concession, Harley, ON, N0E 1E0; Tel: 519-837-7898; Email: ralph@horseherbs.com (Note: Although Nadia is a PhD student at U of Guelph, her workshop training was being paid by Ralph Robinson, owner of Selected Bioproducts Inc./Herbs for Horses; Website: https://www.horseherbs.com/.)</v>
          </cell>
          <cell r="T141" t="str">
            <v>small company w/o funding and student is at U of Guelph so offered mid-way price between CA and external midway
email invoice to Ralph Robinson at: ralph@horseherbs.com
remember to charge 13% HST for the workshop!</v>
          </cell>
          <cell r="U141">
            <v>110688</v>
          </cell>
        </row>
        <row r="142">
          <cell r="A142" t="str">
            <v>N/A</v>
          </cell>
          <cell r="B142" t="str">
            <v>Naila Barbosa da Costa</v>
          </cell>
          <cell r="C142" t="str">
            <v>Naila</v>
          </cell>
          <cell r="D142" t="str">
            <v>Postdoc; Supervisor: Jerome Comte</v>
          </cell>
          <cell r="E142" t="str">
            <v>Institut National de la Recherche Scientifique (INRS) - Eau Terre Environnement (ETE)</v>
          </cell>
          <cell r="F142" t="str">
            <v>INRS - ETE</v>
          </cell>
          <cell r="G142" t="str">
            <v>490 rue de la Couronne</v>
          </cell>
          <cell r="H142" t="str">
            <v>-</v>
          </cell>
          <cell r="I142" t="str">
            <v>-</v>
          </cell>
          <cell r="J142" t="str">
            <v>Quebec</v>
          </cell>
          <cell r="K142" t="str">
            <v>QC</v>
          </cell>
          <cell r="L142" t="str">
            <v>G1K 9A9</v>
          </cell>
          <cell r="M142" t="str">
            <v>Canada</v>
          </cell>
          <cell r="N142" t="str">
            <v>Cell: 450-626-8553</v>
          </cell>
          <cell r="P142" t="str">
            <v>naila.costa@inrs.ca</v>
          </cell>
          <cell r="Q142" t="str">
            <v>Maude Pomerleau, Institut National de la Recherche Scientifique, Eau Terre Environnement (INRS- ETE), 490 rue de la Couronne, Quebec, QC G1K 9A9 
Tel: 418-654-3682 ; Email: Maude.Pomerleau@inrs.ca
FOR: Naila Barbosa da Costa (Postdoc; Supervisor: Jerome Comte); Tel: Cell: 450-626-8553; Email: naila.costa@inrs.ca
(INRS is part of Universite du Quebec)</v>
          </cell>
          <cell r="R142" t="str">
            <v>CA</v>
          </cell>
          <cell r="S142" t="str">
            <v>Institut National de la Recherche Scientifique (INRS) - Administration, 490 rue de la Couronne, Quebec, QC G1K 9A9; Attn: Comptes Payables, Email: cap@inrs.ca (comptesapayer@adm.inrs.ca)</v>
          </cell>
          <cell r="T142" t="str">
            <v>Should arrive next day but sometimes takes 2 days…even if paying for Purolator Express 10:30AM
requires a quote &amp; uses a PO
email invoice to Comptes Payables at: cap@inrs.ca
email invoice to Comptes Payables at: comptesapayer@adm.inrs.ca</v>
          </cell>
          <cell r="U142">
            <v>104897</v>
          </cell>
        </row>
        <row r="143">
          <cell r="A143" t="str">
            <v>N/A</v>
          </cell>
          <cell r="B143" t="str">
            <v>Naila Barbosa da Costa</v>
          </cell>
          <cell r="C143" t="str">
            <v>Naila</v>
          </cell>
          <cell r="D143" t="str">
            <v>Instructor</v>
          </cell>
          <cell r="E143" t="str">
            <v>Universite de Montreal</v>
          </cell>
          <cell r="F143" t="str">
            <v>U de Montreal</v>
          </cell>
          <cell r="G143" t="str">
            <v>1375 Therese-Lavoie-Roux</v>
          </cell>
          <cell r="H143" t="str">
            <v>Complexe science, Quai #1</v>
          </cell>
          <cell r="I143" t="str">
            <v xml:space="preserve">Sciences biologiques </v>
          </cell>
          <cell r="J143" t="str">
            <v>Outremont</v>
          </cell>
          <cell r="K143" t="str">
            <v>QC</v>
          </cell>
          <cell r="L143" t="str">
            <v>H2V 0B3</v>
          </cell>
          <cell r="M143" t="str">
            <v>Canada</v>
          </cell>
          <cell r="N143" t="str">
            <v>Cell: 450-626-8553</v>
          </cell>
          <cell r="P143" t="str">
            <v>costa.nailab@gmail.com</v>
          </cell>
          <cell r="Q143" t="str">
            <v>Alexei Guerra (B-1222.1), Universite de Montreal, 1375 Avenue Thérèse-Lavoie-Roux, Complexe des sciences, Quai de réception # 1, Departement de sciences biologiques, Outremont, QC  H2V 0B3  
Tel: 514-434-2498 x 1041; Email: alexei.guerra.ordaz@umontreal.ca
FOR: Naila Barbosa da Costa (Instructor); Tel: Cell: 450-626-8553; Email: costa.nailab@gmail.com</v>
          </cell>
          <cell r="R143" t="str">
            <v>CA</v>
          </cell>
          <cell r="S143" t="str">
            <v>Universite de Montreal - Dept de sciences biologiques, Complexe des sciences, 1375 Avenue Therese-Lavoie-Roux, Montreal, QC  H2V 0B3 (Contact: Frederique Collin Delagrave (Technicienne en administration); Tel: 514-343-6111 x1250; Email: frederique.collin.delagrave@umontreal.ca)</v>
          </cell>
          <cell r="T143" t="str">
            <v>Ship on Wednesdays via Purolator Express 10:30AM to Attn: Alexei Guerra
Email invoice to UMontreal Accounts Payable for Alexei Guerra/Naila Barbosa da Costa (invoicing details must match the PO exactly!) (Unit4 #111982) OR
Email invoice to Frederique Collin Delagrave at: frederique.collin.delagrave@umontreal.ca for Alexei Guerra/Naila Barbosa da Costa (Unit4 #111055)</v>
          </cell>
          <cell r="U143" t="str">
            <v>111982
OR
111055</v>
          </cell>
        </row>
        <row r="144">
          <cell r="A144" t="str">
            <v>1062-002</v>
          </cell>
          <cell r="B144" t="str">
            <v>Naomi Attrill</v>
          </cell>
          <cell r="C144" t="str">
            <v>Naomi</v>
          </cell>
          <cell r="D144" t="str">
            <v>Testing Coordinator</v>
          </cell>
          <cell r="E144" t="str">
            <v>Nautilus Environmental Company Inc. - Calgary</v>
          </cell>
          <cell r="F144" t="str">
            <v>Nautilus Env - Calgary</v>
          </cell>
          <cell r="G144" t="str">
            <v>10823 27th Street SE</v>
          </cell>
          <cell r="H144" t="str">
            <v>-</v>
          </cell>
          <cell r="I144" t="str">
            <v>-</v>
          </cell>
          <cell r="J144" t="str">
            <v>Calgary</v>
          </cell>
          <cell r="K144" t="str">
            <v>AB</v>
          </cell>
          <cell r="L144" t="str">
            <v>T2Z 3V9</v>
          </cell>
          <cell r="M144" t="str">
            <v>Canada</v>
          </cell>
          <cell r="N144" t="str">
            <v>403-253-7121</v>
          </cell>
          <cell r="O144" t="str">
            <v>403-252-9363</v>
          </cell>
          <cell r="P144" t="str">
            <v>naomi@nautilusenvironmental.ca</v>
          </cell>
          <cell r="Q144" t="str">
            <v>Naomi Attrill, Nautilus Environmental Company Inc., 10823 27th Street SE, Calgary, AB  T2Z 3V9
Tel: 403-253-7121; Fax: 403-252-9363; Email: naomi@nautilusenvironmental.ca
(Formerly Hydroqual Laboratories Ltd.)</v>
          </cell>
          <cell r="R144" t="str">
            <v>CC</v>
          </cell>
          <cell r="S144" t="str">
            <v>Attn: Accounts Payable, Nautilus Environmental, 10823 27th Street SE, Calgary, AB  T2Z 3V9; Email: accounting@nautilusenvironmental.ca</v>
          </cell>
          <cell r="T144" t="str">
            <v>email invoice to Accounts Payable at: accounting@nautilusenvironmental.ca</v>
          </cell>
          <cell r="U144">
            <v>103485</v>
          </cell>
        </row>
        <row r="145">
          <cell r="A145" t="str">
            <v>1054-003</v>
          </cell>
          <cell r="B145" t="str">
            <v>Nicolas Tromas</v>
          </cell>
          <cell r="C145" t="str">
            <v>Nico</v>
          </cell>
          <cell r="D145" t="str">
            <v>Guest Researcher</v>
          </cell>
          <cell r="E145" t="str">
            <v>McGill University</v>
          </cell>
          <cell r="F145" t="str">
            <v>McGill U</v>
          </cell>
          <cell r="G145" t="str">
            <v>740 ave Docteur Penfield</v>
          </cell>
          <cell r="H145" t="str">
            <v>Genome Bldg, Rm 7300</v>
          </cell>
          <cell r="I145" t="str">
            <v>-</v>
          </cell>
          <cell r="J145" t="str">
            <v xml:space="preserve"> Montreal</v>
          </cell>
          <cell r="K145" t="str">
            <v>QC</v>
          </cell>
          <cell r="L145" t="str">
            <v>H3A 0G1</v>
          </cell>
          <cell r="M145" t="str">
            <v>Canada</v>
          </cell>
          <cell r="P145" t="str">
            <v>tromas.nicolas@gmail.com</v>
          </cell>
          <cell r="Q145" t="str">
            <v>McGill University, Genome Building room 7300, 740 avenue Docteur-Penfield, Montreal, QC, H3A 0G1 (Attn: Patrick Lypaczewski; Tel: 514-291-8432; Email: patrick.lypaczewski@mcgill.ca)</v>
          </cell>
          <cell r="R145" t="str">
            <v>CA</v>
          </cell>
          <cell r="S145" t="str">
            <v>McGill University, Financial Services, c/o Accounts Payable, 3465 Durocher Street, Montreal, QC  H2X 0A8; Email: accountspayable@mcgill.ca</v>
          </cell>
          <cell r="T145" t="str">
            <v>Requires a PO#!
email invoice to Accounts Payable at: accountspayable@mcgill.ca</v>
          </cell>
          <cell r="U145">
            <v>103381</v>
          </cell>
        </row>
        <row r="146">
          <cell r="A146" t="str">
            <v>1034-003</v>
          </cell>
          <cell r="B146" t="str">
            <v>Nicole Webster</v>
          </cell>
          <cell r="C146" t="str">
            <v>Nicole</v>
          </cell>
          <cell r="D146" t="str">
            <v>Assistant Professor</v>
          </cell>
          <cell r="E146" t="str">
            <v>University of Saskatchewan</v>
          </cell>
          <cell r="F146" t="str">
            <v>U of Saskatchewan</v>
          </cell>
          <cell r="G146" t="str">
            <v>112 Science Place</v>
          </cell>
          <cell r="H146" t="str">
            <v>Collab Sci Research Bldg</v>
          </cell>
          <cell r="I146" t="str">
            <v>Biology</v>
          </cell>
          <cell r="J146" t="str">
            <v>Saskatoon</v>
          </cell>
          <cell r="K146" t="str">
            <v>SK</v>
          </cell>
          <cell r="L146" t="str">
            <v>S7N 5E2</v>
          </cell>
          <cell r="M146" t="str">
            <v>Canada</v>
          </cell>
          <cell r="N146" t="str">
            <v>306-966-4445</v>
          </cell>
          <cell r="P146" t="str">
            <v>nicole.webster@usask.ca</v>
          </cell>
          <cell r="Q146" t="str">
            <v>Nicole Webster, University of Saskatchewan,112 Science Place, Biology, Collaborative Science Research Building, Saskatoon, SK, S7N 5E2
Tel: 306-966-4445; Email: nicole.webster@usask.ca</v>
          </cell>
          <cell r="R146" t="str">
            <v>CA</v>
          </cell>
          <cell r="S146" t="str">
            <v>University of Saskatchewan, ConnectionPoint, Arts Building, Rm 258, Saskatoon, SK  S7N 5A7; Email: connectionpoint@usask.ca</v>
          </cell>
          <cell r="T146" t="str">
            <v>shipment cost $xx via Purolator…OUCH! (but charged accordingly)
email invoice to Nicole Webster (Biology) at: connectionpoint@usask.ca with request to forward it to Nicole Webster (nicole.webster@usask.ca)</v>
          </cell>
          <cell r="U146">
            <v>103813</v>
          </cell>
        </row>
        <row r="147">
          <cell r="A147" t="str">
            <v>N/A</v>
          </cell>
          <cell r="B147" t="str">
            <v>Ophelie Fontaine</v>
          </cell>
          <cell r="C147" t="str">
            <v>Ophelie</v>
          </cell>
          <cell r="D147" t="str">
            <v>Supervisor: Severine Le Faucheur</v>
          </cell>
          <cell r="E147" t="str">
            <v>Université de Pau et des Pays de l’Adour (UPPA)</v>
          </cell>
          <cell r="F147" t="str">
            <v>UPPA - IPREM - UMR 5254</v>
          </cell>
          <cell r="G147" t="str">
            <v>2 av. P. Angot - Helioparc</v>
          </cell>
          <cell r="H147" t="str">
            <v>PAU CEDEX 09</v>
          </cell>
          <cell r="I147" t="str">
            <v>-</v>
          </cell>
          <cell r="J147" t="str">
            <v>Pau</v>
          </cell>
          <cell r="K147" t="str">
            <v>Nouvelle-Aquitaine (NA)</v>
          </cell>
          <cell r="L147">
            <v>64053</v>
          </cell>
          <cell r="M147" t="str">
            <v>France</v>
          </cell>
          <cell r="P147" t="str">
            <v>ophelie.fontaine@univ-pau.fr</v>
          </cell>
          <cell r="Q147" t="str">
            <v>Severine Le Faucheur, Université de Pau et des Pays de l’Adour (UPPA), IPREM - UMR 5254, 2 avenue du Président Pierre Angot, Technopole Helioparc, Pau (City), Nouvelle-Aquitaine (Region), 64053 PAU CEDEX 9, FRANCE
Tel: +0033559407857; Email: severine.le-faucheur@univ-pau.fr
FOR: Ophelie Fontaine (Supervisor: Severine Le Faucheur); Email: ophelie.fontaine@univ-pau.fr</v>
          </cell>
          <cell r="R147" t="str">
            <v>IA</v>
          </cell>
          <cell r="S147" t="str">
            <v>Centre national de la recherche scientifique - UPPA - IPREM,  CNRS - SCTD - 1864, 2 rue Jean Zay, TSA n° 41002, Vandoeuvre-Lès-Nancy, Grand Est Region, 54519, FRANCE; Email: olivier.gilbert@univ-pau.fr (Contact: Olivier Gilbert, Gestionnaire financier; Tel: 0559407600)</v>
          </cell>
          <cell r="T147" t="str">
            <v>use UW FedEx account + round up to nearest $5 increment + $25 Handling
email invoice to Attn: Olivier Gilbert at: olivier.gilbert@univ-pau.fr</v>
          </cell>
          <cell r="U147">
            <v>111256</v>
          </cell>
        </row>
        <row r="148">
          <cell r="A148" t="str">
            <v>N/A</v>
          </cell>
          <cell r="B148" t="str">
            <v>Oyeboade (Oye) Adebayo</v>
          </cell>
          <cell r="C148" t="str">
            <v>Oye</v>
          </cell>
          <cell r="D148" t="str">
            <v>Supervisor: Marc Strous</v>
          </cell>
          <cell r="E148" t="str">
            <v>University of Calgary</v>
          </cell>
          <cell r="F148" t="str">
            <v>U of Calgary</v>
          </cell>
          <cell r="G148" t="str">
            <v>2500 University Dr NW</v>
          </cell>
          <cell r="H148" t="str">
            <v>c/o Shipping &amp; Receiving</v>
          </cell>
          <cell r="I148" t="str">
            <v>EEEL-509 Bio Sci</v>
          </cell>
          <cell r="J148" t="str">
            <v>Calgary</v>
          </cell>
          <cell r="K148" t="str">
            <v>AB</v>
          </cell>
          <cell r="L148" t="str">
            <v>T2N 1N4</v>
          </cell>
          <cell r="M148" t="str">
            <v>Canada</v>
          </cell>
          <cell r="N148" t="str">
            <v>587-227-6080</v>
          </cell>
          <cell r="P148" t="str">
            <v>oye.adebayo@ucalgary.ca</v>
          </cell>
          <cell r="Q148" t="str">
            <v>Oyeboade Adebayo (Supervisor: Marc Strous) University of Calgary, 2500 University Drive NW, c/o Shipping and Receiving, EEEL-509, Biological Sciences, Calgary AB  T2N 1N4
Tel: 587-227-6080; Email: oye.adebayo@ucalgary.ca</v>
          </cell>
          <cell r="R148" t="str">
            <v>CA</v>
          </cell>
          <cell r="S148" t="str">
            <v>University of Calgary, Accounts Payable, 2500 University Drive NW, Calgary AB T2N 1N4; Email: invoices@ucalgary.ca</v>
          </cell>
          <cell r="T148" t="str">
            <v>Ship via Purolator Express
Email invoice to Accounts Payable at: invoices@ucalgary.ca</v>
          </cell>
          <cell r="U148">
            <v>103791</v>
          </cell>
        </row>
        <row r="149">
          <cell r="A149" t="str">
            <v>1004-002</v>
          </cell>
          <cell r="B149" t="str">
            <v>Pam Howes</v>
          </cell>
          <cell r="C149" t="str">
            <v>Pam</v>
          </cell>
          <cell r="D149" t="str">
            <v>Manager</v>
          </cell>
          <cell r="E149" t="str">
            <v>Bureau Veritas Laboratories - Burnaby</v>
          </cell>
          <cell r="F149" t="str">
            <v>BV Labs - Burnaby</v>
          </cell>
          <cell r="G149" t="str">
            <v>4606 Canada Way</v>
          </cell>
          <cell r="H149" t="str">
            <v>-</v>
          </cell>
          <cell r="I149" t="str">
            <v>-</v>
          </cell>
          <cell r="J149" t="str">
            <v>Burnaby</v>
          </cell>
          <cell r="K149" t="str">
            <v>BC</v>
          </cell>
          <cell r="L149" t="str">
            <v>V5G 1K5</v>
          </cell>
          <cell r="M149" t="str">
            <v>Canada</v>
          </cell>
          <cell r="N149" t="str">
            <v>office = 604-639-8424
cell = 604-761-7021</v>
          </cell>
          <cell r="P149" t="str">
            <v>Pam.HOWES@bvlabs.com</v>
          </cell>
          <cell r="Q149" t="str">
            <v>Pam Howes, Bureau Veritas Laboratories, 4606 Canada Way, Burnaby BC  V5G 1K5
Tel: Office: 604-639-8424, Cell: 604-761-7021; Email: Pam.HOWES@bvlabs.com</v>
          </cell>
          <cell r="R149" t="str">
            <v>CC</v>
          </cell>
          <cell r="S149" t="str">
            <v>Attn: Accounts Payable, Bureau Veritas Canada (2019) Inc., 500 - 1919 Minnesota Court, Mississauga ON L5N 0C9; Email: AP.865.INV.SUBMIT@bureauveritas.com (For A/P inquiries, please email vendorspecialist@bureauveritas.com) 
Email: accounts.payable@bvlabs.com</v>
          </cell>
          <cell r="T149" t="str">
            <v>shipment may be sent collect via FedEx account #112280820 or collect via UPS account #530EY0 as per customer request.
email invoice to Accounts Payable at: AP.865.INV.SUBMIT@bureauveritas.com
email invoice to Accounts Payable at: accounts.payable@bvlabs.com
Reference Pam Howes/Donald Lai (Burnaby Ecotox Group) &amp; PO if provided</v>
          </cell>
          <cell r="U149">
            <v>103380</v>
          </cell>
        </row>
        <row r="150">
          <cell r="A150" t="str">
            <v>1080-001</v>
          </cell>
          <cell r="B150" t="str">
            <v>Patrick J McGinn</v>
          </cell>
          <cell r="C150" t="str">
            <v>Patrick</v>
          </cell>
          <cell r="D150" t="str">
            <v>Senior Research Officer</v>
          </cell>
          <cell r="E150" t="str">
            <v>National Research Council Canada - Ketch Harbour</v>
          </cell>
          <cell r="F150" t="str">
            <v>NRC Can - Ketch Harbour</v>
          </cell>
          <cell r="G150" t="str">
            <v>270 Sandy Cove Rd</v>
          </cell>
          <cell r="H150" t="str">
            <v xml:space="preserve">Marine Research Station
</v>
          </cell>
          <cell r="I150" t="str">
            <v>-</v>
          </cell>
          <cell r="J150" t="str">
            <v>Ketch Harbour</v>
          </cell>
          <cell r="K150" t="str">
            <v>NS</v>
          </cell>
          <cell r="L150" t="str">
            <v>B3V 1K9</v>
          </cell>
          <cell r="M150" t="str">
            <v>Canada</v>
          </cell>
          <cell r="N150" t="str">
            <v>902-293-2746</v>
          </cell>
          <cell r="P150" t="str">
            <v>Patrick.McGinn@nrc-cnrc.gc.ca</v>
          </cell>
          <cell r="Q150" t="str">
            <v>Patrick J McGinn, National Research Council Canada, 270 Sandy Cove Road, Ketch Harbour, NS  B3V 1K9
Tel: 902-293-2746; Email: Patrick.McGinn@nrc-cnrc.gc.ca</v>
          </cell>
          <cell r="R150" t="str">
            <v>CG</v>
          </cell>
          <cell r="S150" t="str">
            <v>National Research Council of Canada, 1200 Montreal Road, M-50, Ottawa, ON  K1A 0R6</v>
          </cell>
          <cell r="T150" t="str">
            <v>email invoice to Accounts Payable at: nrc.invoice-facture.cnrc@nrc-cnrc.gc.ca (use a PO# or ask them to forward it to Patrick McGinn (Patrick.McGinn@nrc-cnrc.gc.ca) for credit card payment)</v>
          </cell>
          <cell r="U150">
            <v>103482</v>
          </cell>
        </row>
        <row r="151">
          <cell r="A151" t="str">
            <v>N/A</v>
          </cell>
          <cell r="B151" t="str">
            <v>Patrique Bulloch</v>
          </cell>
          <cell r="C151" t="str">
            <v>Patrique</v>
          </cell>
          <cell r="D151" t="str">
            <v>Food Web Biologist; Supervisor: Michael Paterson</v>
          </cell>
          <cell r="E151" t="str">
            <v>IISD-Experimental Lakes Area</v>
          </cell>
          <cell r="F151" t="str">
            <v>IISD - ELA</v>
          </cell>
          <cell r="G151" t="str">
            <v>111 Lombard Avenue</v>
          </cell>
          <cell r="H151" t="str">
            <v>Suite 325</v>
          </cell>
          <cell r="I151" t="str">
            <v>-</v>
          </cell>
          <cell r="J151" t="str">
            <v>Winnipeg</v>
          </cell>
          <cell r="K151" t="str">
            <v>MB</v>
          </cell>
          <cell r="L151" t="str">
            <v>R3L 1E4</v>
          </cell>
          <cell r="M151" t="str">
            <v>Canada</v>
          </cell>
          <cell r="N151" t="str">
            <v>204-390-3517</v>
          </cell>
          <cell r="P151" t="str">
            <v>pbulloch@iisd-ela.org</v>
          </cell>
          <cell r="Q151" t="str">
            <v>Patrique Bulloch (Food Web Biologist; Supervisor: Michael Paterson), IISD-Experimental Lakes Area, 111 Lombard Avenue, Suite 325, Winnipeg, MB  R3L 1E4
Tel: 204-390-3517; Email: pbulloch@iisd-ela.org</v>
          </cell>
          <cell r="R151" t="str">
            <v>CA</v>
          </cell>
          <cell r="S151" t="str">
            <v>IISD Experimental Lakes Area, 111 Lombard Avenue, Suite 325, Winnipeg, MB  R3B 0T4; Email: accountspayable@iisd.ca</v>
          </cell>
          <cell r="T151" t="str">
            <v>email invoice to Accounts Payable at: accountspayable@iisd.ca (accepts non-PO invoices); Attn: Patrique Bulloch/Michael Paterson</v>
          </cell>
          <cell r="U151">
            <v>106668</v>
          </cell>
        </row>
        <row r="152">
          <cell r="A152" t="str">
            <v>1031-002</v>
          </cell>
          <cell r="B152" t="str">
            <v>Paul Frost</v>
          </cell>
          <cell r="C152" t="str">
            <v>Paul</v>
          </cell>
          <cell r="D152" t="str">
            <v>Professor</v>
          </cell>
          <cell r="E152" t="str">
            <v>Trent University</v>
          </cell>
          <cell r="F152" t="str">
            <v>Trent U</v>
          </cell>
          <cell r="G152" t="str">
            <v>2089 East Bank Drive</v>
          </cell>
          <cell r="H152" t="str">
            <v>c/o Shipping &amp; Receiving</v>
          </cell>
          <cell r="I152" t="str">
            <v>CHLHSCD234Frost (Bio)</v>
          </cell>
          <cell r="J152" t="str">
            <v>Peterborough</v>
          </cell>
          <cell r="K152" t="str">
            <v>ON</v>
          </cell>
          <cell r="L152" t="str">
            <v>K9L 1Z8</v>
          </cell>
          <cell r="M152" t="str">
            <v>Canada</v>
          </cell>
          <cell r="N152" t="str">
            <v>705-748-1011 x 7903</v>
          </cell>
          <cell r="P152" t="str">
            <v>paulfrost@trentu.ca</v>
          </cell>
          <cell r="Q152" t="str">
            <v>Paul Frost, Trent University, 2089 East Bank Drive, c/o Shipping &amp; Receiving, CHLHSCD234 Frost (Biology), Peterborough, ON  K9L 1Z8
Tel: 705-748-1011 x 7903; Email: paulfrost@trentu.ca
OR (may no longer use)
Paul Frost, Trent University, 1600 West Bank Drive, Frost Lab - Biology, Peterborough, ON  K9L 0G2
Tel: 705-748-1011 x 7903; Email: paulfrost@trentu.ca</v>
          </cell>
          <cell r="R152" t="str">
            <v>CA</v>
          </cell>
          <cell r="S152" t="str">
            <v>Trent University, 1600 West Bank Dr, Peterborough, ON  K9J 0G2; Email: Accountspayable@trentu.ca</v>
          </cell>
          <cell r="T152" t="str">
            <v>email invoice to Purchasing Services for Paul Frost (CH LHSC D234 FROST) at: Accountspayable@trentu.ca (using a PO)</v>
          </cell>
          <cell r="U152">
            <v>103748</v>
          </cell>
        </row>
        <row r="153">
          <cell r="A153" t="str">
            <v>N/A</v>
          </cell>
          <cell r="B153" t="str">
            <v>Ralph Robinson</v>
          </cell>
          <cell r="C153" t="str">
            <v>Ralph</v>
          </cell>
          <cell r="D153" t="str">
            <v>President and owner of Selected BioProducts Inc.</v>
          </cell>
          <cell r="E153" t="str">
            <v>Selected BioProducts Inc.</v>
          </cell>
          <cell r="F153" t="str">
            <v>Selected BioProducts</v>
          </cell>
          <cell r="G153" t="str">
            <v>127 Seventh Concession</v>
          </cell>
          <cell r="H153" t="str">
            <v>Horses for Herbs</v>
          </cell>
          <cell r="I153" t="str">
            <v>-</v>
          </cell>
          <cell r="J153" t="str">
            <v>Harley</v>
          </cell>
          <cell r="K153" t="str">
            <v>ON</v>
          </cell>
          <cell r="L153" t="str">
            <v>N0E 1E0</v>
          </cell>
          <cell r="M153" t="str">
            <v>Canada</v>
          </cell>
          <cell r="N153" t="str">
            <v>519-837-7898</v>
          </cell>
          <cell r="P153" t="str">
            <v>ralph@horseherbs.com</v>
          </cell>
          <cell r="Q153" t="str">
            <v>Ralph Robinson, Selected BioProducts Inc. (aka Herbs for Horses), 127 Seventh Concession, Harley, ON, N0E 1E0
Tel: 519-837-7898; Email: ralph@horseherbs.com</v>
          </cell>
          <cell r="R153" t="str">
            <v>CC</v>
          </cell>
          <cell r="S153" t="str">
            <v>Selected BioProducts Inc., 127 Seventh Concession, Harley, ON, N0E 1E0; Tel: 519-837-7898; Email: ralph@horseherbs.com; Contact: Ralph Robinson, owner of Selected Bioproducts Inc./Herbs for Horses; Website: https://www.horseherbs.com/</v>
          </cell>
          <cell r="T153" t="str">
            <v>small company w/o funding and student is at U of Guelph so offered mid-way price between CA and external midway
email invoice to Ralph Robinson at: ralph@horseherbs.com
remember to charge 13% HST for the workshop!</v>
          </cell>
          <cell r="U153">
            <v>110688</v>
          </cell>
        </row>
        <row r="154">
          <cell r="A154" t="str">
            <v>N/A</v>
          </cell>
          <cell r="B154" t="str">
            <v>Ran Yang</v>
          </cell>
          <cell r="C154" t="str">
            <v>Ran</v>
          </cell>
          <cell r="D154" t="str">
            <v>Visiting Scholar; Supervisor: Xuexiu Chang</v>
          </cell>
          <cell r="E154" t="str">
            <v>University of Windsor - Great Lakes Institute for Environmental Research (GLIER)</v>
          </cell>
          <cell r="F154" t="str">
            <v>U of Windsor - GLIER</v>
          </cell>
          <cell r="G154" t="str">
            <v>2601 Union Street</v>
          </cell>
          <cell r="H154" t="str">
            <v>c/o Shipping &amp; Receiving</v>
          </cell>
          <cell r="I154" t="str">
            <v>for GLIER Rm 249B</v>
          </cell>
          <cell r="J154" t="str">
            <v xml:space="preserve"> Windsor</v>
          </cell>
          <cell r="K154" t="str">
            <v>ON</v>
          </cell>
          <cell r="L154" t="str">
            <v>N9B 3P4</v>
          </cell>
          <cell r="M154" t="str">
            <v>Canada</v>
          </cell>
          <cell r="P154" t="str">
            <v>ranyang@uwindsor.ca</v>
          </cell>
          <cell r="Q154" t="str">
            <v xml:space="preserve">To: Mary Lou Scratch (Secretary to the Executive Director), University of Windsor, Great Lakes Institute for Environmental Research (GLIER), Room 247A/249B, c/o Shipping and Receiving, 2601 Union Street, Windsor, ON  N9B 3P4
Tel: 519-253-3000 x2732; Fax: 519-971-3616; Email: mscratch@uwindsor.ca
FOR: Ran Yang (Visiting Scholar; Email: ranyang@uwindsor.ca); Supervisor: Xuexiu Chang (Email: xuexiu.chang@uwindsor.ca) </v>
          </cell>
          <cell r="R154" t="str">
            <v>CA</v>
          </cell>
          <cell r="S154" t="str">
            <v>University of Windsor, Accounts Payable, 401 Sunset Ave, Windsor, ON  N9B 3P4; Email: apinvoices@uwindsor.ca</v>
          </cell>
          <cell r="T154" t="str">
            <v>uses a PO #
email invoice to Accounts Payable at: apinvoices@uwindsor.ca</v>
          </cell>
          <cell r="U154">
            <v>103839</v>
          </cell>
        </row>
        <row r="155">
          <cell r="A155" t="str">
            <v>1086-001</v>
          </cell>
          <cell r="B155" t="str">
            <v>Rassim Khelifa</v>
          </cell>
          <cell r="C155" t="str">
            <v>Rassim</v>
          </cell>
          <cell r="D155" t="str">
            <v>Assistant Professor</v>
          </cell>
          <cell r="E155" t="str">
            <v>Concordia University</v>
          </cell>
          <cell r="F155" t="str">
            <v>Concordia U</v>
          </cell>
          <cell r="G155" t="str">
            <v>7141 Sherbrooke St. W</v>
          </cell>
          <cell r="H155" t="str">
            <v>Biology, SP_445.05</v>
          </cell>
          <cell r="I155" t="str">
            <v>-</v>
          </cell>
          <cell r="J155" t="str">
            <v>Montreal</v>
          </cell>
          <cell r="K155" t="str">
            <v>QC</v>
          </cell>
          <cell r="L155" t="str">
            <v>H4B 1R6</v>
          </cell>
          <cell r="M155" t="str">
            <v>Canada</v>
          </cell>
          <cell r="N155" t="str">
            <v>438-455-2499</v>
          </cell>
          <cell r="P155" t="str">
            <v>rassim.khelifa@concordia.ca</v>
          </cell>
          <cell r="Q155" t="str">
            <v>Rassim Khelifa (Assistant Professor), Concordia University, 7141 Sherbrooke Street West, Biology Department, Room SP_445.05, Montreal, QC  H4B 1R6
Tel: 438-455-2499; Email: rassim.khelifa@concordia.ca</v>
          </cell>
          <cell r="R155" t="str">
            <v>CA</v>
          </cell>
          <cell r="S155" t="str">
            <v>Concordia University, Accounts Payable, 1455 de Maisonneuve Blvd W, Montreal, QC  H3G 1M8; Email: poinvoices@concordia.ca</v>
          </cell>
          <cell r="T155" t="str">
            <v>Ship via Purolator Express
They may or may not use a PO#. Email invoice to Accounts Payable at: poinvoices@concordia.ca (Must contain the individual associated with the purchase and PO# (PO is not required for CC payments)); Attn: Rassim Khelifa (rassim.khelifa@concordia.ca)/Biology &amp; Ext Ref: "Rassim Khelifa/Biology (non-PO invoice: CC payment)"</v>
          </cell>
          <cell r="U155">
            <v>103057</v>
          </cell>
        </row>
        <row r="156">
          <cell r="A156" t="str">
            <v>1061-001</v>
          </cell>
          <cell r="B156" t="str">
            <v>Raymond Kwong</v>
          </cell>
          <cell r="C156" t="str">
            <v>Raymond</v>
          </cell>
          <cell r="D156" t="str">
            <v>Professor</v>
          </cell>
          <cell r="E156" t="str">
            <v>York University</v>
          </cell>
          <cell r="F156" t="str">
            <v>York U</v>
          </cell>
          <cell r="G156" t="str">
            <v>4700 Keele Street</v>
          </cell>
          <cell r="H156" t="str">
            <v>Petri Building PSE 002</v>
          </cell>
          <cell r="I156" t="str">
            <v>Biology</v>
          </cell>
          <cell r="J156" t="str">
            <v>North York</v>
          </cell>
          <cell r="K156" t="str">
            <v>ON</v>
          </cell>
          <cell r="L156" t="str">
            <v>M3J 1P3</v>
          </cell>
          <cell r="M156" t="str">
            <v>Canada</v>
          </cell>
          <cell r="N156" t="str">
            <v>416-736-2100 x 33718</v>
          </cell>
          <cell r="P156" t="str">
            <v>rwmkwong@yorku.ca</v>
          </cell>
          <cell r="Q156" t="str">
            <v>Raymond Kwong, York University, 4700 Keele Street, Petri Building PSE 002, Biology, North York, ON  M3J 1P3
Tel: 416-736-2100 x 33718; Email: rwmkwong@yorku.ca</v>
          </cell>
          <cell r="R156" t="str">
            <v>CA</v>
          </cell>
          <cell r="S156" t="str">
            <v>York University - Department of Biology, 4700 Keele Street, North York, ON  M3J 1P3; Email: vendorinvoices@yorku.ca</v>
          </cell>
          <cell r="T156" t="str">
            <v>may or may not use a PO; specify full name, department, and York email address of purchaser: "Non-PO invoice for Raymond Kwong; Biology; Email: rwmkwong@yorku.ca"
email invoice to Accounts Payable at: vendorinvoices@yorku.ca</v>
          </cell>
          <cell r="U156">
            <v>110319</v>
          </cell>
        </row>
        <row r="157">
          <cell r="A157" t="str">
            <v>1087-001</v>
          </cell>
          <cell r="B157" t="str">
            <v>Rebecca Hobbs</v>
          </cell>
          <cell r="C157" t="str">
            <v>Rebecca</v>
          </cell>
          <cell r="D157" t="str">
            <v>Group Leader – Microbiology Lab</v>
          </cell>
          <cell r="E157" t="str">
            <v>Thor Specialties, Inc.</v>
          </cell>
          <cell r="F157" t="str">
            <v>Thor Specialities</v>
          </cell>
          <cell r="G157" t="str">
            <v>50 Waterview Drive</v>
          </cell>
          <cell r="H157" t="str">
            <v>-</v>
          </cell>
          <cell r="I157" t="str">
            <v>-</v>
          </cell>
          <cell r="J157" t="str">
            <v>Shelton</v>
          </cell>
          <cell r="K157" t="str">
            <v>CT</v>
          </cell>
          <cell r="L157" t="str">
            <v>06484</v>
          </cell>
          <cell r="M157" t="str">
            <v>USA</v>
          </cell>
          <cell r="N157" t="str">
            <v>203-516-6980 x6124</v>
          </cell>
          <cell r="P157" t="str">
            <v>rhobbs@thorsp.com</v>
          </cell>
          <cell r="Q157" t="str">
            <v>Rebecca Hobbs (Group Leader – Microbiology Laboratory), Thor Specialties, Inc., 50 Waterview Drive, Shelton, CT 06484 USA
Tel: 203-516-6980 x 6124; Email: rhobbs@thorsp.com</v>
          </cell>
          <cell r="R157" t="str">
            <v>IC</v>
          </cell>
          <cell r="S157" t="str">
            <v>Thor Specialties, Inc., Accounts Payable, 50 Waterview Drive, Shelton, CT 06484 USA; Tel: 203-516-6980; Fax: 203-954-0005; Email: accountspayable@thorsp.com</v>
          </cell>
          <cell r="T157" t="str">
            <v>Remember to charge 13% HST for the workshop!
Email invoice to Accounts Payable at: accountspayable@thorsp.com</v>
          </cell>
          <cell r="U157">
            <v>111841</v>
          </cell>
        </row>
        <row r="158">
          <cell r="A158" t="str">
            <v>N/A</v>
          </cell>
          <cell r="B158" t="str">
            <v>Reza Saifi</v>
          </cell>
          <cell r="C158" t="str">
            <v>Reza</v>
          </cell>
          <cell r="D158" t="str">
            <v>Supervisor: Hassan Peerhossaini</v>
          </cell>
          <cell r="E158" t="str">
            <v>Western University</v>
          </cell>
          <cell r="F158" t="str">
            <v>Western U (UWO)</v>
          </cell>
          <cell r="G158" t="str">
            <v>1151 Richmond Street</v>
          </cell>
          <cell r="H158" t="str">
            <v>Thompson Eng/Dock 59/Rm40</v>
          </cell>
          <cell r="I158" t="str">
            <v>Eng Stores, TEB-FACENG</v>
          </cell>
          <cell r="J158" t="str">
            <v>London</v>
          </cell>
          <cell r="K158" t="str">
            <v>ON</v>
          </cell>
          <cell r="L158" t="str">
            <v>N6A 5B9</v>
          </cell>
          <cell r="M158" t="str">
            <v>Canada</v>
          </cell>
          <cell r="N158" t="str">
            <v>Cell: 226-559-2474</v>
          </cell>
          <cell r="P158" t="str">
            <v>rsaifi@uwo.ca</v>
          </cell>
          <cell r="Q158" t="str">
            <v>Reza Saifi (Supervisor: Hassan Peerhossaini), Western University, Department of Civil and Environmental Engineering, Engineering Stores, Thompson Eng Bldg, Dock 59, Room 40, ShipTo Address Code: TEB-ENGSTR, 1151 Richmond Street, London ON  N6A 5B9
Tel: Cell: 226-559-2474; Email: rsaifi@uwo.ca</v>
          </cell>
          <cell r="R158" t="str">
            <v>CA</v>
          </cell>
          <cell r="S158" t="str">
            <v>University of Western Ontario, Financial Services, Suite 6100, Support Services Building, 1393 Western Rd, London ON  N6G 1G9; Tel: 519-661-2111; Email: apinvoice@uwo.ca (Attn: Accounts Payable or UWO Engineering Stores Purchaser (name and email)</v>
          </cell>
          <cell r="T158" t="str">
            <v>PO invoice = email invoice to Accounts Payable at: apinvoice@uwo.ca
non-PO invoice = email invoice to apinvoice@uwo.ca but put Attn: Purchaser's name and email address</v>
          </cell>
          <cell r="U158">
            <v>103838</v>
          </cell>
        </row>
        <row r="159">
          <cell r="A159" t="str">
            <v>1047-001</v>
          </cell>
          <cell r="B159" t="str">
            <v>Roger C. Levesque</v>
          </cell>
          <cell r="C159" t="str">
            <v>Roger</v>
          </cell>
          <cell r="D159" t="str">
            <v>Professor</v>
          </cell>
          <cell r="E159" t="str">
            <v>Universite Laval - Institut de biologie integrative et des systemes (IBIS)</v>
          </cell>
          <cell r="F159" t="str">
            <v>U Laval - IBIS</v>
          </cell>
          <cell r="G159" t="str">
            <v>1030 avenue de la Medecine</v>
          </cell>
          <cell r="H159" t="str">
            <v>Charles-Eugene-Marchand</v>
          </cell>
          <cell r="I159" t="str">
            <v>Local 4142</v>
          </cell>
          <cell r="J159" t="str">
            <v>Quebec</v>
          </cell>
          <cell r="K159" t="str">
            <v>QC</v>
          </cell>
          <cell r="L159" t="str">
            <v>G1V 0A6</v>
          </cell>
          <cell r="M159" t="str">
            <v>Canada</v>
          </cell>
          <cell r="N159" t="str">
            <v>418-656-2131 x 404471</v>
          </cell>
          <cell r="P159" t="str">
            <v>rclevesq@ibis.ulaval.ca</v>
          </cell>
          <cell r="Q159" t="str">
            <v>Roger C. Levesque, Universite Laval - Institut de biologie integrative et des systemes (IBIS), 1030 avenue de la Medecine, Pavillon Charles-Eugene-Marchand, Laboratoire R C Levesque (Local 4142), Quebec, QC, G1V 0A6
Tel: 418-656-2131 x 404471; Email: rclevesq@ibis.ulaval.ca</v>
          </cell>
          <cell r="R159" t="str">
            <v>CA</v>
          </cell>
          <cell r="S159" t="str">
            <v>Universite Laval, Service des Finances, 2345 allee des Bibliotheques, Quebec, QC  G1V 0A6; Email: BC_payable@sf.ulaval.ca</v>
          </cell>
          <cell r="T159" t="str">
            <v>takes 2 days to arrive…there isn't any next day delivery even by paying for Purolator Express 10:30AM
email invoice to Comptes Payables at: BC_payable@sf.ulaval.ca</v>
          </cell>
          <cell r="U159">
            <v>108411</v>
          </cell>
        </row>
        <row r="160">
          <cell r="A160" t="str">
            <v>1043-001</v>
          </cell>
          <cell r="B160" t="str">
            <v>Romy Leger-Daigle</v>
          </cell>
          <cell r="C160" t="str">
            <v>Romy</v>
          </cell>
          <cell r="D160" t="str">
            <v>Student</v>
          </cell>
          <cell r="E160" t="str">
            <v>Fisheries and Oceans Canada (DFO) - Maurice-Lamontagne Institute</v>
          </cell>
          <cell r="F160" t="str">
            <v>Maurice-Lamontagne Inst. (DFO)</v>
          </cell>
          <cell r="G160" t="str">
            <v>850 Route de la Mer</v>
          </cell>
          <cell r="H160" t="str">
            <v>Demersal &amp; Benthic Sci</v>
          </cell>
          <cell r="I160" t="str">
            <v>-</v>
          </cell>
          <cell r="J160" t="str">
            <v>Mont-joli</v>
          </cell>
          <cell r="K160" t="str">
            <v>QC</v>
          </cell>
          <cell r="L160" t="str">
            <v>G5H 3Z4</v>
          </cell>
          <cell r="M160" t="str">
            <v>Canada</v>
          </cell>
          <cell r="N160" t="str">
            <v>514-570-2577</v>
          </cell>
          <cell r="P160" t="str">
            <v>Romy.Leger-Daigle@dfo-mpo.gc.ca</v>
          </cell>
          <cell r="Q160" t="str">
            <v>Romy Leger-Daigle, Fisheries and Oceans Canada (DFO), Maurice-Lamontagne Institute, Demersal and Benthic Sciences, 850 Route de la Mer, Mont-joli, QC, G5H 3Z4
Tel: 514-570-2577; Email: Romy.Leger-Daigle@dfo-mpo.gc.ca</v>
          </cell>
          <cell r="R160" t="str">
            <v>CG</v>
          </cell>
          <cell r="S160" t="str">
            <v>Fisheries and Oceans Canada, c/o Accounts Payable, PO Box 1901, Stn A, Fredericton, NB  E3C 2M6
Fisheries and Oceans Canada - Maurice-Lamontagne Institute, 850 Route de la Mer, Mont-joli, QC, G5H 3Z4; Email: DFO.QUEMLIMailroom-SalleCourrierIMLQUE.MPO@dfo-mpo.gc.ca</v>
          </cell>
          <cell r="T160" t="str">
            <v>takes 2 days to arrive…there isn't any next day delivery even by paying for Purolator Express 10:30AM
email invoice to AP at: DFO.invoicing-facturation.MPO@canada.ca (Attn: AP Coder Kathy Verreault (Kathy.Verreault@dfo-mpo.gc.ca))
email invoice to the mailroom at: DFO.QUEMLIMailroom-SalleCourrierIMLQUE.MPO@dfo-mpo.gc.ca (Attn: Romy Leger-Daigle; Email: Romy.Leger-Daigle@dfo-mpo.gc.ca)
let Romy know when invoice has been issued!</v>
          </cell>
          <cell r="U160" t="str">
            <v>103197
111229</v>
          </cell>
        </row>
        <row r="161">
          <cell r="A161" t="str">
            <v>N/A</v>
          </cell>
          <cell r="B161" t="str">
            <v>Rosa Di Leo</v>
          </cell>
          <cell r="C161" t="str">
            <v>Rosa</v>
          </cell>
          <cell r="D161" t="str">
            <v>Technician;
Supervisor: Carlos Cruz</v>
          </cell>
          <cell r="E161" t="str">
            <v>University of Toronto</v>
          </cell>
          <cell r="F161" t="str">
            <v>U of Toronto</v>
          </cell>
          <cell r="G161" t="str">
            <v>25 Harbord Street</v>
          </cell>
          <cell r="H161" t="str">
            <v>Reception Suite 401</v>
          </cell>
          <cell r="I161" t="str">
            <v>Cell Systems &amp; Biology</v>
          </cell>
          <cell r="J161" t="str">
            <v>Toronto</v>
          </cell>
          <cell r="K161" t="str">
            <v>ON</v>
          </cell>
          <cell r="L161" t="str">
            <v>M5S 3G5</v>
          </cell>
          <cell r="M161" t="str">
            <v>Canada</v>
          </cell>
          <cell r="N161" t="str">
            <v>416-978-6178</v>
          </cell>
          <cell r="P161" t="str">
            <v>rosa.dileo@utoronto.ca</v>
          </cell>
          <cell r="Q161" t="str">
            <v>Rosa Di Leo (supervisor: Carlos Cruz), University of Toronto, Cell Systems and Biology, 25 Harbord Street, Reception Suite 401, Toronto, ON  M5S 3G5
Tel: 416-978-6178; Email: rosa.dileo@utoronto.ca</v>
          </cell>
          <cell r="R161" t="str">
            <v>CA</v>
          </cell>
          <cell r="S161" t="str">
            <v>Robbie Brar, University of Toronto - Dept of Ecology and Evolutionary Biology, 25 Willcocks Street, Toronto ON M5S 3B2; Tel: 416-978-3248, Fax: 416-978-5878, Email: robbie.brar@utoronto.ca</v>
          </cell>
          <cell r="T161" t="str">
            <v>for EEB 268
email invoice to Robbie Brar/Rosa Di Leo at: eeb.reception@utoronto.ca</v>
          </cell>
          <cell r="U161">
            <v>103819</v>
          </cell>
        </row>
        <row r="162">
          <cell r="A162" t="str">
            <v>1090-001</v>
          </cell>
          <cell r="B162" t="str">
            <v>Rose Boudria</v>
          </cell>
          <cell r="C162" t="str">
            <v>Rose</v>
          </cell>
          <cell r="D162" t="str">
            <v>Laboratory Technician</v>
          </cell>
          <cell r="E162" t="str">
            <v>Elmwood School</v>
          </cell>
          <cell r="F162" t="str">
            <v>Elmwood School</v>
          </cell>
          <cell r="G162" t="str">
            <v>261 Buena Vista Road</v>
          </cell>
          <cell r="H162" t="str">
            <v>-</v>
          </cell>
          <cell r="I162" t="str">
            <v>-</v>
          </cell>
          <cell r="J162" t="str">
            <v>Ottawa</v>
          </cell>
          <cell r="K162" t="str">
            <v>ON</v>
          </cell>
          <cell r="L162" t="str">
            <v>K1M 0V9</v>
          </cell>
          <cell r="M162" t="str">
            <v>Canada</v>
          </cell>
          <cell r="N162" t="str">
            <v>613-749-6761</v>
          </cell>
          <cell r="O162" t="str">
            <v>613-741-8210</v>
          </cell>
          <cell r="P162" t="str">
            <v>rboudria@elmwood.ca</v>
          </cell>
          <cell r="Q162" t="str">
            <v>Rose Boudria (Laboratory Technician), Elmwood School, 261 Buena Vista Road, Ottawa, ON  K1M 0V9
Tel: 613-749-6761; Fax: 613-741-8210; Email: rboudria@elmwood.ca
(Note: Trevor might change the city to Rockcliffe!)</v>
          </cell>
          <cell r="R162" t="str">
            <v>CA</v>
          </cell>
          <cell r="S162" t="str">
            <v>Elmwood School, 261 Buena Vista Road, Ottawa, ON  K1M 0V9; Email: vjean-pierre@elmwood.ca (Contact: Valerie Jean-Pierre)</v>
          </cell>
          <cell r="T162" t="str">
            <v>Ship via Purolator Express
Email invoice to Valerie Jean-Pierre at: vjean-pierre@elmwood.ca</v>
          </cell>
          <cell r="U162">
            <v>102078</v>
          </cell>
        </row>
        <row r="163">
          <cell r="A163" t="str">
            <v>1035-002</v>
          </cell>
          <cell r="B163" t="str">
            <v>Rowan Sage</v>
          </cell>
          <cell r="C163" t="str">
            <v>Rowan</v>
          </cell>
          <cell r="D163" t="str">
            <v>Professor</v>
          </cell>
          <cell r="E163" t="str">
            <v>University of Toronto</v>
          </cell>
          <cell r="F163" t="str">
            <v>U of Toronto</v>
          </cell>
          <cell r="G163" t="str">
            <v>25 Willcocks Street</v>
          </cell>
          <cell r="H163" t="str">
            <v>EEB Reception, ESC3055</v>
          </cell>
          <cell r="I163" t="str">
            <v>Eco &amp; Evol Bio (EEB)</v>
          </cell>
          <cell r="J163" t="str">
            <v>Toronto</v>
          </cell>
          <cell r="K163" t="str">
            <v>ON</v>
          </cell>
          <cell r="L163" t="str">
            <v>M5S 3B2</v>
          </cell>
          <cell r="M163" t="str">
            <v>Canada</v>
          </cell>
          <cell r="N163" t="str">
            <v>416-978-7660</v>
          </cell>
          <cell r="P163" t="str">
            <v>r.sage@utoronto.ca</v>
          </cell>
          <cell r="Q163" t="str">
            <v>Rowan Sage, University of Toronto, Earth Science Centre, EEB Reception, ESC3055, 25 Willcocks Street, Toronto ON M5S 3B2
Tel: 416-978-7660; Email: r.sage@utoronto.ca</v>
          </cell>
          <cell r="R163" t="str">
            <v>CA</v>
          </cell>
          <cell r="S163" t="str">
            <v>Robbie Brar, University of Toronto - Dept of Ecology and Evolutionary Biology, 25 Willcocks Street, Toronto ON M5S 3B2; Tel: 416-978-3248, Fax: 416-978-5878, Email: robbie.brar@utoronto.ca</v>
          </cell>
          <cell r="T163" t="str">
            <v>Pick up or ship via Purolator/FedEx!
Reference Rowan Sage and "EEB 268 plant diversity course" on invoice
Email invoice to Robbie Brar/Rowan Sage at: eeb.reception@utoronto.ca</v>
          </cell>
          <cell r="U163">
            <v>103819</v>
          </cell>
        </row>
        <row r="164">
          <cell r="A164" t="str">
            <v>N/A</v>
          </cell>
          <cell r="B164" t="str">
            <v>Ruby Ziruo Liu</v>
          </cell>
          <cell r="C164" t="str">
            <v>Ruby</v>
          </cell>
          <cell r="D164" t="str">
            <v>Supervisor: Dr. Saji George and Dr. Audrey Moores (Moores-Francois)</v>
          </cell>
          <cell r="E164" t="str">
            <v>McGill University</v>
          </cell>
          <cell r="F164" t="str">
            <v>McGill U</v>
          </cell>
          <cell r="G164" t="str">
            <v>21111 Lakeshore Road (Saji George) 
OR
801 Sherbrooke St. West (Audrey Moores)</v>
          </cell>
          <cell r="H164" t="str">
            <v>MS Building, Room 1039 (Saji George) 
OR
Maass Chem Bldg, Rm 21 (Audrey Moores)</v>
          </cell>
          <cell r="I164" t="str">
            <v>-</v>
          </cell>
          <cell r="J164" t="str">
            <v>Sainte-Anne-de-Bellevue (Saji George) 
OR
Montreal (Audrey Moores)</v>
          </cell>
          <cell r="K164" t="str">
            <v>QC</v>
          </cell>
          <cell r="L164" t="str">
            <v>H9X 3V9 (Saji George) 
OR
H3A 0B8 (Audrey Moores)</v>
          </cell>
          <cell r="M164" t="str">
            <v>Canada</v>
          </cell>
          <cell r="N164" t="str">
            <v>514-663-0867</v>
          </cell>
          <cell r="P164" t="str">
            <v>ziruo.liu@mail.mcgill.ca</v>
          </cell>
          <cell r="Q164" t="str">
            <v>If shipped to Saji George: McGill University, MS Building, Room 1039, 21111 Lakeshore Road, Sainte-Anne-de-Bellevue, QC, H9X 3V9; Tel: 514-398-7920; Email: saji.george@mcgill.ca
FOR: Ruby Ziruo Liu (Supervisor: Dr. Saji George and Dr. Audrey Moores (Moores-Francois)); Tel: 514-663-0867; Email: ziruo.liu@mail.mcgill.ca
OR
If shipped to Audrey Moores (full name Audrey Moores-Francois): McGill University, Department of Chemistry, Maass Chemistry Building, Room 21, (Office Room 310/Lab Room 400), 801 Sherbrooke St. West, Montreal, QC H3A 0B8; Tel: 514-398-3654; Email: audrey.moores@mcgill.ca
FOR: Ruby Ziruo Liu (Supervisor: Dr. Saji George and Dr. Audrey Moores (Moores-Francois)); Tel: 514-663-0867; Email: ziruo.liu@mail.mcgill.ca</v>
          </cell>
          <cell r="R164" t="str">
            <v>CA</v>
          </cell>
          <cell r="S164" t="str">
            <v>McGill University, Financial Services, c/o Accounts Payable, 3465 Durocher Street, Montreal, QC  H2X 0A8; Email: accountspayable@mcgill.ca</v>
          </cell>
          <cell r="T164" t="str">
            <v>Requires a PO#!
email invoice to Accounts Payable at: accountspayable@mcgill.ca for Ruby Ziruo Liu/Saji George or Ruby Ziruo Liu/Audrey Moores-Francois</v>
          </cell>
          <cell r="U164">
            <v>103381</v>
          </cell>
        </row>
        <row r="165">
          <cell r="A165" t="str">
            <v>N/A</v>
          </cell>
          <cell r="B165" t="str">
            <v>Ruchita Solanki</v>
          </cell>
          <cell r="C165" t="str">
            <v>Ruchita</v>
          </cell>
          <cell r="D165" t="str">
            <v>Supervisor: Marc Strous</v>
          </cell>
          <cell r="E165" t="str">
            <v>University of Calgary</v>
          </cell>
          <cell r="F165" t="str">
            <v>U of Calgary</v>
          </cell>
          <cell r="G165" t="str">
            <v>2500 University Dr NW</v>
          </cell>
          <cell r="H165" t="str">
            <v>c/o Shipping &amp; Receiving</v>
          </cell>
          <cell r="I165" t="str">
            <v>EEEL-509 Bio Sci</v>
          </cell>
          <cell r="J165" t="str">
            <v>Calgary</v>
          </cell>
          <cell r="K165" t="str">
            <v>AB</v>
          </cell>
          <cell r="L165" t="str">
            <v>T2N 1N4</v>
          </cell>
          <cell r="M165" t="str">
            <v>Canada</v>
          </cell>
          <cell r="N165" t="str">
            <v>825-558-9573</v>
          </cell>
          <cell r="P165" t="str">
            <v>ruchita.solanki@ucalgary.ca</v>
          </cell>
          <cell r="Q165" t="str">
            <v>Ruchita Solanki (Supervisor: Marc Strous), University of Calgary, Biological Sciences, 2500 University Drive NW, c/o Shipping and Receiving, EEEL-509, Calgary AB  T2N 1N4
Tel: 825-558-9573; Email: ruchita.solanki@ucalgary.ca</v>
          </cell>
          <cell r="R165" t="str">
            <v>CA</v>
          </cell>
          <cell r="S165" t="str">
            <v>University of Calgary, Accounts Payable, 2500 University Drive NW, Calgary AB T2N 1N4; Email: invoices@ucalgary.ca</v>
          </cell>
          <cell r="T165" t="str">
            <v>Ship via Purolator Express
Email invoice to Accounts Payable at: invoices@ucalgary.ca</v>
          </cell>
          <cell r="U165">
            <v>103791</v>
          </cell>
        </row>
        <row r="166">
          <cell r="A166" t="str">
            <v>1033-002</v>
          </cell>
          <cell r="B166" t="str">
            <v>Ryan Prosser</v>
          </cell>
          <cell r="C166" t="str">
            <v>Ryan</v>
          </cell>
          <cell r="D166" t="str">
            <v>Associate Professor - Ecotoxicology</v>
          </cell>
          <cell r="E166" t="str">
            <v>University of Guelph</v>
          </cell>
          <cell r="F166" t="str">
            <v>U of Guelph</v>
          </cell>
          <cell r="G166" t="str">
            <v>50 Stone Rd E</v>
          </cell>
          <cell r="H166" t="str">
            <v>SES - Bovey Building</v>
          </cell>
          <cell r="I166" t="str">
            <v>-</v>
          </cell>
          <cell r="J166" t="str">
            <v>Guelph</v>
          </cell>
          <cell r="K166" t="str">
            <v>ON</v>
          </cell>
          <cell r="L166" t="str">
            <v>N1G 2W1</v>
          </cell>
          <cell r="M166" t="str">
            <v>Canada</v>
          </cell>
          <cell r="N166" t="str">
            <v>519-824-4120 x52190</v>
          </cell>
          <cell r="P166" t="str">
            <v>prosserr@uoguelph.ca</v>
          </cell>
          <cell r="Q166" t="str">
            <v>Ryan Prosser (Associate Professor - Ecotoxicology), University of Guelph, School of Environmental Sciences, Bovey Building, 50 Stone Road East, Guelph ON  N1G 2W1
Tel: 519-824-4120 x52190; Email: prosserr@uoguelph.ca</v>
          </cell>
          <cell r="R166" t="str">
            <v>CA</v>
          </cell>
          <cell r="S166" t="str">
            <v>Accounts Payable, University of Guelph, 50 Stone Road E, Guelph ON N1G 2W1; Email: acctspay@uoguelph.ca (Purchaser: Izabella Onik; Tel: 519-824-4120 x52712; Email: sesclerk@uoguelph.ca; School of Environmental Sciences)</v>
          </cell>
          <cell r="T166" t="str">
            <v>email invoice to Accounts Payable at: acctspay@uoguelph.ca and reference the purchaser, department, and PO #</v>
          </cell>
          <cell r="U166">
            <v>103794</v>
          </cell>
        </row>
        <row r="167">
          <cell r="A167" t="str">
            <v>1012-002</v>
          </cell>
          <cell r="B167" t="str">
            <v>Sabine Dodard</v>
          </cell>
          <cell r="C167" t="str">
            <v>Sabine</v>
          </cell>
          <cell r="D167" t="str">
            <v>Works with Manon Sarrazin, Nancy Perrault &amp; Marie-Josée Lorrain</v>
          </cell>
          <cell r="E167" t="str">
            <v>Conseil National de Recherches Canada (CNRC)</v>
          </cell>
          <cell r="F167" t="str">
            <v>CNRC</v>
          </cell>
          <cell r="G167" t="str">
            <v>6100 Avenue Royalmount</v>
          </cell>
          <cell r="H167" t="str">
            <v>Portes 6 &amp; 7</v>
          </cell>
          <cell r="I167" t="str">
            <v>Reception Marchandises</v>
          </cell>
          <cell r="J167" t="str">
            <v>Montreal</v>
          </cell>
          <cell r="K167" t="str">
            <v>QC</v>
          </cell>
          <cell r="L167" t="str">
            <v>H4P 2R2</v>
          </cell>
          <cell r="M167" t="str">
            <v>Canada</v>
          </cell>
          <cell r="N167" t="str">
            <v>514-496-2663</v>
          </cell>
          <cell r="P167" t="str">
            <v>sabine.dodard@cnrc-nrc.gc.ca</v>
          </cell>
          <cell r="Q167" t="str">
            <v>Sabine Dodard, Conseil National de Recherches Canada (CNRC), 6100 Avenue Royalmount, Portes 6 &amp; 7, Entree Reception Marchandises, Montreal, QC  H4P 2R2 
Tel: 514-496-2663; Email: sabine.dodard@cnrc-nrc.gc.ca
(Purchaser: Luc Beliveau, Tel: 514-496-6108, Email: luc.beliveau@cnrc-nrc.gc.ca OR Stephane Lajoie, Tel: 514-496-6108, Fax: 514-496-6350, Email: Stephane.Lajoie@cnrc-nrc.gc.ca)
(Works with Manon Sarrazin and Nancy Perrault)</v>
          </cell>
          <cell r="R167" t="str">
            <v>CG</v>
          </cell>
          <cell r="S167" t="str">
            <v>When paying by credit card:
National Research Council of Canada - Montreal Royalmount, 6100 Avenue Royalmount, Montreal, QC  H4P 2R2
When using a PO:
National Research Council of Canada, 1200 Montreal Road, M-50, Ottawa, ON  K1A 0R6; Email: nrc.invoice-facture.cnrc@nrc-cnrc.gc.ca</v>
          </cell>
          <cell r="T167" t="str">
            <v>invoices are currently being mailed via Canada Post to the Royalmount office (Customer ID 107425) for credit card payment
Alternatively, if using a PO, then most invoices go directly to the main Ottawa AP office (Customer ID 103482) with Attn: Accounts Payable/Comptes Payables at: nrc.invoice-facture.cnrc@nrc-cnrc.gc.ca</v>
          </cell>
          <cell r="U167" t="str">
            <v>107425
or
103482</v>
          </cell>
        </row>
        <row r="168">
          <cell r="A168" t="str">
            <v>N/A</v>
          </cell>
          <cell r="B168" t="str">
            <v>Sabrina Therrien</v>
          </cell>
          <cell r="C168" t="str">
            <v>Sabrina</v>
          </cell>
          <cell r="D168" t="str">
            <v>Supervisor: Graham Bell</v>
          </cell>
          <cell r="E168" t="str">
            <v>McGill University</v>
          </cell>
          <cell r="F168" t="str">
            <v>McGill U</v>
          </cell>
          <cell r="G168" t="str">
            <v>1205 ave Docteur-Penfield</v>
          </cell>
          <cell r="H168" t="str">
            <v>Stewart Biology, Rm N3/17</v>
          </cell>
          <cell r="I168" t="str">
            <v>-</v>
          </cell>
          <cell r="J168" t="str">
            <v xml:space="preserve"> Montreal</v>
          </cell>
          <cell r="K168" t="str">
            <v>QC</v>
          </cell>
          <cell r="L168" t="str">
            <v>H3A 1B1</v>
          </cell>
          <cell r="M168" t="str">
            <v>Canada</v>
          </cell>
          <cell r="N168" t="str">
            <v>438-492-9193</v>
          </cell>
          <cell r="P168" t="str">
            <v>sabrina.therrien@mail.mcgill.ca</v>
          </cell>
          <cell r="Q168" t="str">
            <v>Sabrina Therrien (Supervisor: Graham Bell), McGill University, Stewart Biology Building room N6/9, 1205 avenue Docteur-Penfield, Montreal, QC, H3A 1B1
Tel: 438-492-9193; Email: sabrina.therrien@mail.mcgill.ca
BUT SHIP TO: Luisa Sabaz; McGill University, Stewart Biology Building, room N3/17, 1205 ave. Docteur Penfield, Montreal, QC, H3A 1B1, Tel: 514-398-5740; Email: luisa.sabaz@mcgill.ca)</v>
          </cell>
          <cell r="R168" t="str">
            <v>CA</v>
          </cell>
          <cell r="S168" t="str">
            <v>McGill University, Financial Services, c/o Accounts Payable, 3465 Durocher Street, Montreal, QC  H2X 0A8; Email: accountspayable@mcgill.ca</v>
          </cell>
          <cell r="T168" t="str">
            <v>Requires a PO#!
email invoice to Accounts Payable at: accountspayable@mcgill.ca</v>
          </cell>
          <cell r="U168">
            <v>103381</v>
          </cell>
        </row>
        <row r="169">
          <cell r="A169" t="str">
            <v>1054-004</v>
          </cell>
          <cell r="B169" t="str">
            <v>Saji George</v>
          </cell>
          <cell r="C169" t="str">
            <v>Saji</v>
          </cell>
          <cell r="D169" t="str">
            <v>Professor</v>
          </cell>
          <cell r="E169" t="str">
            <v>McGill University</v>
          </cell>
          <cell r="F169" t="str">
            <v>McGill U</v>
          </cell>
          <cell r="G169" t="str">
            <v>21111 Lakeshore Road</v>
          </cell>
          <cell r="H169" t="str">
            <v>Food Sci &amp; Agr Chem</v>
          </cell>
          <cell r="I169" t="str">
            <v>MS 1-039</v>
          </cell>
          <cell r="J169" t="str">
            <v>Sainte-Anne-de-Bellevue</v>
          </cell>
          <cell r="K169" t="str">
            <v>QC</v>
          </cell>
          <cell r="L169" t="str">
            <v>H9X 3V9</v>
          </cell>
          <cell r="M169" t="str">
            <v>Canada</v>
          </cell>
          <cell r="N169" t="str">
            <v>514-398-7920</v>
          </cell>
          <cell r="O169" t="str">
            <v>508-295-8107</v>
          </cell>
          <cell r="P169" t="str">
            <v>saji.george@mcgill.ca</v>
          </cell>
          <cell r="Q169" t="str">
            <v>Saji George, McGill University, Department of Food Science and Agricultural Chemistry, MS 1-039, 21111 Lakeshore Road, Sainte-Anne-de-Bellevue, QC, H9X 3V9
Tel: 514-398-7920; Email: saji.george@mcgill.ca</v>
          </cell>
          <cell r="R169" t="str">
            <v>CA</v>
          </cell>
          <cell r="S169" t="str">
            <v>McGill University, Financial Services, c/o Accounts Payable, 3465 Durocher Street, Montreal, QC  H2X 0A8; Email: accountspayable@mcgill.ca</v>
          </cell>
          <cell r="T169" t="str">
            <v>Requires a PO#!
email invoice to Accounts Payable at: accountspayable@mcgill.ca</v>
          </cell>
          <cell r="U169">
            <v>103381</v>
          </cell>
        </row>
        <row r="170">
          <cell r="A170" t="str">
            <v>1029-001</v>
          </cell>
          <cell r="B170" t="str">
            <v>Sandra Araujo</v>
          </cell>
          <cell r="C170" t="str">
            <v>Sandra</v>
          </cell>
          <cell r="D170" t="str">
            <v>Report Associate</v>
          </cell>
          <cell r="E170" t="str">
            <v>Smithers</v>
          </cell>
          <cell r="F170" t="str">
            <v>Smithers</v>
          </cell>
          <cell r="G170" t="str">
            <v>790 Main St.</v>
          </cell>
          <cell r="H170" t="str">
            <v>-</v>
          </cell>
          <cell r="I170" t="str">
            <v>-</v>
          </cell>
          <cell r="J170" t="str">
            <v>Wareham</v>
          </cell>
          <cell r="K170" t="str">
            <v>MA</v>
          </cell>
          <cell r="L170" t="str">
            <v>02571-1037</v>
          </cell>
          <cell r="M170" t="str">
            <v>USA</v>
          </cell>
          <cell r="N170" t="str">
            <v>508-295-2550</v>
          </cell>
          <cell r="O170" t="str">
            <v>508-295-8107</v>
          </cell>
          <cell r="P170" t="str">
            <v>saraujo@smithers.com</v>
          </cell>
          <cell r="Q170" t="str">
            <v>Sandra M. Araujo, Smithers, 790 Main St., Wareham MA 02571-1037, USA
Tel: 508-295-2550; Fax: 508-295-8107; Email: saraujo@smithers.com
Broker information: Dawn Slutz, Compass Forwarding Co., Inc, 159-15 Rockaway Blvd, Jamaica, New York 11434 
Tel: 718-528-3589 x223; Fax: 718-528-6751; Email: dslutz@compassfwd.com</v>
          </cell>
          <cell r="R170" t="str">
            <v>IC</v>
          </cell>
          <cell r="S170" t="str">
            <v>EMAIL INVOICE TO: whm-ap@smithers.com; Attn: Accounts Payable, Smithers, 790 Main St., Wareham MA 02571-1037, USA; Allison Hutsell; Tel: 508-295-2550, Fax: 508-295-8107, Email: ahutsell@smithers.com</v>
          </cell>
          <cell r="T170" t="str">
            <v>use UW FedEx account + round up to nearest $5 increment ($xx) OR ship collect using their FedEx account #1063-9444-0. Also note that they use an external broker (Compass Forwarding), so always cc John Scully Shipping/Receiving Agent (jscully@smithers.com) and their broker with the tracking # information and a scan of the Customs letter! 
They use a PO#. Email invoice to Accounts Payable at: whm-ap@smithers.com</v>
          </cell>
          <cell r="U170">
            <v>103645</v>
          </cell>
        </row>
        <row r="171">
          <cell r="A171" t="str">
            <v>N/A</v>
          </cell>
          <cell r="B171" t="str">
            <v>Sandra Renaud</v>
          </cell>
          <cell r="C171" t="str">
            <v>Sandra</v>
          </cell>
          <cell r="D171" t="str">
            <v>Supervisor: James Weaver</v>
          </cell>
          <cell r="E171" t="str">
            <v>Cambridge Isotope Laboratories (CIL) Canada</v>
          </cell>
          <cell r="F171" t="str">
            <v>CIL Canada</v>
          </cell>
          <cell r="G171" t="str">
            <v>331 Rue Deslauriers</v>
          </cell>
          <cell r="H171" t="str">
            <v>-</v>
          </cell>
          <cell r="I171" t="str">
            <v>-</v>
          </cell>
          <cell r="J171" t="str">
            <v>St-Laurent</v>
          </cell>
          <cell r="K171" t="str">
            <v>QC</v>
          </cell>
          <cell r="L171" t="str">
            <v>H4N 1W2</v>
          </cell>
          <cell r="M171" t="str">
            <v>Canada</v>
          </cell>
          <cell r="N171" t="str">
            <v>514-723-0858 x 280</v>
          </cell>
          <cell r="P171" t="str">
            <v>srenaud@isotope.com</v>
          </cell>
          <cell r="Q171" t="str">
            <v>Sandra Renaud (Supervisor: James Weaver), Cambridge Isotope Laboratories (CIL) Canada, 331 Rue Deslauriers, Saint-Laurent, QC  H4N 1W2
Tel: 514-723-0858 x 280; Email: srenaud@isotope.com
(Purchaser: Caroline Araguas, Tel: 514-723-0858 x225, Email: caraguas@isotopecanada.com)
(Formerly FESKO Consultants)</v>
          </cell>
          <cell r="R171" t="str">
            <v>CC</v>
          </cell>
          <cell r="S171" t="str">
            <v>Caroline Araguas, Cambridge Isotope Laboratories Canada, 331 Rue Deslauriers, St-Laurent, QC  H4N 1W2; Tel: 514-723-0858 x225, Fax: 514-723-2275, Email: caroline.a@isotopecanada.com
Caroline Araguas, FESKO Consultants, 331 Rue Deslauriers, St-Laurent, QC  H4N 1W2; Tel: 514-723-0858 x225, Fax: 514-723-2275, Email: caroline@fesko.qc.ca</v>
          </cell>
          <cell r="T171" t="str">
            <v>ship cryovials collect via FedEx First Overnight (FedEx account #179186187); charge a $5 Handling fee for collect shipment
email invoice to Caroline Araguas at: caroline.a@isotopecanada.com
NOTE: email address will need to be changed for next year to caraguas@isotope.com!</v>
          </cell>
          <cell r="U171">
            <v>103194</v>
          </cell>
        </row>
        <row r="172">
          <cell r="A172" t="str">
            <v>1007-001</v>
          </cell>
          <cell r="B172" t="str">
            <v>Sandra Trochei</v>
          </cell>
          <cell r="C172" t="str">
            <v>Sandra</v>
          </cell>
          <cell r="D172" t="str">
            <v>Plant Manager</v>
          </cell>
          <cell r="E172" t="str">
            <v>Cambridge Isotope Laboratories (CIL) Canada</v>
          </cell>
          <cell r="F172" t="str">
            <v>CIL Canada</v>
          </cell>
          <cell r="G172" t="str">
            <v>331 Rue Deslauriers</v>
          </cell>
          <cell r="H172" t="str">
            <v>-</v>
          </cell>
          <cell r="I172" t="str">
            <v>-</v>
          </cell>
          <cell r="J172" t="str">
            <v>St-Laurent</v>
          </cell>
          <cell r="K172" t="str">
            <v>QC</v>
          </cell>
          <cell r="L172" t="str">
            <v>H4N 1W2</v>
          </cell>
          <cell r="M172" t="str">
            <v>Canada</v>
          </cell>
          <cell r="N172" t="str">
            <v>514-723-0858 x222
Cell: 514-229-7702</v>
          </cell>
          <cell r="P172" t="str">
            <v>sandra.t@isotopecanada.com</v>
          </cell>
          <cell r="Q172" t="str">
            <v>Sandra Trochei (Plant Manager), Cambridge Isotope Laboratories (CIL) Canada, 331 Rue Deslauriers, Saint-Laurent, QC  H4N 1W2
Tel: 514-723-0858 x222, Cell: 514-229-7702; Email: sandra.t@isotopecanada.com
(Purchaser: Caroline Araguas, Tel: 514-723-0858 x225, Email: caraguas@isotopecanada.com)
(Formerly FESKO Consultants)</v>
          </cell>
          <cell r="R172" t="str">
            <v>CC</v>
          </cell>
          <cell r="S172" t="str">
            <v>Caroline Araguas, Cambridge Isotope Laboratories Canada, 331 Rue Deslauriers, St-Laurent, QC  H4N 1W2; Tel: 514-723-0858 x225, Fax: 514-723-2275, Email: caroline.a@isotopecanada.com
Caroline Araguas, FESKO Consultants, 331 Rue Deslauriers, St-Laurent, QC  H4N 1W2; Tel: 514-723-0858 x225, Fax: 514-723-2275, Email: caroline@fesko.qc.ca</v>
          </cell>
          <cell r="T172" t="str">
            <v>ship cryovials collect via FedEx First Overnight (FedEx account #179186187); charge a $5 Handling fee for collect shipment
email invoice to Caroline Araguas at: caroline.a@isotopecanada.com</v>
          </cell>
          <cell r="U172">
            <v>103194</v>
          </cell>
        </row>
        <row r="173">
          <cell r="A173" t="str">
            <v>1089-001</v>
          </cell>
          <cell r="B173" t="str">
            <v>Scott Pierobon</v>
          </cell>
          <cell r="C173" t="str">
            <v>Scott</v>
          </cell>
          <cell r="D173" t="str">
            <v>Co-Founder &amp; CEO</v>
          </cell>
          <cell r="E173" t="str">
            <v>Neuston Biosystems Inc.</v>
          </cell>
          <cell r="F173" t="str">
            <v>Neuston Biosystems</v>
          </cell>
          <cell r="G173" t="str">
            <v>174 Betty Ann Drive</v>
          </cell>
          <cell r="H173" t="str">
            <v>-</v>
          </cell>
          <cell r="I173" t="str">
            <v>-</v>
          </cell>
          <cell r="J173" t="str">
            <v>Toronto</v>
          </cell>
          <cell r="K173" t="str">
            <v>ON</v>
          </cell>
          <cell r="L173" t="str">
            <v>M2N 1X6</v>
          </cell>
          <cell r="M173" t="str">
            <v>Canada</v>
          </cell>
          <cell r="N173" t="str">
            <v>647-953-2393</v>
          </cell>
          <cell r="P173" t="str">
            <v>neustonbiosystems.com</v>
          </cell>
          <cell r="Q173" t="str">
            <v>Scott Pierobon (Co-Founder &amp; CEO), 2482 Yonge Street, Unit 1181, Toronto, ON, Canada, M4P 2H5
BUT SHIP TO: Scott Pierobon, Pierobon Residence, 174 Betty Ann Drive, Toronto, ON, Canada, M2N 1X6
Tel: 647-953-2393; Email: scott.p@neustonbiosystems.com</v>
          </cell>
          <cell r="R173" t="str">
            <v>CC</v>
          </cell>
          <cell r="S173" t="str">
            <v>Scott Pierobon (Co-Founder &amp; CEO), 2482 Yonge Street, Unit 1181, Toronto, ON, Canada, M4P 2H5
BUT SHIP TO: 174 Betty Ann Drive, Toronto, ON, Canada, M2N 1X6
Tel: 647-953-2393; Email: scott.p@neustonbiosystems.com</v>
          </cell>
          <cell r="T173" t="str">
            <v>Ship via Purolator Express; Residential address…designate as NSR
Small start-up company w/o funding so offered mid-way price between CA and CC
Email invoice to Scott Pierobon at: scott.p@neustonbiosystems.com</v>
          </cell>
          <cell r="U173">
            <v>110319</v>
          </cell>
        </row>
        <row r="174">
          <cell r="A174" t="str">
            <v>N/A</v>
          </cell>
          <cell r="B174" t="str">
            <v>Sejal Dave</v>
          </cell>
          <cell r="C174" t="str">
            <v>Sejal</v>
          </cell>
          <cell r="D174" t="str">
            <v>Supervisor: Raymond Kwong</v>
          </cell>
          <cell r="E174" t="str">
            <v>York University</v>
          </cell>
          <cell r="F174" t="str">
            <v>York U</v>
          </cell>
          <cell r="G174" t="str">
            <v>4700 Keele Street</v>
          </cell>
          <cell r="H174" t="str">
            <v>Petri Building PSE 002</v>
          </cell>
          <cell r="I174" t="str">
            <v>Biology</v>
          </cell>
          <cell r="J174" t="str">
            <v>North York</v>
          </cell>
          <cell r="K174" t="str">
            <v>ON</v>
          </cell>
          <cell r="L174" t="str">
            <v>M3J 1P3</v>
          </cell>
          <cell r="M174" t="str">
            <v>Canada</v>
          </cell>
          <cell r="N174" t="str">
            <v>+0033559407857</v>
          </cell>
          <cell r="P174" t="str">
            <v>sejal94@yorku.ca</v>
          </cell>
          <cell r="Q174" t="str">
            <v>Raymond Kwong, York University, 4700 Keele Street, Petri Building PSE 002, Biology, North York, ON  M3J 1P3; Tel: 416-736-2100 x 33718; Email: rwmkwong@yorku.ca
FOR: Sejal Dave (Supervisor: Raymond Kwong); Email: sejal94@yorku.ca</v>
          </cell>
          <cell r="R174" t="str">
            <v>CA</v>
          </cell>
          <cell r="S174" t="str">
            <v>York University - Department of Biology, 4700 Keele Street, North York, ON  M3J 1P3; Email: vendorinvoices@yorku.ca</v>
          </cell>
          <cell r="T174" t="str">
            <v>may or may not use a PO; specify full name, department, and York email address of purchaser: "Non-PO invoice for Raymond Kwong; Biology; Email: rwmkwong@yorku.ca"
email invoice to Accounts Payable at: vendorinvoices@yorku.ca</v>
          </cell>
          <cell r="U174">
            <v>110319</v>
          </cell>
        </row>
        <row r="175">
          <cell r="A175" t="str">
            <v>1069-001</v>
          </cell>
          <cell r="B175" t="str">
            <v>Severine Le Faucheur</v>
          </cell>
          <cell r="C175" t="str">
            <v>Severine</v>
          </cell>
          <cell r="D175" t="str">
            <v>Professor</v>
          </cell>
          <cell r="E175" t="str">
            <v>Université de Pau et des Pays de l’Adour (UPPA)</v>
          </cell>
          <cell r="F175" t="str">
            <v>UPPA - IPREM - UMR 5254</v>
          </cell>
          <cell r="G175" t="str">
            <v>2 av. P. Angot - Helioparc</v>
          </cell>
          <cell r="H175" t="str">
            <v>PAU CEDEX 09</v>
          </cell>
          <cell r="I175" t="str">
            <v>-</v>
          </cell>
          <cell r="J175" t="str">
            <v>Pau</v>
          </cell>
          <cell r="K175" t="str">
            <v>Nouvelle-Aquitaine (NA)</v>
          </cell>
          <cell r="L175">
            <v>64053</v>
          </cell>
          <cell r="M175" t="str">
            <v>France</v>
          </cell>
          <cell r="N175" t="str">
            <v>+0033559407857</v>
          </cell>
          <cell r="P175" t="str">
            <v>severine.le-faucheur@univ-pau.fr</v>
          </cell>
          <cell r="Q175" t="str">
            <v>Severine Le Faucheur, Université de Pau et des Pays de l’Adour (UPPA), IPREM - UMR 5254, 2 avenue du Président Pierre Angot, Technopole Helioparc, Pau (City), Nouvelle-Aquitaine (Region), 64053 PAU CEDEX 09, FRANCE
Tel: +0033559407857; Email: severine.le-faucheur@univ-pau.fr
(Attn: Severine Le Faucheur; Tel: +0033559407857; Email: severine.le-faucheur@univ-pau.fr)
Université de Pau et des Pays de l’Adour (UPPA) - Centre national de la recherche scientifique (CNRS) - SCTD - 1864, 2 rue Jean Zay, TSA n° 41002, 54519 Vandoeuvre-Lès-Nancy Cedex, France</v>
          </cell>
          <cell r="R175" t="str">
            <v>IA</v>
          </cell>
          <cell r="S175" t="str">
            <v>Centre national de la recherche scientifique - UPPA - IPREM,  CNRS - SCTD - 1864, 2 rue Jean Zay, TSA n° 41002, Vandoeuvre-Lès-Nancy, Grand Est Region, 54519, FRANCE; Email: olivier.gilbert@univ-pau.fr (Contact: Olivier Gilbert, Gestionnaire financier; Tel: 0559407600)</v>
          </cell>
          <cell r="T175" t="str">
            <v>use UW FedEx account + round up to nearest $5 increment + $25 Handling
email invoice to Attn: Olivier Gilbert at: olivier.gilbert@univ-pau.fr</v>
          </cell>
          <cell r="U175">
            <v>111256</v>
          </cell>
        </row>
        <row r="176">
          <cell r="A176" t="str">
            <v>N/A</v>
          </cell>
          <cell r="B176" t="str">
            <v xml:space="preserve">Shabana Bhatti </v>
          </cell>
          <cell r="C176" t="str">
            <v>Shabana</v>
          </cell>
          <cell r="D176" t="str">
            <v>Supervisor: Patrick J McGinn</v>
          </cell>
          <cell r="E176" t="str">
            <v>National Research Council Canada - Ketch Harbour</v>
          </cell>
          <cell r="F176" t="str">
            <v>NRC Can - Ketch Harbour</v>
          </cell>
          <cell r="G176" t="str">
            <v>270 Sandy Cove Rd</v>
          </cell>
          <cell r="H176" t="str">
            <v>Marine Research Station</v>
          </cell>
          <cell r="I176" t="str">
            <v>-</v>
          </cell>
          <cell r="J176" t="str">
            <v>Ketch Harbour</v>
          </cell>
          <cell r="K176" t="str">
            <v>NS</v>
          </cell>
          <cell r="L176" t="str">
            <v>B3V 1K9</v>
          </cell>
          <cell r="M176" t="str">
            <v>Canada</v>
          </cell>
          <cell r="N176" t="str">
            <v>902-789-5781</v>
          </cell>
          <cell r="O176" t="str">
            <v>Ship To Email: chemstores@utsc.utoronto.ca</v>
          </cell>
          <cell r="P176" t="str">
            <v>Shabana.Bhatti@nrc-cnrc.gc.ca</v>
          </cell>
          <cell r="Q176" t="str">
            <v>Patrick McGinn/Shabana Bhatti, National Research Council Canada, 270 Sandy Cove Road, Marine Research Station, Ketch Harbour, NS  B3V 1K9 
Tel: 902-789-5781; Email: Shabana.Bhatti@nrc-cnrc.gc.ca
FOR: Shabana Bhatti (Supervisor: Patrick J McGinn)</v>
          </cell>
          <cell r="R176" t="str">
            <v>CG</v>
          </cell>
          <cell r="S176" t="str">
            <v>National Research Council of Canada, 1200 Montreal Road, M-50, Ottawa, ON  K1A 0R6</v>
          </cell>
          <cell r="T176" t="str">
            <v>email invoice to Accounts Payable at: nrc.invoice-facture.cnrc@nrc-cnrc.gc.ca (use a PO# or ask them to forward it to Shabana Bhatti (Shabana.Bhatti@nrc-cnrc.gc.ca) for credit card payment)</v>
          </cell>
          <cell r="U176">
            <v>103482</v>
          </cell>
        </row>
        <row r="177">
          <cell r="A177" t="str">
            <v>N/A</v>
          </cell>
          <cell r="B177" t="str">
            <v>Shabnam Tejani</v>
          </cell>
          <cell r="C177" t="str">
            <v>Shabnam</v>
          </cell>
          <cell r="D177" t="str">
            <v>Supervisor: Marc Cadotte</v>
          </cell>
          <cell r="E177" t="str">
            <v>University of Toronto Scarborough</v>
          </cell>
          <cell r="F177" t="str">
            <v>U of Toronto Scarborough</v>
          </cell>
          <cell r="G177" t="str">
            <v>1265 Military Trail</v>
          </cell>
          <cell r="H177" t="str">
            <v>Biological Sciences</v>
          </cell>
          <cell r="I177" t="str">
            <v>-</v>
          </cell>
          <cell r="J177" t="str">
            <v>Toronto (but Trevor changed it to Scarborough)</v>
          </cell>
          <cell r="K177" t="str">
            <v>ON</v>
          </cell>
          <cell r="L177" t="str">
            <v>M1C 1A4</v>
          </cell>
          <cell r="M177" t="str">
            <v>Canada</v>
          </cell>
          <cell r="N177" t="str">
            <v>902-464-2457x4001211</v>
          </cell>
          <cell r="O177" t="str">
            <v>Ship To Email: chemstores@utsc.utoronto.ca</v>
          </cell>
          <cell r="P177" t="str">
            <v>shabnam.tejani@mail.utoronto.ca</v>
          </cell>
          <cell r="Q177" t="str">
            <v>Marc Cadotte, University of Toronto Scarborough, Department of Biological Sciences, 1265 Military Trail, Toronto ON  M1C 1A4
Tel: 416-208-5105; Email: marc.cadotte@utoronto.ca (Ship To Email: chemstores@utsc.utoronto.ca)
FOR: Shabnam Tejani (Supervisor: Marc Cadotte); Email: shabnam.tejani@mail.utoronto.ca</v>
          </cell>
          <cell r="R177" t="str">
            <v>CA</v>
          </cell>
          <cell r="S177" t="str">
            <v>University of Toronto - Scarborough, 1265 Military Trail, Toronto, ON  M1C 1A4; Email: chemstores@utsc.utoronto.ca</v>
          </cell>
          <cell r="T177" t="str">
            <v>Use a Biology DPO and email invoices to Accounts Payable at: chemstores@utsc.utoronto.ca
(if no PO, request forwarding to purchaser for credit card payment)</v>
          </cell>
          <cell r="U177">
            <v>107313</v>
          </cell>
        </row>
        <row r="178">
          <cell r="A178" t="str">
            <v>1048-001</v>
          </cell>
          <cell r="B178" t="str">
            <v>Shane MacLeod</v>
          </cell>
          <cell r="C178" t="str">
            <v>Shane</v>
          </cell>
          <cell r="D178" t="str">
            <v>Science Department Head/Physics Teacher; Works with Ian Alford-Archibald</v>
          </cell>
          <cell r="E178" t="str">
            <v>Dartmouth High School</v>
          </cell>
          <cell r="F178" t="str">
            <v>Dartmouth H.S.</v>
          </cell>
          <cell r="G178" t="str">
            <v>95 Victoria Rd Ext</v>
          </cell>
          <cell r="H178" t="str">
            <v>Science Dept</v>
          </cell>
          <cell r="I178" t="str">
            <v>-</v>
          </cell>
          <cell r="J178" t="str">
            <v>Dartmouth</v>
          </cell>
          <cell r="K178" t="str">
            <v>NS</v>
          </cell>
          <cell r="L178" t="str">
            <v>B3A 1V2</v>
          </cell>
          <cell r="M178" t="str">
            <v>Canada</v>
          </cell>
          <cell r="N178" t="str">
            <v>902-464-2457x4001211</v>
          </cell>
          <cell r="O178" t="str">
            <v>519-763-4419</v>
          </cell>
          <cell r="P178" t="str">
            <v>macleodg@hrce.ca</v>
          </cell>
          <cell r="Q178" t="str">
            <v>Shane MacLeod (Science Department Head &amp; Physics Teacher), Dartmouth High School, Science Department, 95 Victoria Road Ext, Dartmouth, NS, B3A 1V2
Tel: 902-464-2457x4001211; Email: macleodg@hrce.ca
FOR: Ian Alford-Archibald (Biology Teacher); Tel: 902-471-5508; Email: ian.alford-archibald@gnspes.ca</v>
          </cell>
          <cell r="R178" t="str">
            <v>CA</v>
          </cell>
          <cell r="S178" t="str">
            <v>Dartmouth H.S.,  95 Victoria Rd., Dartmouth, NS  B3A 1V2; Email: dhs@hrce.ca</v>
          </cell>
          <cell r="T178" t="str">
            <v>Ship via Purolator Express
Email invoice to Shane MacLeod (macleodg@hrce.ca) at: dhs@hrce.ca</v>
          </cell>
          <cell r="U178">
            <v>107313</v>
          </cell>
        </row>
        <row r="179">
          <cell r="A179" t="str">
            <v>1026-002</v>
          </cell>
          <cell r="B179" t="str">
            <v>Shawna Kirkpatrick</v>
          </cell>
          <cell r="C179" t="str">
            <v>Shawna</v>
          </cell>
          <cell r="D179" t="str">
            <v>Lab Manager</v>
          </cell>
          <cell r="E179" t="str">
            <v>Nautilus Environmental Company Inc. - Guelph</v>
          </cell>
          <cell r="F179" t="str">
            <v>Nautilus Env - Guelph</v>
          </cell>
          <cell r="G179" t="str">
            <v>B-11 Nicholas Beaver Road</v>
          </cell>
          <cell r="H179" t="str">
            <v>-</v>
          </cell>
          <cell r="I179" t="str">
            <v>-</v>
          </cell>
          <cell r="J179" t="str">
            <v>Puslinch</v>
          </cell>
          <cell r="K179" t="str">
            <v>ON</v>
          </cell>
          <cell r="L179" t="str">
            <v>N0B 2J0</v>
          </cell>
          <cell r="M179" t="str">
            <v>Canada</v>
          </cell>
          <cell r="N179" t="str">
            <v>519-763-4412 x 304</v>
          </cell>
          <cell r="O179" t="str">
            <v>519-763-4419</v>
          </cell>
          <cell r="P179" t="str">
            <v>skirkpatrick@aquatox.ca</v>
          </cell>
          <cell r="Q179" t="str">
            <v>Shawna Kirkpatrick (Lab Manager), Nautilus Environmental Company Inc., B-11 Nicholas Beaver Road, Puslinch ON  N0B 2J0
Tel: 519-763-4412 x 304; Fax: 519-763-4419; Email: skirkpatrick@aquatox.ca(Lab Manager: Shawna Kirkpatrick, Email: skirkpatrick@aquatox.ca; Purchaser: Martina Rendas, Email: mrendas@aquatox.ca)
(Formerly AquaTox Testing &amp; Consulting Inc.)</v>
          </cell>
          <cell r="R179" t="str">
            <v>CC</v>
          </cell>
          <cell r="S179" t="str">
            <v>Nautilus Environmental - Guelph, B-11 Nicholas Beaver Road, Puslinch ON  N0B 2J0; Tel: 519-763-4412 x304, Fax: 519-763-4419;  Email: accounting@nautilusenvironmental.ca
AquaTox Testing &amp; Consulting Inc., B-11 Nicholas Beaver Road, Puslinch ON  N0B 2J0; Tel: 519-763-4412 x304, Fax: 519-763-4419; Email: tcarter@aquatox.ca</v>
          </cell>
          <cell r="T179" t="str">
            <v>email invoice to Accounts Payable at: accounting@nautilusenvironmental.ca
email invoice to Terry Carter at: tcarter@aquatox.ca with Attn: Shawna Kirkpatrick/Martina Rendas</v>
          </cell>
          <cell r="U179">
            <v>102886</v>
          </cell>
        </row>
        <row r="180">
          <cell r="A180" t="str">
            <v>1073-001</v>
          </cell>
          <cell r="B180" t="str">
            <v>Sheila Macfie</v>
          </cell>
          <cell r="C180" t="str">
            <v>Sheila</v>
          </cell>
          <cell r="D180" t="str">
            <v>Associate Professor - Biology</v>
          </cell>
          <cell r="E180" t="str">
            <v>Western University</v>
          </cell>
          <cell r="F180" t="str">
            <v>Western U (UWO)</v>
          </cell>
          <cell r="G180" t="str">
            <v>1151 Richmond Street</v>
          </cell>
          <cell r="H180" t="str">
            <v>Chem Bldg/Dock 11/Rm 003</v>
          </cell>
          <cell r="I180" t="str">
            <v>SciStores, CHB-CHEM</v>
          </cell>
          <cell r="J180" t="str">
            <v>London</v>
          </cell>
          <cell r="K180" t="str">
            <v>ON</v>
          </cell>
          <cell r="L180" t="str">
            <v>N6A 5B7</v>
          </cell>
          <cell r="M180" t="str">
            <v>Canada</v>
          </cell>
          <cell r="N180" t="str">
            <v>519-661-2111 x 86487</v>
          </cell>
          <cell r="O180" t="str">
            <v>519-661-3935</v>
          </cell>
          <cell r="P180" t="str">
            <v>smacfie@uwo.ca</v>
          </cell>
          <cell r="Q180" t="str">
            <v>Sheila Macfie (Associate Professor - Biology), Western University, Science Stores, Chemistry Building, Dock 11, Rm 003, ShipTo Address Code: CHB-CHEM, 1151 Richmond Street, London, ON  N6A 5B7
Tel: 519-661-2111 x 86487; Fax: 519-661-3935; Email: smacfie@uwo.ca
(Shipping Attn: Sheila Macfie (P.O. #: xxxxxx))
(Purchaser: Monica Chirigel (Tel: 519-661-2111 x 82168; Email: mklein8@uwo.ca) OR Yuhua Chen (Tel: 519-661-2168 x 82168; Email: ychen375@uwo.ca); Science Stores Email: chemstor@uwo.ca)</v>
          </cell>
          <cell r="R180" t="str">
            <v>CA</v>
          </cell>
          <cell r="S180" t="str">
            <v>University of Western Ontario, Financial Services, Suite 6100, Support Services Building, 1393 Western Rd, London ON  N6G 1G9; Tel: 519-661-2111; Email: apinvoice@uwo.ca (Attn: Accounts Payable or UWO ChemBio Stores Purchaser (name and email)</v>
          </cell>
          <cell r="T180" t="str">
            <v>PO invoice = email invoice to Accounts Payable at: apinvoice@uwo.ca  for Sheila Macfie (Biology)</v>
          </cell>
          <cell r="U180">
            <v>103838</v>
          </cell>
        </row>
        <row r="181">
          <cell r="A181" t="str">
            <v>N/A</v>
          </cell>
          <cell r="B181" t="str">
            <v>Simon Maturana</v>
          </cell>
          <cell r="C181" t="str">
            <v>Simon</v>
          </cell>
          <cell r="D181" t="str">
            <v>MSc student; Supervisor: Dr. Sheila Macfie</v>
          </cell>
          <cell r="E181" t="str">
            <v>Western University</v>
          </cell>
          <cell r="F181" t="str">
            <v>Western U (UWO)</v>
          </cell>
          <cell r="G181" t="str">
            <v>1151 Richmond Street</v>
          </cell>
          <cell r="H181" t="str">
            <v>Chem Bldg/Dock 11/Rm 003</v>
          </cell>
          <cell r="I181" t="str">
            <v>SciStores, CHB-CHEM</v>
          </cell>
          <cell r="J181" t="str">
            <v>London</v>
          </cell>
          <cell r="K181" t="str">
            <v>ON</v>
          </cell>
          <cell r="L181" t="str">
            <v>N6A 5B7</v>
          </cell>
          <cell r="M181" t="str">
            <v>Canada</v>
          </cell>
          <cell r="N181" t="str">
            <v>647-550-9863</v>
          </cell>
          <cell r="P181" t="str">
            <v>smatura@uwo.ca</v>
          </cell>
          <cell r="Q181" t="str">
            <v>Sheila Macfie (Associate Professor - Biology), Western University, Science Stores, Chemistry Building, Dock 11, Rm 003, ShipTo Address Code: CHB-CHEM, 1151 Richmond Street, London, ON  N6A 5B7
Tel: 519-661-2111 x 86487; Fax: 519-661-3935; Email: smacfie@uwo.ca
FOR: Simon Maturana; Tel: 647-550-9863; Email: smatura@uwo.ca
(Shipping Attn: Sheila Macfie (P.O. #: xxxxxx))
(Purchaser: Monica Chirigel (Tel: 519-661-2111 x 82168; Email: mklein8@uwo.ca) OR Yuhua Chen (Tel: 519-661-2168 x 82168; Email: ychen375@uwo.ca); Science Stores Email: chemstor@uwo.ca)</v>
          </cell>
          <cell r="R181" t="str">
            <v>CA</v>
          </cell>
          <cell r="S181" t="str">
            <v>University of Western Ontario, Financial Services, Suite 6100, Support Services Building, 1393 Western Rd, London ON  N6G 1G9; Tel: 519-661-2111; Email: apinvoice@uwo.ca (Attn: Accounts Payable or UWO ChemBio Stores Purchaser (name and email)</v>
          </cell>
          <cell r="T181" t="str">
            <v>PO invoice = email invoice to Accounts Payable at: apinvoice@uwo.ca for Sheila Macfie/Simon Maturana (Biology)</v>
          </cell>
          <cell r="U181">
            <v>103838</v>
          </cell>
        </row>
        <row r="182">
          <cell r="A182" t="str">
            <v>N/A</v>
          </cell>
          <cell r="B182" t="str">
            <v>Simona Duch</v>
          </cell>
          <cell r="C182" t="str">
            <v>Simona</v>
          </cell>
          <cell r="D182" t="str">
            <v>Senior Microbiologist</v>
          </cell>
          <cell r="E182" t="str">
            <v xml:space="preserve">Thor Specialties, Inc. </v>
          </cell>
          <cell r="F182" t="str">
            <v>Thor Specialities</v>
          </cell>
          <cell r="G182" t="str">
            <v>50 Waterview Drive</v>
          </cell>
          <cell r="H182" t="str">
            <v>-</v>
          </cell>
          <cell r="I182" t="str">
            <v>-</v>
          </cell>
          <cell r="J182" t="str">
            <v>Shelton</v>
          </cell>
          <cell r="K182" t="str">
            <v>CT</v>
          </cell>
          <cell r="L182" t="str">
            <v>06484</v>
          </cell>
          <cell r="M182" t="str">
            <v>USA</v>
          </cell>
          <cell r="P182" t="str">
            <v>sonia.ehieromosele@mail.utoronto.ca</v>
          </cell>
          <cell r="Q182" t="str">
            <v>Rebecca Hobbs (Group Leader – Microbiology Laboratory), Thor Specialties, Inc., 50 Waterview Drive, Shelton, CT 06484 USA
Tel: 203-516-6980 x 6124; Email: rhobbs@thorsp.com</v>
          </cell>
          <cell r="R182" t="str">
            <v>IC</v>
          </cell>
          <cell r="S182" t="str">
            <v>Thor Specialties, Inc., Accounts Payable, 50 Waterview Drive, Shelton, CT 06484 USA; Tel: 203-516-6980; Fax: 203-954-0005; Email: accountspayable@thorsp.com</v>
          </cell>
          <cell r="T182" t="str">
            <v>Remember to charge 13% HST for the workshop!
Email invoice to Accounts Payable at: accountspayable@thorsp.com</v>
          </cell>
          <cell r="U182">
            <v>111841</v>
          </cell>
        </row>
        <row r="183">
          <cell r="A183" t="str">
            <v>N/A</v>
          </cell>
          <cell r="B183" t="str">
            <v>Sonia Evans</v>
          </cell>
          <cell r="C183" t="str">
            <v>Sonia</v>
          </cell>
          <cell r="D183" t="str">
            <v>Supervisor: Michael Phillips</v>
          </cell>
          <cell r="E183" t="str">
            <v>University of Toronto Mississauga</v>
          </cell>
          <cell r="F183" t="str">
            <v>U of Toronto Mississauga</v>
          </cell>
          <cell r="G183" t="str">
            <v>3359 Mississauga Rd N</v>
          </cell>
          <cell r="H183" t="str">
            <v>Davis Bldg - Biology</v>
          </cell>
          <cell r="I183" t="str">
            <v>-</v>
          </cell>
          <cell r="J183" t="str">
            <v>Mississauga</v>
          </cell>
          <cell r="K183" t="str">
            <v>ON</v>
          </cell>
          <cell r="L183" t="str">
            <v>L5L 1C6</v>
          </cell>
          <cell r="M183" t="str">
            <v>Canada</v>
          </cell>
          <cell r="N183" t="str">
            <v>Cell: 403-616-0555</v>
          </cell>
          <cell r="O183" t="str">
            <v>Alternate Email:
stan.pankratz@gmail.com</v>
          </cell>
          <cell r="P183" t="str">
            <v>sonia.ehieromosele@mail.utoronto.ca</v>
          </cell>
          <cell r="Q183" t="str">
            <v>Michael Phillips, University of Toronto Mississauga, 3359 Mississauga Rd N, Davis Bldg - Biology, Mississauga, ON  L5L 1C6; Tel: 905-569-4848; Email: michaelandrew.phillips@utoronto.ca
FOR: Sonia Evans; Email: sonia.ehieromosele@mail.utoronto.ca</v>
          </cell>
          <cell r="R183" t="str">
            <v>CA</v>
          </cell>
          <cell r="S183" t="str">
            <v>University of Toronto Mississauga - Dept of Biology, William Davis Building, 3359 Mississauga Road, Mississauga, ON  L5L 1C6; Contact: Amy Yeung, Position: Administrative and Financial Assistant, E-mail: amy.yeung@utoronto.ca
E-mail: mihai.baetu@utoronto.ca; Contact: Mihai Baetu; Position: Manager, Finance and Operations</v>
          </cell>
          <cell r="T183" t="str">
            <v>may or may not use a PO#
email invoice to Amy Yeung at: amy.yeung@utoronto.ca
email invoice to Mihai Baetu at: mihai.baetu@utoronto.ca</v>
          </cell>
          <cell r="U183">
            <v>103831</v>
          </cell>
        </row>
        <row r="184">
          <cell r="A184" t="str">
            <v>1040-001</v>
          </cell>
          <cell r="B184" t="str">
            <v>Stan Pankratz</v>
          </cell>
          <cell r="C184" t="str">
            <v>Stan</v>
          </cell>
          <cell r="D184" t="str">
            <v>Supervisor: Monica Emelko</v>
          </cell>
          <cell r="E184" t="str">
            <v>Rainforest Algae Corp.</v>
          </cell>
          <cell r="F184" t="str">
            <v>Rainforest Algae Corp.</v>
          </cell>
          <cell r="G184" t="str">
            <v>203 31 Avenue NW</v>
          </cell>
          <cell r="H184" t="str">
            <v>-</v>
          </cell>
          <cell r="I184" t="str">
            <v>-</v>
          </cell>
          <cell r="J184" t="str">
            <v>Calgary</v>
          </cell>
          <cell r="K184" t="str">
            <v>AB</v>
          </cell>
          <cell r="L184" t="str">
            <v>T2M 2P3</v>
          </cell>
          <cell r="M184" t="str">
            <v>Canada</v>
          </cell>
          <cell r="N184" t="str">
            <v>Cell: 403-616-0555</v>
          </cell>
          <cell r="O184" t="str">
            <v>Alternate Email:
stan.pankratz@gmail.com</v>
          </cell>
          <cell r="P184" t="str">
            <v>stan.pankratz@rainforestalgae.ca</v>
          </cell>
          <cell r="Q184" t="str">
            <v>Stan Pankratz, Rainforest Algae Corp., 203 31 Avenue NW, Calgary, AB, T2M 2P3
Tel: Cell: 403-616-0555; Email: stan.pankratz@rainforestalgae.ca; Alternate Email: stan.pankratz@gmail.com
(Residential address but does not require NSR designation)</v>
          </cell>
          <cell r="R184" t="str">
            <v>CC</v>
          </cell>
          <cell r="S184" t="str">
            <v>Rainforest Algae Corp., 203 31 Avenue NW, Calgary, AB, T2M 2P3; Email: stan.pankratz@rainforestalgae.ca; Website: https://rainforestalgae.ca/ (Contact: Stan Pankratz, owner; Email: stan.pankratz@rainforestalgae.ca or stan.pankratz@gmail.com; Cell: 403-616-0555)</v>
          </cell>
          <cell r="T184" t="str">
            <v>residential address but does not require NSR designation
small start-up company so offer mid-way external pricing
email invoice to Stan Pankratz at: stan.pankratz@rainforestalgae.ca</v>
          </cell>
          <cell r="U184">
            <v>111483</v>
          </cell>
        </row>
        <row r="185">
          <cell r="A185" t="str">
            <v>N/A</v>
          </cell>
          <cell r="B185" t="str">
            <v>Taylor Lynn Virgin</v>
          </cell>
          <cell r="C185" t="str">
            <v>Taylor</v>
          </cell>
          <cell r="D185" t="str">
            <v>Supervisor: Monica Emelko</v>
          </cell>
          <cell r="E185" t="str">
            <v>University of Waterloo</v>
          </cell>
          <cell r="F185" t="str">
            <v>UWaterloo</v>
          </cell>
          <cell r="G185" t="str">
            <v>200 University Ave W</v>
          </cell>
          <cell r="H185" t="str">
            <v>Civil &amp; Env Eng, DWE 2407</v>
          </cell>
          <cell r="I185" t="str">
            <v>-</v>
          </cell>
          <cell r="J185" t="str">
            <v>Waterloo</v>
          </cell>
          <cell r="K185" t="str">
            <v>ON</v>
          </cell>
          <cell r="L185" t="str">
            <v>N2L 3G1</v>
          </cell>
          <cell r="M185" t="str">
            <v>Canada</v>
          </cell>
          <cell r="N185" t="str">
            <v>306-230-6757</v>
          </cell>
          <cell r="P185" t="str">
            <v>tlvirgin@uwaterloo.ca</v>
          </cell>
          <cell r="Q185" t="str">
            <v>Taylor Lynn Virgin (Supervisor: Monica Emelko), University of Waterloo, 200 University Avenue W, Department of Civil and Environmental Engineering, DWE 2407, Waterloo, ON  N2L 3G1
Email: tlvirgin@uwaterloo.ca</v>
          </cell>
          <cell r="R185" t="str">
            <v>CA</v>
          </cell>
          <cell r="S185" t="str">
            <v>internal debit memo</v>
          </cell>
          <cell r="T185" t="str">
            <v>internal debit memo given to Monica Emelko on mmm dd/yy; they returned it on mmm dd/yy; given to Lucy Satora on mmm dd/yy; credited to our account in mmm yyyy</v>
          </cell>
          <cell r="U185" t="str">
            <v>N/A</v>
          </cell>
        </row>
        <row r="186">
          <cell r="A186" t="str">
            <v>1075-001</v>
          </cell>
          <cell r="B186" t="str">
            <v>Timothy (Tim) Tse</v>
          </cell>
          <cell r="C186" t="str">
            <v>Tim</v>
          </cell>
          <cell r="D186" t="str">
            <v>Bioanalytics Supervisor</v>
          </cell>
          <cell r="E186" t="str">
            <v>Saskatchewan Research Council (SRC)</v>
          </cell>
          <cell r="F186" t="str">
            <v>SRC</v>
          </cell>
          <cell r="G186" t="str">
            <v>143-111 Research Drive</v>
          </cell>
          <cell r="H186" t="str">
            <v>Environ. Analytical Labs</v>
          </cell>
          <cell r="I186" t="str">
            <v>-</v>
          </cell>
          <cell r="J186" t="str">
            <v>Saskatoon</v>
          </cell>
          <cell r="K186" t="str">
            <v>SK</v>
          </cell>
          <cell r="L186" t="str">
            <v>S7N 3R2</v>
          </cell>
          <cell r="M186" t="str">
            <v>Canada</v>
          </cell>
          <cell r="N186" t="str">
            <v>306-230-6757</v>
          </cell>
          <cell r="P186" t="str">
            <v>Timothy.Tse@src.sk.ca</v>
          </cell>
          <cell r="Q186" t="str">
            <v>Timothy Tse, Saskatchewan Research Council (SRC), Environmental Analytical Laboratories, 143-111 Research Drive, Saskatoon, SK S7N 3R2
Tel: 306-230-6757; Email: Timothy.Tse@src.sk.ca</v>
          </cell>
          <cell r="R186" t="str">
            <v>CG</v>
          </cell>
          <cell r="S186" t="str">
            <v>Saskatchewan Research Council, 820 51st Street East, Bay 2D, Saskatoon, SK S7K 0X8; Email: accountspayable@src.sk.ca
Saskatchewan Research Council (SRC), 125-15 Innovation Blvd., Saskatoon, SK  S7N 2X8; Email: accountspayable@src.sk.ca</v>
          </cell>
          <cell r="T186" t="str">
            <v>provide taxonomic certificates
used to ship collect via FedEx account #131473486 (charge a $5 Handling fee) but have been shipping prepaid via Purolator lately ($xx)...good!
may or may not need to obtain a PO# (if paying by credit card, use "Timothy Tse - CC")
email invoice to accountspayable@src.sk.ca with request to forward it to Timothy Tse (Timothy.Tse@src.sk.ca) for credit card payment</v>
          </cell>
          <cell r="U186">
            <v>106158</v>
          </cell>
        </row>
        <row r="187">
          <cell r="A187" t="str">
            <v>N/A</v>
          </cell>
          <cell r="B187" t="str">
            <v>Trinity Fraser Sintic</v>
          </cell>
          <cell r="C187" t="str">
            <v>Trinity</v>
          </cell>
          <cell r="D187" t="str">
            <v>Supervisor: Ryan Prosser</v>
          </cell>
          <cell r="E187" t="str">
            <v>University of Guelph</v>
          </cell>
          <cell r="F187" t="str">
            <v>U of Guelph</v>
          </cell>
          <cell r="G187" t="str">
            <v>50 Stone Rd E</v>
          </cell>
          <cell r="H187" t="str">
            <v>SES - Bovey Building</v>
          </cell>
          <cell r="I187" t="str">
            <v>-</v>
          </cell>
          <cell r="J187" t="str">
            <v>Guelph</v>
          </cell>
          <cell r="K187" t="str">
            <v>ON</v>
          </cell>
          <cell r="L187" t="str">
            <v>N1G 2W1</v>
          </cell>
          <cell r="M187" t="str">
            <v>Canada</v>
          </cell>
          <cell r="N187" t="str">
            <v>807-343-8010 x8179</v>
          </cell>
          <cell r="P187" t="str">
            <v>tfrasers@uoguelph.ca</v>
          </cell>
          <cell r="Q187" t="str">
            <v>Ryan Prosser (Associate Professor - Ecotoxicology), University of Guelph, School of Environmental Sciences, Bovey Building, 50 Stone Road East, Guelph ON  N1G 2W1 
Tel: 519-824-4120 x52190; Email: prosserr@uoguelph.ca
FOR: Trinity Fraser Sintic (Supervisor: Ryan Prosser); Email: tfrasers@uoguelph.ca</v>
          </cell>
          <cell r="R187" t="str">
            <v>CA</v>
          </cell>
          <cell r="S187" t="str">
            <v>Accounts Payable, University of Guelph, 50 Stone Road E, Guelph ON N1G 2W1; Email: acctspay@uoguelph.ca (Purchaser: Izabella Onik; Tel: 519-824-4120 x52712; Email: sesclerk@uoguelph.ca; School of Environmental Sciences)</v>
          </cell>
          <cell r="T187" t="str">
            <v>email invoice to Accounts Payable at: acctspay@uoguelph.ca and reference the purchaser, department, and PO #</v>
          </cell>
          <cell r="U187">
            <v>103794</v>
          </cell>
        </row>
        <row r="188">
          <cell r="A188" t="str">
            <v>1053-001</v>
          </cell>
          <cell r="B188" t="str">
            <v>Tyson Bouchard</v>
          </cell>
          <cell r="C188" t="str">
            <v>Tyson</v>
          </cell>
          <cell r="D188" t="str">
            <v>Toxicologist/Manager</v>
          </cell>
          <cell r="E188" t="str">
            <v>Lakehead University</v>
          </cell>
          <cell r="F188" t="str">
            <v>Lakehead U</v>
          </cell>
          <cell r="G188" t="str">
            <v>955 Oliver Road</v>
          </cell>
          <cell r="H188" t="str">
            <v>ATRC (CB0020)</v>
          </cell>
          <cell r="I188" t="str">
            <v>-</v>
          </cell>
          <cell r="J188" t="str">
            <v>Thunder Bay</v>
          </cell>
          <cell r="K188" t="str">
            <v>ON</v>
          </cell>
          <cell r="L188" t="str">
            <v>P7B 5E1</v>
          </cell>
          <cell r="M188" t="str">
            <v>Canada</v>
          </cell>
          <cell r="N188" t="str">
            <v>807-343-8010 x8179</v>
          </cell>
          <cell r="P188" t="str">
            <v>tbouchar@lakeheadu.ca</v>
          </cell>
          <cell r="Q188" t="str">
            <v>Tyson Bouchard (Toxicologist/Manager), Lakehead University, Aquatic Toxicity Research Centre (ATRC), Centennial Building (CB 0020), 955 Oliver Road, Thunder Bay, ON P7B 5E1
Tel: 807-343-8010 x8179; Email: tbouchar@lakeheadu.ca</v>
          </cell>
          <cell r="R188" t="str">
            <v>CA</v>
          </cell>
          <cell r="S188" t="str">
            <v>Lakehead University, Accounts Payable, UC0002, 955 Oliver Road, Thunder Bay ON  P7B 5E1; Email: acctspayable@lakeheadu.ca</v>
          </cell>
          <cell r="T188" t="str">
            <v>email invoice to Attn: Tyson Bouchard (Aquatic Toxicity Research Centre) at: acctspayable@lakeheadu.ca</v>
          </cell>
          <cell r="U188">
            <v>103348</v>
          </cell>
        </row>
        <row r="189">
          <cell r="A189" t="str">
            <v>1037-008</v>
          </cell>
          <cell r="B189" t="str">
            <v>Valerie Ward</v>
          </cell>
          <cell r="C189" t="str">
            <v>Valerie</v>
          </cell>
          <cell r="D189" t="str">
            <v>Associate Professor</v>
          </cell>
          <cell r="E189" t="str">
            <v>University of Waterloo</v>
          </cell>
          <cell r="F189" t="str">
            <v>UWaterloo</v>
          </cell>
          <cell r="G189" t="str">
            <v>200 University Ave W</v>
          </cell>
          <cell r="H189" t="str">
            <v>Chem Eng, E6 4016</v>
          </cell>
          <cell r="I189" t="str">
            <v>-</v>
          </cell>
          <cell r="J189" t="str">
            <v>Waterloo</v>
          </cell>
          <cell r="K189" t="str">
            <v>ON</v>
          </cell>
          <cell r="L189" t="str">
            <v>N2L 3G1</v>
          </cell>
          <cell r="M189" t="str">
            <v>Canada</v>
          </cell>
          <cell r="N189" t="str">
            <v>519-888-4567 x38625</v>
          </cell>
          <cell r="P189" t="str">
            <v>vward@uwaterloo.ca</v>
          </cell>
          <cell r="Q189" t="str">
            <v>Valerie Ward (Associate Professor), University of Waterloo, Chemical Engineering (cross-appointed with Biology), E6 4016, 200 University Ave W, Waterloo, ON N2L 3G1
Tel: 519-888-4567 x38625; Email: vward@uwaterloo.ca</v>
          </cell>
          <cell r="R189" t="str">
            <v>CA</v>
          </cell>
          <cell r="S189" t="str">
            <v>internal debit memo</v>
          </cell>
          <cell r="T189" t="str">
            <v>Cross-appointed with Biology = UWaterloo Faculty of Science pricing
Internal debit memo given to client on mmm dd/yy; they returned it on mmm dd/yy; given to Lucy Satora on mmm dd/yy; credited to our account in mmm yyyy</v>
          </cell>
          <cell r="U189" t="str">
            <v>N/A</v>
          </cell>
        </row>
        <row r="190">
          <cell r="A190" t="str">
            <v>1076-001</v>
          </cell>
          <cell r="B190" t="str">
            <v>Vaughn Mangal</v>
          </cell>
          <cell r="C190" t="str">
            <v>Vaughn</v>
          </cell>
          <cell r="D190" t="str">
            <v>Assistant Professor</v>
          </cell>
          <cell r="E190" t="str">
            <v>Brock University</v>
          </cell>
          <cell r="F190" t="str">
            <v>Brock U</v>
          </cell>
          <cell r="G190" t="str">
            <v>1812 Sir Isaac Brock Way</v>
          </cell>
          <cell r="H190" t="str">
            <v>Chemistry</v>
          </cell>
          <cell r="I190" t="str">
            <v>-</v>
          </cell>
          <cell r="J190" t="str">
            <v>St. Catharines</v>
          </cell>
          <cell r="K190" t="str">
            <v>ON</v>
          </cell>
          <cell r="L190" t="str">
            <v>L2S 3A1</v>
          </cell>
          <cell r="M190" t="str">
            <v>Canada</v>
          </cell>
          <cell r="N190" t="str">
            <v>905-688-5550 x6136
Cell: 705-977-5444</v>
          </cell>
          <cell r="P190" t="str">
            <v>vmangal@brocku.ca</v>
          </cell>
          <cell r="Q190" t="str">
            <v>Vaughn Mangal, Brock University, 1812 Sir Isaac Brock Way, Chemistry, St. Catharines, ON  L2S 3A1
Tel: 905-688-5550 x6136, Cell: 705-977-5444; Email: vmangal@brocku.ca</v>
          </cell>
          <cell r="R190" t="str">
            <v>CA</v>
          </cell>
          <cell r="S190" t="str">
            <v>Brock University, Attn:  Accounts Payable, 1812 Sir Isaac Brock Way, St. Catharines, ON  L2S 3A1; Email: brockap@brocku.ca</v>
          </cell>
          <cell r="T190" t="str">
            <v>email invoice to Accounts Payable at: brockap@brocku.ca (accepts non-PO invoices)
may need to note: Workday Name, Hierarchy, Fund, Cost Centre</v>
          </cell>
          <cell r="U190">
            <v>102941</v>
          </cell>
        </row>
        <row r="191">
          <cell r="A191" t="str">
            <v>1042-002</v>
          </cell>
          <cell r="B191" t="str">
            <v>Vichaya Charoensuk</v>
          </cell>
          <cell r="C191" t="str">
            <v>Vichaya</v>
          </cell>
          <cell r="D191" t="str">
            <v>Bioassay Lab Manager</v>
          </cell>
          <cell r="E191" t="str">
            <v>University of Calgary</v>
          </cell>
          <cell r="F191" t="str">
            <v>U of Calgary</v>
          </cell>
          <cell r="G191" t="str">
            <v>2500 University Drive NW</v>
          </cell>
          <cell r="H191" t="str">
            <v>c/o Shipping &amp; Receiving</v>
          </cell>
          <cell r="I191" t="str">
            <v>HM-B19, HMRB, ACFT</v>
          </cell>
          <cell r="J191" t="str">
            <v>Calgary</v>
          </cell>
          <cell r="K191" t="str">
            <v>AB</v>
          </cell>
          <cell r="L191" t="str">
            <v>T2N 1N4</v>
          </cell>
          <cell r="M191" t="str">
            <v>Canada</v>
          </cell>
          <cell r="N191" t="str">
            <v>403-220-3043</v>
          </cell>
          <cell r="O191" t="str">
            <v>519-763-4419</v>
          </cell>
          <cell r="P191" t="str">
            <v>vcharoen@ucalgary.ca</v>
          </cell>
          <cell r="Q191" t="str">
            <v>Vichaya Charoensuk (Bioassay Lab Manager), University of Calgary, Alberta Centre for Toxicology (ACFT), Heritage Medical Research Building (HMRB), HM-B19, 2500 University Drive NW, c/o Shipping &amp; Receiving, Calgary, AB  T2N 1N4
Tel: 403-220-3043; Email: vcharoen@ucalgary.ca
FOR: Birget Moe (PhD, Research Associate); Tel: 780-983-8730; Email: bkmoe@ucalgary.ca
Purchase Order requested by Patricia Parmentier (Administrative Assistant); Tel: 403-220-5511; Cell: 403-617-6362; Fax: 403-270-2964; Email: pparment@ucalgary.ca
Purchaser: Trevor Emmel (Email: tcemmel@ucalgary.ca) &amp; Patricia Parmentier (Email: pparment@ucalgary.ca)</v>
          </cell>
          <cell r="R191" t="str">
            <v>CA</v>
          </cell>
          <cell r="S191" t="str">
            <v>University of Calgary, Accounts Payable, 2500 University Drive NW, Calgary AB T2N 1N4; Email: invoices@ucalgary.ca</v>
          </cell>
          <cell r="T191" t="str">
            <v>Ship via Purolator Express
Email invoice to Accounts Payable at: invoices@ucalgary.ca
Purchaser: Trevor Emmel (tcemmel@ucalgary.ca) &amp; Patricia Parmentier (pparment@ucalgary.ca). Note: also let purchasers know when invoice issued.</v>
          </cell>
          <cell r="U191">
            <v>103791</v>
          </cell>
        </row>
        <row r="192">
          <cell r="A192" t="str">
            <v>1026-003</v>
          </cell>
          <cell r="B192" t="str">
            <v>Victoria (Tori) Carleton</v>
          </cell>
          <cell r="C192" t="str">
            <v>Tori</v>
          </cell>
          <cell r="D192" t="str">
            <v>Project Manager/GLP Coordinator</v>
          </cell>
          <cell r="E192" t="str">
            <v>Nautilus Environmental Company Inc. - Guelph</v>
          </cell>
          <cell r="F192" t="str">
            <v>Nautilus Env - Guelph</v>
          </cell>
          <cell r="G192" t="str">
            <v>B-11 Nicholas Beaver Road</v>
          </cell>
          <cell r="H192" t="str">
            <v>-</v>
          </cell>
          <cell r="I192" t="str">
            <v>-</v>
          </cell>
          <cell r="J192" t="str">
            <v>Puslinch</v>
          </cell>
          <cell r="K192" t="str">
            <v>ON</v>
          </cell>
          <cell r="L192" t="str">
            <v>N0B 2J0</v>
          </cell>
          <cell r="M192" t="str">
            <v>Canada</v>
          </cell>
          <cell r="N192" t="str">
            <v>519-763-4412</v>
          </cell>
          <cell r="O192" t="str">
            <v>519-763-4419</v>
          </cell>
          <cell r="P192" t="str">
            <v>vcarleton@nautilusenvironmental.ca</v>
          </cell>
          <cell r="Q192" t="str">
            <v>Victoria Carleton (Project Manager/GLP Coordinator), Nautilus Environmental Company Inc., B-11 Nicholas Beaver Road, Puslinch ON  N0B 2J0
Tel: 519-763-4412; Fax: 519-763-4419; Email: vcarleton@nautilusenvironmental.ca (was vcarleton@aquatox.ca)
ALSO FOR: Adam Wartman (Project Manager); Tel: 519-763-4412; Cell: 519-716-4019; Fax: 519-763-4419; Email: awartman@nautilusenvironmental.ca
(Lab Manager: Shawna Kirkpatrick, Email: skirkpatrick@aquatox.ca; Purchaser: Martina Rendas, Email: mrendas@aquatox.ca)
(Formerly AquaTox Testing &amp; Consulting Inc.)</v>
          </cell>
          <cell r="R192" t="str">
            <v>CC</v>
          </cell>
          <cell r="S192" t="str">
            <v>Nautilus Environmental - Guelph, B-11 Nicholas Beaver Road, Puslinch ON  N0B 2J0; Tel: 519-763-4412 x304, Fax: 519-763-4419;  Email: accounting@nautilusenvironmental.ca</v>
          </cell>
          <cell r="T192" t="str">
            <v>Provide taxonomic certificates; picked up at UWaterloo or shipped via Purolator
Email invoice to Accounts Payable at: abaccounts@nautilusenvironmental.ca
Attn: Victoria Carleton (vcarleton@nautilusenvironmental.ca) &amp; Adam Wartman (awartman@nautilusenvironmental.ca)
External reference "Non-PO invoice: Victoria Carleton &amp; Adam Wartman - Guelph"
Attn: Victoria Carleton (vcarleton@aquatox.ca) &amp; Adam Wartman (awartman@aquatox.ca)</v>
          </cell>
          <cell r="U192">
            <v>102886</v>
          </cell>
        </row>
        <row r="193">
          <cell r="A193" t="str">
            <v>1001-002</v>
          </cell>
          <cell r="B193" t="str">
            <v>Virginie Berube</v>
          </cell>
          <cell r="C193" t="str">
            <v>Virginie</v>
          </cell>
          <cell r="D193" t="str">
            <v>Director of the Ecotoxicology Laboratory</v>
          </cell>
          <cell r="E193" t="str">
            <v>Agat Laboratories</v>
          </cell>
          <cell r="F193" t="str">
            <v>Agat Labs</v>
          </cell>
          <cell r="G193" t="str">
            <v>9770 Route Transcanadienne</v>
          </cell>
          <cell r="H193" t="str">
            <v>MTL-9770</v>
          </cell>
          <cell r="I193" t="str">
            <v>Ecotoxicologie</v>
          </cell>
          <cell r="J193" t="str">
            <v>Saint-Laurent</v>
          </cell>
          <cell r="K193" t="str">
            <v>QC</v>
          </cell>
          <cell r="L193" t="str">
            <v>H4S 1V9</v>
          </cell>
          <cell r="M193" t="str">
            <v>Canada</v>
          </cell>
          <cell r="N193" t="str">
            <v>514-337-1000</v>
          </cell>
          <cell r="P193" t="str">
            <v>LeBlanc-Houde@agatlabs.com</v>
          </cell>
          <cell r="Q193" t="str">
            <v>Virginie Berube, Agat Laboratories, Montreal-9770, Ecotoxicologie, 9770 Route Transcanadienne, Ville Saint-Laurent, QC H4S 1V9
Tel: 514-337-1000; Email: LeBlanc-Houde@agatlabs.com</v>
          </cell>
          <cell r="R193" t="str">
            <v>CC</v>
          </cell>
          <cell r="S193" t="str">
            <v>Accounts Payable, Agat Laboratories, 2905 - 12th Street NE, Calgary AB  T2E 7J2; Tel: 403-736-2000, Fax: 403-736-2001, Email: payables@agatlabs.com, Website: http://www.agatlabs.com/</v>
          </cell>
          <cell r="T193" t="str">
            <v>email invoice to Accounts Payable at: payables@agatlabs.com</v>
          </cell>
          <cell r="U193">
            <v>102856</v>
          </cell>
        </row>
        <row r="194">
          <cell r="A194" t="str">
            <v>N/A</v>
          </cell>
          <cell r="B194" t="str">
            <v>Viviana Astudillo-Clavijo</v>
          </cell>
          <cell r="C194" t="str">
            <v>Viviana</v>
          </cell>
          <cell r="D194" t="str">
            <v>Lab Technician, Teaching Labs (Supervisor: Rowan Sage)</v>
          </cell>
          <cell r="E194" t="str">
            <v>University of Toronto</v>
          </cell>
          <cell r="F194" t="str">
            <v>U of Toronto</v>
          </cell>
          <cell r="G194" t="str">
            <v>25 Harbord Street</v>
          </cell>
          <cell r="H194" t="str">
            <v>RW 401 reception</v>
          </cell>
          <cell r="I194" t="str">
            <v>Eco &amp; Evol Bio (EEB)</v>
          </cell>
          <cell r="J194" t="str">
            <v>Toronto</v>
          </cell>
          <cell r="K194" t="str">
            <v>ON</v>
          </cell>
          <cell r="L194" t="str">
            <v>M5S 3G5</v>
          </cell>
          <cell r="M194" t="str">
            <v>Canada</v>
          </cell>
          <cell r="N194" t="str">
            <v>519-824-4120 x53652</v>
          </cell>
          <cell r="P194" t="str">
            <v>viviana.astudillo@utoronto.ca</v>
          </cell>
          <cell r="Q194" t="str">
            <v>Rowan Sage/Viviana Astudillo-Clavijo, University of Toronto, 25 Harbord Street, Department of Ecology &amp; Evolutionary Biology (EEB), Ramsay Wright Building?, RW137?, Toronto ON M5S 3G5
Tel: 416-978-7660; Email: r.sage@utoronto.ca
SHIP TO CSB reception at: University of Toronto, 25 Harbord Street, Room 401, Department of Ecology &amp; Evolutionary Biology (EEB), Toronto, ON  M5S 3G5
OR EEB reception at: University of Toronto, Earth Science Centre, EEB Reception, ESC3055, 25 Willcocks Street, Toronto ON M5S 3B2</v>
          </cell>
          <cell r="R194" t="str">
            <v>CA</v>
          </cell>
          <cell r="S194" t="str">
            <v>Robbie Brar, University of Toronto - Dept of Ecology and Evolutionary Biology, 25 Willcocks Street, Toronto ON M5S 3B2; Tel: 416-978-3248, Fax: 416-978-5878, Email: robbie.brar@utoronto.ca</v>
          </cell>
          <cell r="T194" t="str">
            <v>Pick up or ship via Purolator/FedEx!
Reference Rowan Sage and "EEB268 plant diversity course" on invoice
Email invoice to Robbie Brar/Viviana Astudillo-Clavijo at: eeb.reception@utoronto.ca</v>
          </cell>
          <cell r="U194">
            <v>103819</v>
          </cell>
        </row>
        <row r="195">
          <cell r="A195" t="str">
            <v>1033-003</v>
          </cell>
          <cell r="B195" t="str">
            <v>Wendy Pearson</v>
          </cell>
          <cell r="C195" t="str">
            <v>Wendy</v>
          </cell>
          <cell r="D195" t="str">
            <v>Associate Professor</v>
          </cell>
          <cell r="E195" t="str">
            <v>University of Guelph</v>
          </cell>
          <cell r="F195" t="str">
            <v>U of Guelph</v>
          </cell>
          <cell r="G195" t="str">
            <v>50 Stone Rd E</v>
          </cell>
          <cell r="H195" t="str">
            <v>Dept of Animal Biosciences</v>
          </cell>
          <cell r="I195" t="str">
            <v>-</v>
          </cell>
          <cell r="J195" t="str">
            <v>Guelph</v>
          </cell>
          <cell r="K195" t="str">
            <v>ON</v>
          </cell>
          <cell r="L195" t="str">
            <v>N1G 2W1</v>
          </cell>
          <cell r="M195" t="str">
            <v>Canada</v>
          </cell>
          <cell r="N195" t="str">
            <v>519-824-4120 x53652</v>
          </cell>
          <cell r="P195" t="str">
            <v>wpearson@uoguelph.ca</v>
          </cell>
          <cell r="Q195" t="str">
            <v>Wendy Pearson (Associate Professor), University of Guelph, Department of Animal Biosciences, 50 Stone Road East, Guelph, ON  N1G 2W1
Tel: 519-824-4120 x53652; Email: wpearson@uoguelph.ca</v>
          </cell>
          <cell r="R195" t="str">
            <v>CA</v>
          </cell>
          <cell r="S195" t="str">
            <v>Accounts Payable, University of Guelph, 50 Stone Road E, Guelph ON N1G 2W1; Email: acctspay@uoguelph.ca (Purchaser?)
OR
Selected BioProducts Inc., 127 Seventh Concession, Harley, ON, N0E 1E0; Tel: 519-837-7898; Email: ralph@horseherbs.com (Note: Although Wendy's student Nadia is a PhD student at U of Guelph, her workshop training was being paid by Ralph Robinson, owner of Selected Bioproducts Inc./Herbs for Horses; Website: https://www.horseherbs.com/.)</v>
          </cell>
          <cell r="T195" t="str">
            <v>email invoice to Accounts Payable at: acctspay@uoguelph.ca and reference the purchaser, department, and PO #
OR
small company w/o funding and student is at U of Guelph so offered mid-way price between CA and external midway
email invoice to Ralph Robinson at: ralph@horseherbs.com
remember to charge 13% HST for the workshop!</v>
          </cell>
          <cell r="U195" t="str">
            <v>103794
OR
110688</v>
          </cell>
        </row>
        <row r="196">
          <cell r="A196" t="str">
            <v>1079-001</v>
          </cell>
          <cell r="B196" t="str">
            <v>Xavier Ortiz Almirall</v>
          </cell>
          <cell r="C196" t="str">
            <v>Xavier</v>
          </cell>
          <cell r="D196" t="str">
            <v>Assistant Professor</v>
          </cell>
          <cell r="E196" t="str">
            <v>IQS School of Engineering</v>
          </cell>
          <cell r="F196" t="str">
            <v>IQS School of Engineering</v>
          </cell>
          <cell r="G196" t="str">
            <v>Via Augusta 390</v>
          </cell>
          <cell r="H196" t="str">
            <v>Chemistry</v>
          </cell>
          <cell r="I196" t="str">
            <v>-</v>
          </cell>
          <cell r="J196" t="str">
            <v>Barcelona</v>
          </cell>
          <cell r="K196" t="str">
            <v>B</v>
          </cell>
          <cell r="L196" t="str">
            <v>08017</v>
          </cell>
          <cell r="M196" t="str">
            <v>Spain</v>
          </cell>
          <cell r="N196" t="str">
            <v>+34 638834744</v>
          </cell>
          <cell r="P196" t="str">
            <v>xavier.ortiz@iqs.url.edu</v>
          </cell>
          <cell r="Q196" t="str">
            <v>Xavier Ortiz Almirall, IQS School of Engineering, Xavier Ortiz Almirall, IQS School of Engineering, Analytical and Applied Chemistry Department, Via Augusta 390, Barcelona, Barcelona ("B" as per https://kb.bullseyelocations.com/article/81-spain-province-codes), 08017, Spain (ES)
Tel: +34 638834744; Email: xavier.ortiz@iqs.url.edu</v>
          </cell>
          <cell r="R196" t="str">
            <v>IA</v>
          </cell>
          <cell r="S196" t="str">
            <v>IQS – CETS Fundació Privada, Via Augusta 390, Barcelona, 08017, Spain; VAT: ES-G58022849 (include VAT# as external reference on the invoice); E-mail: administracio@iqs.edu</v>
          </cell>
          <cell r="T196" t="str">
            <v>use UW FedEx account ($xx + $xx = $xx) + round up to nearest $5 increment + $25 Handling
Spanish Customs requires a Sanitary Certificate and can take an extra week to clear the shipment...that may be the additional FedEx charge!
email invoice to Xavier Ortiz Almirall (xavier.ortiz@iqs.url.edu) at: administracio@iqs.edu
VAT: ES-G58022849 (include VAT# as external reference on the invoice)
(Note for W-2128 Mar 23: Spanish Customs took an extra week to clear the shipment. Despite this, CPCC 300 arrived in surprisingly good condition.)</v>
          </cell>
          <cell r="U196">
            <v>110719</v>
          </cell>
        </row>
        <row r="197">
          <cell r="A197" t="str">
            <v>1046-001</v>
          </cell>
          <cell r="B197" t="str">
            <v>Xuexiu Chang</v>
          </cell>
          <cell r="C197" t="str">
            <v>Xuexiu</v>
          </cell>
          <cell r="D197" t="str">
            <v>Visiting Scholar and Professor</v>
          </cell>
          <cell r="E197" t="str">
            <v>University of Windsor - Great Lakes Institute for Environmental Research (GLIER)</v>
          </cell>
          <cell r="F197" t="str">
            <v>U of Windsor - GLIER</v>
          </cell>
          <cell r="G197" t="str">
            <v>2601 Union Street</v>
          </cell>
          <cell r="H197" t="str">
            <v>c/o Shipping &amp; Receiving</v>
          </cell>
          <cell r="I197" t="str">
            <v>for GLIER Rm 131</v>
          </cell>
          <cell r="J197" t="str">
            <v xml:space="preserve"> Windsor</v>
          </cell>
          <cell r="K197" t="str">
            <v>ON</v>
          </cell>
          <cell r="L197" t="str">
            <v>N9B 3P4</v>
          </cell>
          <cell r="M197" t="str">
            <v>Canada</v>
          </cell>
          <cell r="N197" t="str">
            <v>519-253-3000 x4843</v>
          </cell>
          <cell r="P197" t="str">
            <v>xuexiu.chang@uwindsor.ca</v>
          </cell>
          <cell r="Q197" t="str">
            <v>Xuexiu Chang, University of Windsor, Great Lakes Institute for Environmental Research (GLIER), Room 131, c/o Shipping and Receiving, 2601 Union Street, Windsor, ON  N9B 3P4
Tel: 519-253-3000 x4843; Email: xuexiu.chang@uwindsor.ca</v>
          </cell>
          <cell r="R197" t="str">
            <v>CA</v>
          </cell>
          <cell r="S197" t="str">
            <v>University of Windsor, Accounts Payable, 401 Sunset Ave, Windsor, ON  N9B 3P4; Email: apinvoices@uwindsor.ca</v>
          </cell>
          <cell r="T197" t="str">
            <v>uses a PO #
email invoice to Accounts Payable at: apinvoices@uwindsor.ca</v>
          </cell>
          <cell r="U197">
            <v>103839</v>
          </cell>
        </row>
        <row r="198">
          <cell r="A198" t="str">
            <v>1033-005</v>
          </cell>
          <cell r="B198" t="str">
            <v>Yang Xu</v>
          </cell>
          <cell r="C198" t="str">
            <v>Yang</v>
          </cell>
          <cell r="D198" t="str">
            <v>Assistant Professor (she/her)</v>
          </cell>
          <cell r="E198" t="str">
            <v>University of Guelph</v>
          </cell>
          <cell r="F198" t="str">
            <v>U of Guelph</v>
          </cell>
          <cell r="G198" t="str">
            <v>50 Stone Rd E</v>
          </cell>
          <cell r="H198" t="str">
            <v>Molecular &amp; Cellular Bio</v>
          </cell>
          <cell r="I198" t="str">
            <v>-</v>
          </cell>
          <cell r="J198" t="str">
            <v>Guelph</v>
          </cell>
          <cell r="K198" t="str">
            <v>ON</v>
          </cell>
          <cell r="L198" t="str">
            <v>N1G 2W1</v>
          </cell>
          <cell r="M198" t="str">
            <v>Canada</v>
          </cell>
          <cell r="N198" t="str">
            <v>office: 519-824-4120 x 54788
cell: 519-760-1068</v>
          </cell>
          <cell r="P198" t="str">
            <v>yangxu@uoguelph.ca</v>
          </cell>
          <cell r="Q198" t="str">
            <v>Yang Xu, University of Guelph, Molecular &amp; Cellular Biology, Summerlee Science Complex (Room 4453 or 4401), 50 Stone Road East (or 488 Gordon Street), Guelph ON  N1G 2W1
Tel: Office: 519-824-4120 x 54788, Cell: 519-760-1068; Email: yangxu@uoguelph.ca
(Purchaser: Agnes Bajkai, Susan Casey, or Karimat Gbolagade)</v>
          </cell>
          <cell r="R198" t="str">
            <v>CA</v>
          </cell>
          <cell r="S198" t="str">
            <v>Accounts Payable, University of Guelph, 50 Stone Road E, Guelph ON N1G 2W1; Email: acctspay@uoguelph.ca (Purchasers: Agnes Bajkai, Susan Casey, or Karimat Gbolagade; Department: Molecular &amp; Cellular Biology)</v>
          </cell>
          <cell r="T198" t="str">
            <v>email invoice to Accounts Payable at: acctspay@uoguelph.ca and reference the purchaser, department, and PO #</v>
          </cell>
          <cell r="U198">
            <v>103794</v>
          </cell>
        </row>
        <row r="200">
          <cell r="B200" t="str">
            <v>FORMER CUSTOMERS</v>
          </cell>
        </row>
        <row r="201">
          <cell r="A201" t="str">
            <v>1015-002</v>
          </cell>
          <cell r="B201" t="str">
            <v>FORMER CUSTOMERS</v>
          </cell>
          <cell r="C201" t="str">
            <v>Megan</v>
          </cell>
          <cell r="D201" t="str">
            <v>(Last name was McPherson for awhile)</v>
          </cell>
          <cell r="E201" t="str">
            <v>Environment and Climate Change Canada (ECCC) - Atlantic Laboratory for Environmental Testing (ALET)</v>
          </cell>
          <cell r="F201" t="str">
            <v>ECCC - ALET</v>
          </cell>
          <cell r="G201" t="str">
            <v>443 Universite Ave.</v>
          </cell>
          <cell r="H201" t="str">
            <v>AESC Tox Lab</v>
          </cell>
          <cell r="I201" t="str">
            <v>-</v>
          </cell>
          <cell r="J201" t="str">
            <v>Moncton</v>
          </cell>
          <cell r="K201" t="str">
            <v>NB</v>
          </cell>
          <cell r="L201" t="str">
            <v>E1A 3E9</v>
          </cell>
          <cell r="M201" t="str">
            <v>Canada</v>
          </cell>
          <cell r="N201" t="str">
            <v>506-851-4396</v>
          </cell>
          <cell r="O201" t="str">
            <v>old email address:
megan.mcpherson@canada.ca</v>
          </cell>
          <cell r="P201" t="str">
            <v>megan.bauer@ec.gc.ca</v>
          </cell>
          <cell r="Q201" t="str">
            <v>Megan Bauer, Environment and Climate Change Canada (ECCC), Atlantic Laboratory for Environmental Testing (ALET), Atlantic Environmental Science Centre (AESC), Toxicology Lab, 443 Universite Ave., Moncton, NB  E1A 3E9
Tel: 506-851-4396; Email: megan.bauer@ec.gc.ca
(Can send directly to Megan's attention or can ship to Attn: Paula Jackman; Tel: 506-851-2885; Email: Paula.Jackman@canada.ca)</v>
          </cell>
          <cell r="R201" t="str">
            <v>CG</v>
          </cell>
          <cell r="S201" t="str">
            <v>Environment and Climate Change Canada, Environmental Science Centre, P.O. Box 23005, Moncton, NB   E1A 6S8; Attn: Megan Bauer, Tel: 506-851-3837, Email: megan.bauer@ec.gc.ca
Paula Jackman, Environment and Climate Change Canada, Environmental Science Centre, P.O. Box 23005, Moncton, NB   E1A 6S8; Tel: 506-851-2885, Fax: 506-851-6608, Email: Paula.Jackman@canada.ca</v>
          </cell>
          <cell r="T201" t="str">
            <v>provide taxonomic certificates
email invoice to Megan Bauer at: megan.bauer@ec.gc.ca
email invoice to Paula Jackman at: Paula.Jackman@canada.ca</v>
          </cell>
          <cell r="U201">
            <v>103165</v>
          </cell>
        </row>
        <row r="202">
          <cell r="A202" t="str">
            <v>1015-002</v>
          </cell>
          <cell r="B202" t="str">
            <v>Megan Bauer</v>
          </cell>
          <cell r="C202" t="str">
            <v>Megan</v>
          </cell>
          <cell r="D202" t="str">
            <v>(Last name was McPherson for awhile)</v>
          </cell>
          <cell r="E202" t="str">
            <v>Environment and Climate Change Canada (ECCC) - Atlantic Laboratory for Environmental Testing (ALET)</v>
          </cell>
          <cell r="F202" t="str">
            <v>ECCC - ALET</v>
          </cell>
          <cell r="G202" t="str">
            <v>443 Universite Ave.</v>
          </cell>
          <cell r="H202" t="str">
            <v>AESC Tox Lab</v>
          </cell>
          <cell r="I202" t="str">
            <v>-</v>
          </cell>
          <cell r="J202" t="str">
            <v>Moncton</v>
          </cell>
          <cell r="K202" t="str">
            <v>NB</v>
          </cell>
          <cell r="L202" t="str">
            <v>E1A 3E9</v>
          </cell>
          <cell r="M202" t="str">
            <v>Canada</v>
          </cell>
          <cell r="N202" t="str">
            <v>506-851-4396</v>
          </cell>
          <cell r="O202" t="str">
            <v>old email address:
megan.mcpherson@canada.ca</v>
          </cell>
          <cell r="P202" t="str">
            <v>megan.bauer@ec.gc.ca</v>
          </cell>
          <cell r="Q202" t="str">
            <v>Megan Bauer, Environment and Climate Change Canada (ECCC), Atlantic Laboratory for Environmental Testing (ALET), Atlantic Environmental Science Centre (AESC), Toxicology Lab, 443 Universite Ave., Moncton, NB  E1A 3E9
Tel: 506-851-4396; Email: megan.bauer@ec.gc.ca
(Can send directly to Megan's attention or can ship to Attn: Paula Jackman; Tel: 506-851-2885; Email: Paula.Jackman@canada.ca)</v>
          </cell>
          <cell r="R202" t="str">
            <v>CG</v>
          </cell>
          <cell r="S202" t="str">
            <v>Environment and Climate Change Canada, Environmental Science Centre, P.O. Box 23005, Moncton, NB   E1A 6S8; Attn: Megan Bauer, Tel: 506-851-3837, Email: megan.bauer@ec.gc.ca
Paula Jackman, Environment and Climate Change Canada, Environmental Science Centre, P.O. Box 23005, Moncton, NB   E1A 6S8; Tel: 506-851-2885, Fax: 506-851-6608, Email: Paula.Jackman@canada.ca</v>
          </cell>
          <cell r="T202" t="str">
            <v>provide taxonomic certificates
email invoice to Megan Bauer at: megan.bauer@ec.gc.ca
email invoice to Paula Jackman at: Paula.Jackman@canada.ca</v>
          </cell>
          <cell r="U202">
            <v>103165</v>
          </cell>
        </row>
        <row r="203">
          <cell r="A203" t="str">
            <v>1025-003</v>
          </cell>
          <cell r="B203" t="str">
            <v>Jacky Law</v>
          </cell>
          <cell r="C203" t="str">
            <v>Jacky</v>
          </cell>
          <cell r="D203" t="str">
            <v>Senior Biologist &amp; Testing Coordinator</v>
          </cell>
          <cell r="E203" t="str">
            <v>Nautilus Environmental Company Inc. - Burnaby</v>
          </cell>
          <cell r="F203" t="str">
            <v>Nautilus Env - Burnaby</v>
          </cell>
          <cell r="G203" t="str">
            <v>8664 Commerce Court</v>
          </cell>
          <cell r="H203" t="str">
            <v>-</v>
          </cell>
          <cell r="I203" t="str">
            <v>-</v>
          </cell>
          <cell r="J203" t="str">
            <v>Burnaby</v>
          </cell>
          <cell r="K203" t="str">
            <v>BC</v>
          </cell>
          <cell r="L203" t="str">
            <v>V5A 4N7</v>
          </cell>
          <cell r="M203" t="str">
            <v>Canada</v>
          </cell>
          <cell r="N203" t="str">
            <v>604-420-8773</v>
          </cell>
          <cell r="O203" t="str">
            <v>604-357-1361</v>
          </cell>
          <cell r="P203" t="str">
            <v>jacky@nautilusenvironmental.ca</v>
          </cell>
          <cell r="Q203" t="str">
            <v>Jacky Law (Senior Biologist, Testing Coordinator) , Nautilus Environmental Company Inc., 8664 Commerce Court, Burnaby, BC V5A 4N7
Tel: 604-420-8773; Fax: 604-357-1361; Email: jacky@nautilusenvironmental.ca</v>
          </cell>
          <cell r="R203" t="str">
            <v>CC</v>
          </cell>
          <cell r="S203" t="str">
            <v>Attn: Accounts Payable, Nautilus Environmental, 8664 Commerce Court, Burnaby, BC V5A 4N7, Email: accounting@nautilusenvironmental.ca</v>
          </cell>
          <cell r="T203" t="str">
            <v>Provide taxonomic certificates
Ship via Purolator Express
Email invoice to Accounts Payable at: accounting@nautilusenvironmental.ca</v>
          </cell>
          <cell r="U203">
            <v>103484</v>
          </cell>
        </row>
        <row r="204">
          <cell r="A204" t="str">
            <v>1025-004</v>
          </cell>
          <cell r="B204" t="str">
            <v>Jeslin Wijaya</v>
          </cell>
          <cell r="C204" t="str">
            <v>Jeslin</v>
          </cell>
          <cell r="D204" t="str">
            <v>Supervisor</v>
          </cell>
          <cell r="E204" t="str">
            <v>Nautilus Environmental Company Inc. - Burnaby</v>
          </cell>
          <cell r="F204" t="str">
            <v>Nautilus Env - Burnaby</v>
          </cell>
          <cell r="G204" t="str">
            <v>8664 Commerce Court</v>
          </cell>
          <cell r="H204" t="str">
            <v>-</v>
          </cell>
          <cell r="I204" t="str">
            <v>-</v>
          </cell>
          <cell r="J204" t="str">
            <v>Burnaby</v>
          </cell>
          <cell r="K204" t="str">
            <v>BC</v>
          </cell>
          <cell r="L204" t="str">
            <v>V5A 4N7</v>
          </cell>
          <cell r="M204" t="str">
            <v>Canada</v>
          </cell>
          <cell r="N204" t="str">
            <v>604-420-8773 x7104</v>
          </cell>
          <cell r="O204" t="str">
            <v>604-357-1361</v>
          </cell>
          <cell r="P204" t="str">
            <v>jeslin@nautilusenvironmental.ca</v>
          </cell>
          <cell r="Q204" t="str">
            <v>Jeslin Wijaya (Supervisor), Nautilus Environmental Company Inc., 8664 Commerce Court, Burnaby, BC  V5A 4N7
Tel: 604-420-8773 x7104; Email: jeslin@nautilusenvironmental.ca</v>
          </cell>
          <cell r="R204" t="str">
            <v>CC</v>
          </cell>
          <cell r="S204" t="str">
            <v>Attn: Accounts Payable, Nautilus Environmental, 8664 Commerce Court, Burnaby, BC V5A 4N7, Email: accounting@nautilusenvironmental.ca
Email: bcinfo@nautilusenvironmental.ca</v>
          </cell>
          <cell r="T204" t="str">
            <v>Provide taxonomic certificates
Ship via Purolator Express
Email invoice to Accounts Payable at: accounting@nautilusenvironmental.ca
email invoice to Accounts Payable at: bcinfo@nautilusenvironmental.ca</v>
          </cell>
          <cell r="U204">
            <v>103484</v>
          </cell>
        </row>
        <row r="205">
          <cell r="A205" t="str">
            <v>1025-001</v>
          </cell>
          <cell r="B205" t="str">
            <v>Sierra Klueppel</v>
          </cell>
          <cell r="C205" t="str">
            <v>Sierra</v>
          </cell>
          <cell r="D205" t="str">
            <v>Laboratory Biologist, Testing Coordinator</v>
          </cell>
          <cell r="E205" t="str">
            <v>Nautilus Environmental Company Inc. - Burnaby</v>
          </cell>
          <cell r="F205" t="str">
            <v>Nautilus Env - Burnaby</v>
          </cell>
          <cell r="G205" t="str">
            <v>8664 Commerce Court</v>
          </cell>
          <cell r="H205" t="str">
            <v>-</v>
          </cell>
          <cell r="I205" t="str">
            <v>-</v>
          </cell>
          <cell r="J205" t="str">
            <v>Burnaby</v>
          </cell>
          <cell r="K205" t="str">
            <v>BC</v>
          </cell>
          <cell r="L205" t="str">
            <v>V5A 4N7</v>
          </cell>
          <cell r="M205" t="str">
            <v>Canada</v>
          </cell>
          <cell r="N205" t="str">
            <v>604-420-8773</v>
          </cell>
          <cell r="O205" t="str">
            <v>604-357-1361</v>
          </cell>
          <cell r="P205" t="str">
            <v>sierra@nautilusenvironmental.ca</v>
          </cell>
          <cell r="Q205" t="str">
            <v>Sierra Klueppel (Laboratory Biologist, Testing Coordinator), Nautilus Environmental Company Inc., 8664 Commerce Court, Burnaby, BC V5A 4N7
Tel: 604-420-8773; Fax: 604-357-1361; Email: sierra@nautilusenvironmental.ca</v>
          </cell>
          <cell r="R205" t="str">
            <v>CC</v>
          </cell>
          <cell r="S205" t="str">
            <v>Attn: Accounts Payable, Nautilus Environmental, 8664 Commerce Court, Burnaby, BC V5A 4N7, Email: accounting@nautilusenvironmental.ca
Email: bcinfo@nautilusenvironmental.ca</v>
          </cell>
          <cell r="T205" t="str">
            <v>Provide taxonomic certificates
Ship via Purolator Express
Email invoice to Accounts Payable at: accounting@nautilusenvironmental.ca
email invoice to Accounts Payable at: bcinfo@nautilusenvironmental.ca</v>
          </cell>
          <cell r="U205">
            <v>103484</v>
          </cell>
        </row>
        <row r="209">
          <cell r="A209" t="str">
            <v>BAD DEBT CUSTOMERS!</v>
          </cell>
        </row>
        <row r="210">
          <cell r="A210" t="str">
            <v>BAD DEBT CUSTOMERS!</v>
          </cell>
          <cell r="B210" t="str">
            <v>Dean Tsoupeis</v>
          </cell>
          <cell r="C210" t="str">
            <v>Bad Debt Customer!</v>
          </cell>
          <cell r="E210" t="str">
            <v>Culturing Solutions</v>
          </cell>
          <cell r="F210" t="str">
            <v>-</v>
          </cell>
          <cell r="G210" t="str">
            <v>-</v>
          </cell>
          <cell r="H210" t="str">
            <v>-</v>
          </cell>
          <cell r="I210" t="str">
            <v>-</v>
          </cell>
          <cell r="J210" t="str">
            <v>-</v>
          </cell>
          <cell r="K210" t="str">
            <v>-</v>
          </cell>
          <cell r="L210" t="str">
            <v>-</v>
          </cell>
          <cell r="M210" t="str">
            <v>-</v>
          </cell>
          <cell r="N210" t="str">
            <v>-</v>
          </cell>
          <cell r="O210" t="str">
            <v>-</v>
          </cell>
          <cell r="P210" t="str">
            <v>-</v>
          </cell>
          <cell r="Q210" t="str">
            <v>-</v>
          </cell>
          <cell r="R210" t="str">
            <v>-</v>
          </cell>
          <cell r="S210" t="str">
            <v>-</v>
          </cell>
          <cell r="T210" t="str">
            <v>-</v>
          </cell>
          <cell r="U210" t="str">
            <v>-</v>
          </cell>
        </row>
        <row r="211">
          <cell r="B211" t="str">
            <v>Dean Tsoupeis</v>
          </cell>
          <cell r="C211" t="str">
            <v>Bad Debt Customer!</v>
          </cell>
          <cell r="E211" t="str">
            <v>Culturing Solutions</v>
          </cell>
          <cell r="F211" t="str">
            <v>-</v>
          </cell>
          <cell r="G211" t="str">
            <v>-</v>
          </cell>
          <cell r="H211" t="str">
            <v>-</v>
          </cell>
          <cell r="I211" t="str">
            <v>-</v>
          </cell>
          <cell r="J211" t="str">
            <v>-</v>
          </cell>
          <cell r="K211" t="str">
            <v>-</v>
          </cell>
          <cell r="L211" t="str">
            <v>-</v>
          </cell>
          <cell r="M211" t="str">
            <v>-</v>
          </cell>
          <cell r="N211" t="str">
            <v>-</v>
          </cell>
          <cell r="O211" t="str">
            <v>-</v>
          </cell>
          <cell r="P211" t="str">
            <v>-</v>
          </cell>
          <cell r="Q211" t="str">
            <v>-</v>
          </cell>
          <cell r="R211" t="str">
            <v>-</v>
          </cell>
          <cell r="S211" t="str">
            <v>-</v>
          </cell>
          <cell r="T211" t="str">
            <v>-</v>
          </cell>
          <cell r="U211" t="str">
            <v>-</v>
          </cell>
        </row>
        <row r="212">
          <cell r="B212" t="str">
            <v>Ganna Bondarenko</v>
          </cell>
          <cell r="C212" t="str">
            <v>Bad Debt Customer!</v>
          </cell>
          <cell r="E212" t="str">
            <v>Converde Energy Inc.</v>
          </cell>
          <cell r="F212" t="str">
            <v>-</v>
          </cell>
          <cell r="G212" t="str">
            <v>-</v>
          </cell>
          <cell r="H212" t="str">
            <v>-</v>
          </cell>
          <cell r="I212" t="str">
            <v>-</v>
          </cell>
          <cell r="J212" t="str">
            <v>-</v>
          </cell>
          <cell r="K212" t="str">
            <v>-</v>
          </cell>
          <cell r="L212" t="str">
            <v>-</v>
          </cell>
          <cell r="M212" t="str">
            <v>-</v>
          </cell>
          <cell r="N212" t="str">
            <v>-</v>
          </cell>
          <cell r="O212" t="str">
            <v>-</v>
          </cell>
          <cell r="P212" t="str">
            <v>-</v>
          </cell>
          <cell r="Q212" t="str">
            <v>-</v>
          </cell>
          <cell r="R212" t="str">
            <v>-</v>
          </cell>
          <cell r="S212" t="str">
            <v>-</v>
          </cell>
          <cell r="T212" t="str">
            <v>-</v>
          </cell>
          <cell r="U212" t="str">
            <v>-</v>
          </cell>
        </row>
        <row r="213">
          <cell r="B213" t="str">
            <v>Kim Mi-seong</v>
          </cell>
          <cell r="C213" t="str">
            <v>Bad Debt Customer!</v>
          </cell>
          <cell r="E213" t="str">
            <v>University of Incheon</v>
          </cell>
          <cell r="F213" t="str">
            <v>-</v>
          </cell>
          <cell r="G213" t="str">
            <v>-</v>
          </cell>
          <cell r="H213" t="str">
            <v>-</v>
          </cell>
          <cell r="I213" t="str">
            <v>-</v>
          </cell>
          <cell r="J213" t="str">
            <v>-</v>
          </cell>
          <cell r="K213" t="str">
            <v>-</v>
          </cell>
          <cell r="L213" t="str">
            <v>-</v>
          </cell>
          <cell r="M213" t="str">
            <v>-</v>
          </cell>
          <cell r="N213" t="str">
            <v>-</v>
          </cell>
          <cell r="O213" t="str">
            <v>-</v>
          </cell>
          <cell r="P213" t="str">
            <v>-</v>
          </cell>
          <cell r="Q213" t="str">
            <v>-</v>
          </cell>
          <cell r="R213" t="str">
            <v>-</v>
          </cell>
          <cell r="S213" t="str">
            <v>-</v>
          </cell>
          <cell r="T213" t="str">
            <v>-</v>
          </cell>
          <cell r="U213" t="str">
            <v>-</v>
          </cell>
        </row>
        <row r="214">
          <cell r="B214" t="str">
            <v>Nguimgou Signing Bienvenu</v>
          </cell>
          <cell r="C214" t="str">
            <v>Bad Debt Customer!</v>
          </cell>
          <cell r="E214" t="str">
            <v>Institut National de la Recherche Scientifique - Universite du Quebec</v>
          </cell>
          <cell r="F214" t="str">
            <v>-</v>
          </cell>
          <cell r="G214" t="str">
            <v>-</v>
          </cell>
          <cell r="H214" t="str">
            <v>-</v>
          </cell>
          <cell r="I214" t="str">
            <v>-</v>
          </cell>
          <cell r="J214" t="str">
            <v>-</v>
          </cell>
          <cell r="K214" t="str">
            <v>-</v>
          </cell>
          <cell r="L214" t="str">
            <v>-</v>
          </cell>
          <cell r="M214" t="str">
            <v>-</v>
          </cell>
          <cell r="N214" t="str">
            <v>-</v>
          </cell>
          <cell r="O214" t="str">
            <v>-</v>
          </cell>
          <cell r="P214" t="str">
            <v>-</v>
          </cell>
          <cell r="Q214" t="str">
            <v>-</v>
          </cell>
          <cell r="R214" t="str">
            <v>-</v>
          </cell>
          <cell r="S214" t="str">
            <v>-</v>
          </cell>
          <cell r="T214" t="str">
            <v>-</v>
          </cell>
          <cell r="U214" t="str">
            <v>-</v>
          </cell>
        </row>
        <row r="215">
          <cell r="B215" t="str">
            <v>Ruta Jankauskiene</v>
          </cell>
          <cell r="C215" t="str">
            <v>Bad Debt Customer!</v>
          </cell>
          <cell r="E215" t="str">
            <v>Platensis Ltd</v>
          </cell>
          <cell r="F215" t="str">
            <v>-</v>
          </cell>
          <cell r="G215" t="str">
            <v>-</v>
          </cell>
          <cell r="H215" t="str">
            <v>-</v>
          </cell>
          <cell r="I215" t="str">
            <v>-</v>
          </cell>
          <cell r="J215" t="str">
            <v>-</v>
          </cell>
          <cell r="K215" t="str">
            <v>-</v>
          </cell>
          <cell r="L215" t="str">
            <v>-</v>
          </cell>
          <cell r="M215" t="str">
            <v>-</v>
          </cell>
          <cell r="N215" t="str">
            <v>-</v>
          </cell>
          <cell r="O215" t="str">
            <v>-</v>
          </cell>
          <cell r="P215" t="str">
            <v>-</v>
          </cell>
          <cell r="Q215" t="str">
            <v>-</v>
          </cell>
          <cell r="R215" t="str">
            <v>-</v>
          </cell>
          <cell r="S215" t="str">
            <v>-</v>
          </cell>
          <cell r="T215" t="str">
            <v>-</v>
          </cell>
          <cell r="U215" t="str">
            <v>-</v>
          </cell>
        </row>
        <row r="216">
          <cell r="B216" t="str">
            <v>Shaun Groulx</v>
          </cell>
          <cell r="C216" t="str">
            <v>Bad Debt Customer!</v>
          </cell>
          <cell r="E216" t="str">
            <v>Home Address - Groulx Residence (affiliated with U of Waterloo)</v>
          </cell>
          <cell r="F216" t="str">
            <v>-</v>
          </cell>
          <cell r="G216" t="str">
            <v>-</v>
          </cell>
          <cell r="H216" t="str">
            <v>-</v>
          </cell>
          <cell r="I216" t="str">
            <v>-</v>
          </cell>
          <cell r="J216" t="str">
            <v>-</v>
          </cell>
          <cell r="K216" t="str">
            <v>-</v>
          </cell>
          <cell r="L216" t="str">
            <v>-</v>
          </cell>
          <cell r="M216" t="str">
            <v>-</v>
          </cell>
          <cell r="N216" t="str">
            <v>-</v>
          </cell>
          <cell r="O216" t="str">
            <v>-</v>
          </cell>
          <cell r="P216" t="str">
            <v>-</v>
          </cell>
          <cell r="Q216" t="str">
            <v>-</v>
          </cell>
          <cell r="R216" t="str">
            <v>-</v>
          </cell>
          <cell r="S216" t="str">
            <v>-</v>
          </cell>
          <cell r="T216" t="str">
            <v>-</v>
          </cell>
          <cell r="U216" t="str">
            <v>-</v>
          </cell>
        </row>
        <row r="217">
          <cell r="B217" t="str">
            <v>Soyeon Choi</v>
          </cell>
          <cell r="C217" t="str">
            <v>Bad Debt Customer!</v>
          </cell>
          <cell r="E217" t="str">
            <v>Incheon National University</v>
          </cell>
          <cell r="F217" t="str">
            <v>-</v>
          </cell>
          <cell r="G217" t="str">
            <v>-</v>
          </cell>
          <cell r="H217" t="str">
            <v>-</v>
          </cell>
          <cell r="I217" t="str">
            <v>-</v>
          </cell>
          <cell r="J217" t="str">
            <v>-</v>
          </cell>
          <cell r="K217" t="str">
            <v>-</v>
          </cell>
          <cell r="L217" t="str">
            <v>-</v>
          </cell>
          <cell r="M217" t="str">
            <v>-</v>
          </cell>
          <cell r="N217" t="str">
            <v>-</v>
          </cell>
          <cell r="O217" t="str">
            <v>-</v>
          </cell>
          <cell r="P217" t="str">
            <v>-</v>
          </cell>
          <cell r="Q217" t="str">
            <v>-</v>
          </cell>
          <cell r="R217" t="str">
            <v>-</v>
          </cell>
          <cell r="S217" t="str">
            <v>-</v>
          </cell>
          <cell r="T217" t="str">
            <v>-</v>
          </cell>
          <cell r="U217" t="str">
            <v>-</v>
          </cell>
        </row>
        <row r="218">
          <cell r="B218" t="str">
            <v>Taejun Han</v>
          </cell>
          <cell r="C218" t="str">
            <v>Bad Debt Customer!</v>
          </cell>
          <cell r="E218" t="str">
            <v>University of Incheon</v>
          </cell>
          <cell r="F218" t="str">
            <v>-</v>
          </cell>
          <cell r="G218" t="str">
            <v>-</v>
          </cell>
          <cell r="H218" t="str">
            <v>-</v>
          </cell>
          <cell r="I218" t="str">
            <v>-</v>
          </cell>
          <cell r="J218" t="str">
            <v>-</v>
          </cell>
          <cell r="K218" t="str">
            <v>-</v>
          </cell>
          <cell r="L218" t="str">
            <v>-</v>
          </cell>
          <cell r="M218" t="str">
            <v>-</v>
          </cell>
          <cell r="N218" t="str">
            <v>-</v>
          </cell>
          <cell r="O218" t="str">
            <v>-</v>
          </cell>
          <cell r="P218" t="str">
            <v>-</v>
          </cell>
          <cell r="Q218" t="str">
            <v>-</v>
          </cell>
          <cell r="R218" t="str">
            <v>-</v>
          </cell>
          <cell r="S218" t="str">
            <v>-</v>
          </cell>
          <cell r="T218" t="str">
            <v>-</v>
          </cell>
          <cell r="U218" t="str">
            <v>-</v>
          </cell>
        </row>
        <row r="219">
          <cell r="B219" t="str">
            <v>Tasneem Fatma</v>
          </cell>
          <cell r="C219" t="str">
            <v>Bad Debt Customer!</v>
          </cell>
          <cell r="E219" t="str">
            <v>Jamia Millia Islamia (Central University)</v>
          </cell>
          <cell r="F219" t="str">
            <v>-</v>
          </cell>
          <cell r="G219" t="str">
            <v>-</v>
          </cell>
          <cell r="H219" t="str">
            <v>-</v>
          </cell>
          <cell r="I219" t="str">
            <v>-</v>
          </cell>
          <cell r="J219" t="str">
            <v>-</v>
          </cell>
          <cell r="K219" t="str">
            <v>-</v>
          </cell>
          <cell r="L219" t="str">
            <v>-</v>
          </cell>
          <cell r="M219" t="str">
            <v>-</v>
          </cell>
          <cell r="N219" t="str">
            <v>-</v>
          </cell>
          <cell r="O219" t="str">
            <v>-</v>
          </cell>
          <cell r="P219" t="str">
            <v>-</v>
          </cell>
          <cell r="Q219" t="str">
            <v>-</v>
          </cell>
          <cell r="R219" t="str">
            <v>-</v>
          </cell>
          <cell r="S219" t="str">
            <v>-</v>
          </cell>
          <cell r="T219" t="str">
            <v>-</v>
          </cell>
          <cell r="U219" t="str">
            <v>-</v>
          </cell>
        </row>
        <row r="220">
          <cell r="B220" t="str">
            <v>Vugar Ismayilov</v>
          </cell>
          <cell r="C220" t="str">
            <v>Bad Debt Customer!</v>
          </cell>
          <cell r="E220" t="str">
            <v>Converde Energy Inc.</v>
          </cell>
          <cell r="F220" t="str">
            <v>-</v>
          </cell>
          <cell r="G220" t="str">
            <v>-</v>
          </cell>
          <cell r="H220" t="str">
            <v>-</v>
          </cell>
          <cell r="I220" t="str">
            <v>-</v>
          </cell>
          <cell r="J220" t="str">
            <v>-</v>
          </cell>
          <cell r="K220" t="str">
            <v>-</v>
          </cell>
          <cell r="L220" t="str">
            <v>-</v>
          </cell>
          <cell r="M220" t="str">
            <v>-</v>
          </cell>
          <cell r="N220" t="str">
            <v>-</v>
          </cell>
          <cell r="O220" t="str">
            <v>-</v>
          </cell>
          <cell r="P220" t="str">
            <v>-</v>
          </cell>
          <cell r="Q220" t="str">
            <v>-</v>
          </cell>
          <cell r="R220" t="str">
            <v>-</v>
          </cell>
          <cell r="S220" t="str">
            <v>-</v>
          </cell>
          <cell r="T220" t="str">
            <v>-</v>
          </cell>
          <cell r="U220" t="str">
            <v>-</v>
          </cell>
        </row>
      </sheetData>
      <sheetData sheetId="3">
        <row r="1">
          <cell r="A1" t="str">
            <v>CUSTOMER (FULL NAME OF INSTITUTION)</v>
          </cell>
          <cell r="B1" t="str">
            <v>Org #</v>
          </cell>
        </row>
        <row r="2">
          <cell r="A2" t="str">
            <v>Agat Laboratories</v>
          </cell>
          <cell r="B2">
            <v>1</v>
          </cell>
        </row>
        <row r="3">
          <cell r="A3" t="str">
            <v>ALS Environmental - Winnipeg</v>
          </cell>
          <cell r="B3">
            <v>2</v>
          </cell>
        </row>
        <row r="4">
          <cell r="A4" t="str">
            <v>Blue Lion Labs</v>
          </cell>
          <cell r="B4">
            <v>3</v>
          </cell>
        </row>
        <row r="5">
          <cell r="A5" t="str">
            <v>Bureau Veritas Laboratories - Burnaby</v>
          </cell>
          <cell r="B5">
            <v>4</v>
          </cell>
        </row>
        <row r="6">
          <cell r="A6" t="str">
            <v>Bureau Veritas Laboratories - Montreal</v>
          </cell>
          <cell r="B6">
            <v>5</v>
          </cell>
        </row>
        <row r="7">
          <cell r="A7" t="str">
            <v>Bureau Veritas Laboratories - Quebec</v>
          </cell>
          <cell r="B7">
            <v>6</v>
          </cell>
        </row>
        <row r="8">
          <cell r="A8" t="str">
            <v>Cambridge Isotope Laboratories (CIL) Canada</v>
          </cell>
          <cell r="B8">
            <v>7</v>
          </cell>
        </row>
        <row r="9">
          <cell r="A9" t="str">
            <v>Cegep de Shawinigan</v>
          </cell>
          <cell r="B9">
            <v>8</v>
          </cell>
        </row>
        <row r="10">
          <cell r="A10" t="str">
            <v>Centre d'Expertise en Analyse Environnementale du Quebec (CEAEQ)</v>
          </cell>
          <cell r="B10">
            <v>9</v>
          </cell>
        </row>
        <row r="11">
          <cell r="A11" t="str">
            <v>City of Hamilton Environmental Lab</v>
          </cell>
          <cell r="B11">
            <v>10</v>
          </cell>
        </row>
        <row r="12">
          <cell r="A12" t="str">
            <v>Concordia University of Edmonton</v>
          </cell>
          <cell r="B12">
            <v>11</v>
          </cell>
        </row>
        <row r="13">
          <cell r="A13" t="str">
            <v>Conseil National de Recherches Canada (CNRC)</v>
          </cell>
          <cell r="B13">
            <v>12</v>
          </cell>
        </row>
        <row r="14">
          <cell r="A14" t="str">
            <v>EA Engineering, Science, and Technology, Inc.</v>
          </cell>
          <cell r="B14">
            <v>13</v>
          </cell>
        </row>
        <row r="15">
          <cell r="A15" t="str">
            <v>ECOLAB - Campus UPS</v>
          </cell>
          <cell r="B15">
            <v>14</v>
          </cell>
        </row>
        <row r="16">
          <cell r="A16" t="str">
            <v>Environment and Climate Change Canada (ECCC) - Atlantic Laboratory for Environmental Testing (ALET)</v>
          </cell>
          <cell r="B16">
            <v>15</v>
          </cell>
        </row>
        <row r="17">
          <cell r="A17" t="str">
            <v>Environment and Climate Change Canada (ECCC) - Prairie and Northern Laboratory for Environmental Testing (PNLET)</v>
          </cell>
          <cell r="B17">
            <v>16</v>
          </cell>
        </row>
        <row r="18">
          <cell r="A18" t="str">
            <v>Environment and Climate Change Canada (ECCC) - Watershed Hydrology and Ecology Research Division (WHERD)</v>
          </cell>
          <cell r="B18">
            <v>17</v>
          </cell>
        </row>
        <row r="19">
          <cell r="A19" t="str">
            <v>Eurofins - EnvironeX</v>
          </cell>
          <cell r="B19">
            <v>18</v>
          </cell>
        </row>
        <row r="20">
          <cell r="A20" t="str">
            <v>Eurofins EAG Agroscience Services</v>
          </cell>
          <cell r="B20">
            <v>19</v>
          </cell>
        </row>
        <row r="21">
          <cell r="A21" t="str">
            <v>Harris Industrial Testing Service Ltd. (HITS)</v>
          </cell>
          <cell r="B21">
            <v>20</v>
          </cell>
        </row>
        <row r="22">
          <cell r="A22" t="str">
            <v>Institut National de la Recherche Scientifique (INRS) - Eau Terre Environnement (ETE), Quebec, QC</v>
          </cell>
          <cell r="B22">
            <v>21</v>
          </cell>
        </row>
        <row r="23">
          <cell r="A23" t="str">
            <v>Lethbridge College</v>
          </cell>
          <cell r="B23">
            <v>22</v>
          </cell>
        </row>
        <row r="24">
          <cell r="A24" t="str">
            <v>McMaster University</v>
          </cell>
          <cell r="B24">
            <v>23</v>
          </cell>
        </row>
        <row r="25">
          <cell r="A25" t="str">
            <v>Memorial University of Newfoundland</v>
          </cell>
          <cell r="B25">
            <v>24</v>
          </cell>
        </row>
        <row r="26">
          <cell r="A26" t="str">
            <v>Nautilus Environmental Company Inc. - Burnaby</v>
          </cell>
          <cell r="B26">
            <v>25</v>
          </cell>
        </row>
        <row r="27">
          <cell r="A27" t="str">
            <v>Nautilus Environmental Company Inc. - Guelph</v>
          </cell>
          <cell r="B27">
            <v>26</v>
          </cell>
        </row>
        <row r="28">
          <cell r="A28" t="str">
            <v>Nautilus Environmental Company Inc. - Point Edward</v>
          </cell>
          <cell r="B28">
            <v>27</v>
          </cell>
        </row>
        <row r="29">
          <cell r="A29" t="str">
            <v>Portage College</v>
          </cell>
          <cell r="B29">
            <v>28</v>
          </cell>
        </row>
        <row r="30">
          <cell r="A30" t="str">
            <v>Smithers Viscient</v>
          </cell>
          <cell r="B30">
            <v>29</v>
          </cell>
        </row>
        <row r="31">
          <cell r="A31" t="str">
            <v>Testmark Laboratories Ltd.</v>
          </cell>
          <cell r="B31">
            <v>30</v>
          </cell>
        </row>
        <row r="32">
          <cell r="A32" t="str">
            <v>Trent University</v>
          </cell>
          <cell r="B32">
            <v>31</v>
          </cell>
        </row>
        <row r="33">
          <cell r="A33" t="str">
            <v>University of British Columbia</v>
          </cell>
          <cell r="B33">
            <v>32</v>
          </cell>
        </row>
        <row r="34">
          <cell r="A34" t="str">
            <v>University of Guelph</v>
          </cell>
          <cell r="B34">
            <v>33</v>
          </cell>
        </row>
        <row r="35">
          <cell r="A35" t="str">
            <v>University of Saskatchewan</v>
          </cell>
          <cell r="B35">
            <v>34</v>
          </cell>
        </row>
        <row r="36">
          <cell r="A36" t="str">
            <v>University of Toronto</v>
          </cell>
          <cell r="B36">
            <v>35</v>
          </cell>
        </row>
        <row r="37">
          <cell r="A37" t="str">
            <v>University of Toronto Mississauga</v>
          </cell>
          <cell r="B37">
            <v>36</v>
          </cell>
        </row>
        <row r="38">
          <cell r="A38" t="str">
            <v>University of Waterloo</v>
          </cell>
          <cell r="B38">
            <v>37</v>
          </cell>
        </row>
        <row r="39">
          <cell r="A39" t="str">
            <v>University of Regina</v>
          </cell>
          <cell r="B39">
            <v>38</v>
          </cell>
        </row>
        <row r="40">
          <cell r="A40" t="str">
            <v>Huntsman Marine Science Centre</v>
          </cell>
          <cell r="B40">
            <v>39</v>
          </cell>
        </row>
        <row r="41">
          <cell r="A41" t="str">
            <v>Rainforest Algae Corp.</v>
          </cell>
          <cell r="B41">
            <v>40</v>
          </cell>
        </row>
        <row r="42">
          <cell r="A42" t="str">
            <v>Universite de Montreal</v>
          </cell>
          <cell r="B42">
            <v>41</v>
          </cell>
        </row>
        <row r="43">
          <cell r="A43" t="str">
            <v>University of Calgary</v>
          </cell>
          <cell r="B43">
            <v>42</v>
          </cell>
        </row>
        <row r="44">
          <cell r="A44" t="str">
            <v>Fisheries and Oceans Canada (DFO) - Maurice-Lamontagne Institute</v>
          </cell>
          <cell r="B44">
            <v>43</v>
          </cell>
        </row>
        <row r="45">
          <cell r="A45" t="str">
            <v>College Montmorency</v>
          </cell>
          <cell r="B45">
            <v>44</v>
          </cell>
        </row>
        <row r="46">
          <cell r="A46" t="str">
            <v>University of Toronto Scarborough</v>
          </cell>
          <cell r="B46">
            <v>45</v>
          </cell>
        </row>
        <row r="47">
          <cell r="A47" t="str">
            <v>University of Windsor - Great Lakes Institute for Environmental Research (GLIER)</v>
          </cell>
          <cell r="B47">
            <v>46</v>
          </cell>
        </row>
        <row r="48">
          <cell r="A48" t="str">
            <v>Universite Laval</v>
          </cell>
          <cell r="B48">
            <v>47</v>
          </cell>
        </row>
        <row r="49">
          <cell r="A49" t="str">
            <v>Dartmouth High School</v>
          </cell>
          <cell r="B49">
            <v>48</v>
          </cell>
        </row>
        <row r="50">
          <cell r="A50" t="str">
            <v>Booodhwani Residence</v>
          </cell>
          <cell r="B50">
            <v>49</v>
          </cell>
        </row>
        <row r="51">
          <cell r="A51" t="str">
            <v>Azimian Residence</v>
          </cell>
          <cell r="B51">
            <v>50</v>
          </cell>
        </row>
        <row r="52">
          <cell r="A52" t="str">
            <v>IISD-Experimental Lakes Area</v>
          </cell>
          <cell r="B52">
            <v>51</v>
          </cell>
        </row>
        <row r="53">
          <cell r="A53" t="str">
            <v>Khawja Residence</v>
          </cell>
          <cell r="B53">
            <v>52</v>
          </cell>
        </row>
        <row r="54">
          <cell r="A54" t="str">
            <v>Lakehead University</v>
          </cell>
          <cell r="B54">
            <v>53</v>
          </cell>
        </row>
        <row r="55">
          <cell r="A55" t="str">
            <v>McGill University</v>
          </cell>
          <cell r="B55">
            <v>54</v>
          </cell>
        </row>
        <row r="56">
          <cell r="A56" t="str">
            <v>McGill University, Sainte-Anne-de-Bellevue</v>
          </cell>
          <cell r="B56">
            <v>55</v>
          </cell>
        </row>
        <row r="57">
          <cell r="A57" t="str">
            <v>Nova Scotia Community College - Ivany Campus</v>
          </cell>
          <cell r="B57">
            <v>56</v>
          </cell>
        </row>
        <row r="58">
          <cell r="A58" t="str">
            <v>Ors Residence</v>
          </cell>
          <cell r="B58">
            <v>57</v>
          </cell>
        </row>
        <row r="59">
          <cell r="A59" t="str">
            <v>Queen's University</v>
          </cell>
          <cell r="B59">
            <v>58</v>
          </cell>
        </row>
        <row r="60">
          <cell r="A60" t="str">
            <v>Universite du Quebec a Rimouski</v>
          </cell>
          <cell r="B60">
            <v>59</v>
          </cell>
        </row>
        <row r="61">
          <cell r="A61" t="str">
            <v>Wilfrid Laurier University</v>
          </cell>
          <cell r="B61">
            <v>60</v>
          </cell>
        </row>
        <row r="62">
          <cell r="A62" t="str">
            <v>York University</v>
          </cell>
          <cell r="B62">
            <v>61</v>
          </cell>
        </row>
        <row r="63">
          <cell r="A63" t="str">
            <v>Nautilus Environmental Company Inc. - Calgary</v>
          </cell>
          <cell r="B63">
            <v>62</v>
          </cell>
        </row>
        <row r="64">
          <cell r="A64" t="str">
            <v>Environment and Climate Change Canada (ECCC) - Pacific Yukon Laboratory for Environmental Testing (PYLET)</v>
          </cell>
          <cell r="B64">
            <v>63</v>
          </cell>
        </row>
        <row r="65">
          <cell r="A65" t="str">
            <v>Defence Research and Development Canada - Suffield Research Centre</v>
          </cell>
          <cell r="B65">
            <v>64</v>
          </cell>
        </row>
        <row r="66">
          <cell r="A66" t="str">
            <v>Environment and Climate Change Canada (ECCC) - Aquatic Contaminants Research Division (ACRD)</v>
          </cell>
          <cell r="B66">
            <v>65</v>
          </cell>
        </row>
        <row r="67">
          <cell r="A67" t="str">
            <v>Natural Research Council of Canada</v>
          </cell>
          <cell r="B67">
            <v>66</v>
          </cell>
        </row>
        <row r="68">
          <cell r="A68" t="str">
            <v>Natural Resources Canada</v>
          </cell>
          <cell r="B68">
            <v>67</v>
          </cell>
        </row>
        <row r="69">
          <cell r="A69" t="str">
            <v>Ontario Ministry of the Environment</v>
          </cell>
          <cell r="B69">
            <v>68</v>
          </cell>
        </row>
        <row r="70">
          <cell r="A70" t="str">
            <v>Université de Pau et des Pays de l’Adour (UPPA) - IPREM</v>
          </cell>
          <cell r="B70">
            <v>69</v>
          </cell>
        </row>
        <row r="71">
          <cell r="A71" t="str">
            <v>Hygiene-Institut des Ruhrgebiets</v>
          </cell>
          <cell r="B71">
            <v>70</v>
          </cell>
        </row>
        <row r="72">
          <cell r="A72" t="str">
            <v>Institute of Microalgal Technology (IMAT) - Japan</v>
          </cell>
          <cell r="B72">
            <v>71</v>
          </cell>
        </row>
        <row r="73">
          <cell r="A73" t="str">
            <v>Institut fuer Mikrobiologie der Bundeswehr</v>
          </cell>
          <cell r="B73">
            <v>72</v>
          </cell>
        </row>
        <row r="74">
          <cell r="A74" t="str">
            <v>Western University</v>
          </cell>
          <cell r="B74">
            <v>73</v>
          </cell>
        </row>
        <row r="75">
          <cell r="A75" t="str">
            <v>Avalon Laboratories Inc.</v>
          </cell>
          <cell r="B75">
            <v>74</v>
          </cell>
        </row>
        <row r="76">
          <cell r="A76" t="str">
            <v>Saskatchewan Research Council (SRC)</v>
          </cell>
          <cell r="B76">
            <v>75</v>
          </cell>
        </row>
        <row r="77">
          <cell r="A77" t="str">
            <v>Brock University</v>
          </cell>
          <cell r="B77">
            <v>76</v>
          </cell>
        </row>
        <row r="78">
          <cell r="A78" t="str">
            <v>Cytochrome</v>
          </cell>
          <cell r="B78">
            <v>77</v>
          </cell>
        </row>
        <row r="79">
          <cell r="A79" t="str">
            <v>Jaunky Residence</v>
          </cell>
          <cell r="B79">
            <v>78</v>
          </cell>
        </row>
        <row r="80">
          <cell r="A80" t="str">
            <v>IQS School of Engineering</v>
          </cell>
          <cell r="B80">
            <v>79</v>
          </cell>
        </row>
        <row r="81">
          <cell r="A81" t="str">
            <v>National Research Council Canada - Ketch Harbour</v>
          </cell>
          <cell r="B81">
            <v>80</v>
          </cell>
        </row>
        <row r="82">
          <cell r="A82" t="str">
            <v>Natural Resources Canada – CanmetMINING LMS Environmental Risk Management Program Ottawa</v>
          </cell>
          <cell r="B82">
            <v>81</v>
          </cell>
        </row>
        <row r="83">
          <cell r="A83" t="str">
            <v>Boodhwani Residence</v>
          </cell>
          <cell r="B83">
            <v>82</v>
          </cell>
        </row>
        <row r="84">
          <cell r="A84" t="str">
            <v>Fanshawe College</v>
          </cell>
          <cell r="B84">
            <v>83</v>
          </cell>
        </row>
        <row r="85">
          <cell r="A85" t="str">
            <v>Ontario Ministry of the Environment, Conservation &amp; Parks</v>
          </cell>
          <cell r="B85">
            <v>84</v>
          </cell>
        </row>
        <row r="86">
          <cell r="A86" t="str">
            <v>Hygiene-Institut des Ruhrgebiets, Institut fur Umwelhygiene und Toxikologie</v>
          </cell>
          <cell r="B86">
            <v>85</v>
          </cell>
        </row>
        <row r="87">
          <cell r="A87" t="str">
            <v>Concordia University</v>
          </cell>
          <cell r="B87">
            <v>86</v>
          </cell>
        </row>
        <row r="88">
          <cell r="A88" t="str">
            <v xml:space="preserve">Thor Specialties, Inc. </v>
          </cell>
          <cell r="B88">
            <v>87</v>
          </cell>
        </row>
        <row r="89">
          <cell r="A89" t="str">
            <v>CRB Innovations Inc.</v>
          </cell>
          <cell r="B89">
            <v>88</v>
          </cell>
        </row>
        <row r="90">
          <cell r="A90" t="str">
            <v>Neuston Biosystems Inc.</v>
          </cell>
          <cell r="B90">
            <v>89</v>
          </cell>
        </row>
        <row r="91">
          <cell r="A91" t="str">
            <v>Elmwood School</v>
          </cell>
          <cell r="B91">
            <v>90</v>
          </cell>
        </row>
      </sheetData>
      <sheetData sheetId="4"/>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4"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15.bin"/><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18.bin"/><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4"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21.bin"/><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 Id="rId4"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24.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4"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27.bin"/><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 Id="rId4"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30.bin"/><Relationship Id="rId2" Type="http://schemas.openxmlformats.org/officeDocument/2006/relationships/printerSettings" Target="../printerSettings/printerSettings29.bin"/><Relationship Id="rId1" Type="http://schemas.openxmlformats.org/officeDocument/2006/relationships/printerSettings" Target="../printerSettings/printerSettings28.bin"/><Relationship Id="rId4"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33.bin"/><Relationship Id="rId2" Type="http://schemas.openxmlformats.org/officeDocument/2006/relationships/printerSettings" Target="../printerSettings/printerSettings32.bin"/><Relationship Id="rId1" Type="http://schemas.openxmlformats.org/officeDocument/2006/relationships/printerSettings" Target="../printerSettings/printerSettings31.bin"/><Relationship Id="rId6" Type="http://schemas.openxmlformats.org/officeDocument/2006/relationships/comments" Target="../comments3.xml"/><Relationship Id="rId5" Type="http://schemas.openxmlformats.org/officeDocument/2006/relationships/vmlDrawing" Target="../drawings/vmlDrawing3.vml"/><Relationship Id="rId4"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36.bin"/><Relationship Id="rId2" Type="http://schemas.openxmlformats.org/officeDocument/2006/relationships/printerSettings" Target="../printerSettings/printerSettings35.bin"/><Relationship Id="rId1" Type="http://schemas.openxmlformats.org/officeDocument/2006/relationships/printerSettings" Target="../printerSettings/printerSettings34.bin"/><Relationship Id="rId4"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39.bin"/><Relationship Id="rId2" Type="http://schemas.openxmlformats.org/officeDocument/2006/relationships/printerSettings" Target="../printerSettings/printerSettings38.bin"/><Relationship Id="rId1" Type="http://schemas.openxmlformats.org/officeDocument/2006/relationships/printerSettings" Target="../printerSettings/printerSettings37.bin"/><Relationship Id="rId4"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FF92D2-2E29-4182-ADCF-703DDA126CD8}">
  <sheetPr codeName="Sheet4">
    <tabColor rgb="FF002060"/>
  </sheetPr>
  <dimension ref="A1:AL1532"/>
  <sheetViews>
    <sheetView tabSelected="1" zoomScaleNormal="100" workbookViewId="0">
      <pane ySplit="1" topLeftCell="A296" activePane="bottomLeft" state="frozen"/>
      <selection pane="bottomLeft" activeCell="I304" sqref="I304"/>
    </sheetView>
  </sheetViews>
  <sheetFormatPr defaultColWidth="9.109375" defaultRowHeight="13.2" x14ac:dyDescent="0.3"/>
  <cols>
    <col min="1" max="1" width="11.88671875" style="5" customWidth="1"/>
    <col min="2" max="2" width="9.88671875" style="9" customWidth="1"/>
    <col min="3" max="3" width="10.88671875" style="3" customWidth="1"/>
    <col min="4" max="4" width="24.44140625" style="3" bestFit="1" customWidth="1"/>
    <col min="5" max="5" width="24.88671875" style="351" customWidth="1"/>
    <col min="6" max="6" width="37" style="3" customWidth="1"/>
    <col min="7" max="7" width="16.88671875" style="523" customWidth="1"/>
    <col min="8" max="8" width="12.33203125" style="3" customWidth="1"/>
    <col min="9" max="9" width="8.6640625" style="3" customWidth="1"/>
    <col min="10" max="10" width="7.109375" style="3" customWidth="1"/>
    <col min="11" max="11" width="15.6640625" style="9" customWidth="1"/>
    <col min="12" max="12" width="11.33203125" style="9" customWidth="1"/>
    <col min="13" max="13" width="11.6640625" style="9" customWidth="1"/>
    <col min="14" max="14" width="9.88671875" style="9" customWidth="1"/>
    <col min="15" max="15" width="19" style="9" customWidth="1"/>
    <col min="16" max="16" width="10.6640625" style="9" customWidth="1"/>
    <col min="17" max="17" width="15.88671875" style="9" customWidth="1"/>
    <col min="18" max="18" width="15.6640625" style="9" customWidth="1"/>
    <col min="19" max="19" width="11.5546875" style="9" customWidth="1"/>
    <col min="20" max="20" width="22" style="6" customWidth="1"/>
    <col min="21" max="21" width="31.5546875" style="13" customWidth="1"/>
    <col min="22" max="23" width="13.6640625" style="384" customWidth="1"/>
    <col min="24" max="24" width="15.6640625" style="384" customWidth="1"/>
    <col min="25" max="25" width="13.6640625" style="384" customWidth="1"/>
    <col min="26" max="26" width="14.33203125" style="10" customWidth="1"/>
    <col min="27" max="27" width="10.44140625" style="10" customWidth="1"/>
    <col min="28" max="28" width="13.6640625" style="10" customWidth="1"/>
    <col min="29" max="29" width="10.109375" style="10" customWidth="1"/>
    <col min="30" max="30" width="22.5546875" style="9" customWidth="1"/>
    <col min="31" max="31" width="12.44140625" style="3" customWidth="1"/>
    <col min="32" max="32" width="16.88671875" style="5" customWidth="1"/>
    <col min="33" max="33" width="10.88671875" style="10" customWidth="1"/>
    <col min="34" max="34" width="10.5546875" style="10" customWidth="1"/>
    <col min="35" max="35" width="8.44140625" style="8" customWidth="1"/>
    <col min="36" max="36" width="9.44140625" style="8" customWidth="1"/>
    <col min="37" max="37" width="10.5546875" style="11" customWidth="1"/>
    <col min="38" max="38" width="85.6640625" style="4" customWidth="1"/>
    <col min="39" max="815" width="9.109375" style="4" customWidth="1"/>
    <col min="816" max="16384" width="9.109375" style="4"/>
  </cols>
  <sheetData>
    <row r="1" spans="1:38" s="3" customFormat="1" ht="51.75" customHeight="1" thickBot="1" x14ac:dyDescent="0.35">
      <c r="A1" s="148" t="s">
        <v>2649</v>
      </c>
      <c r="B1" s="149" t="s">
        <v>2252</v>
      </c>
      <c r="C1" s="149" t="s">
        <v>2650</v>
      </c>
      <c r="D1" s="138" t="s">
        <v>2651</v>
      </c>
      <c r="E1" s="216" t="s">
        <v>1974</v>
      </c>
      <c r="F1" s="138" t="s">
        <v>1001</v>
      </c>
      <c r="G1" s="138" t="s">
        <v>1003</v>
      </c>
      <c r="H1" s="138" t="s">
        <v>296</v>
      </c>
      <c r="I1" s="138" t="s">
        <v>297</v>
      </c>
      <c r="J1" s="138" t="s">
        <v>2337</v>
      </c>
      <c r="K1" s="138" t="s">
        <v>1968</v>
      </c>
      <c r="L1" s="146" t="s">
        <v>2338</v>
      </c>
      <c r="M1" s="138" t="s">
        <v>2339</v>
      </c>
      <c r="N1" s="146" t="s">
        <v>298</v>
      </c>
      <c r="O1" s="138" t="s">
        <v>2273</v>
      </c>
      <c r="P1" s="138" t="s">
        <v>299</v>
      </c>
      <c r="Q1" s="138" t="s">
        <v>2652</v>
      </c>
      <c r="R1" s="138" t="s">
        <v>2274</v>
      </c>
      <c r="S1" s="138" t="s">
        <v>2276</v>
      </c>
      <c r="T1" s="134" t="s">
        <v>2275</v>
      </c>
      <c r="U1" s="133" t="s">
        <v>2277</v>
      </c>
      <c r="V1" s="217" t="s">
        <v>2279</v>
      </c>
      <c r="W1" s="217" t="s">
        <v>2280</v>
      </c>
      <c r="X1" s="217" t="s">
        <v>2653</v>
      </c>
      <c r="Y1" s="217" t="s">
        <v>2343</v>
      </c>
      <c r="Z1" s="142" t="s">
        <v>2278</v>
      </c>
      <c r="AA1" s="142" t="s">
        <v>1116</v>
      </c>
      <c r="AB1" s="142" t="s">
        <v>1117</v>
      </c>
      <c r="AC1" s="142" t="s">
        <v>300</v>
      </c>
      <c r="AD1" s="132" t="s">
        <v>2344</v>
      </c>
      <c r="AE1" s="134" t="s">
        <v>2281</v>
      </c>
      <c r="AF1" s="134" t="s">
        <v>301</v>
      </c>
      <c r="AG1" s="180" t="s">
        <v>1118</v>
      </c>
      <c r="AH1" s="181" t="s">
        <v>1119</v>
      </c>
      <c r="AI1" s="143" t="s">
        <v>2345</v>
      </c>
      <c r="AJ1" s="143" t="s">
        <v>302</v>
      </c>
      <c r="AK1" s="151" t="s">
        <v>2282</v>
      </c>
      <c r="AL1" s="144" t="s">
        <v>2346</v>
      </c>
    </row>
    <row r="2" spans="1:38" s="236" customFormat="1" ht="39.6" x14ac:dyDescent="0.3">
      <c r="A2" s="257">
        <v>44930</v>
      </c>
      <c r="B2" s="218" t="s">
        <v>2654</v>
      </c>
      <c r="C2" s="218" t="s">
        <v>2510</v>
      </c>
      <c r="D2" s="222" t="str">
        <f>VLOOKUP($C2,Customers!$A$2:$Z$1010,2,FALSE)</f>
        <v>Mia Fearey</v>
      </c>
      <c r="E2" s="583" t="s">
        <v>16</v>
      </c>
      <c r="F2" s="222" t="str">
        <f xml:space="preserve"> VLOOKUP($C2,Customers!$A$2:$Z$1010,5,FALSE)</f>
        <v>Nautilus Environmental Company Inc. - Calgary</v>
      </c>
      <c r="G2" s="222" t="str">
        <f xml:space="preserve"> VLOOKUP($C2,Customers!$A$2:$Z$1010,10,FALSE) &amp; ", " &amp; VLOOKUP($C2,Customers!$A$2:$Z$1010,11,FALSE)</f>
        <v>Calgary, AB</v>
      </c>
      <c r="H2" s="222" t="str">
        <f>VLOOKUP($C2,Customers!$A$2:$Z$1010,13,FALSE)</f>
        <v>Canada</v>
      </c>
      <c r="I2" s="222" t="str">
        <f>VLOOKUP($C2,Customers!$A$2:$Z$1010,18,FALSE)</f>
        <v>CC</v>
      </c>
      <c r="J2" s="223" t="s">
        <v>304</v>
      </c>
      <c r="K2" s="224">
        <v>37</v>
      </c>
      <c r="L2" s="224">
        <v>1</v>
      </c>
      <c r="M2" s="224">
        <v>30</v>
      </c>
      <c r="N2" s="224">
        <f>2</f>
        <v>2</v>
      </c>
      <c r="O2" s="225" t="s">
        <v>16</v>
      </c>
      <c r="P2" s="224">
        <v>0</v>
      </c>
      <c r="Q2" s="225" t="s">
        <v>16</v>
      </c>
      <c r="R2" s="224">
        <v>0</v>
      </c>
      <c r="S2" s="224" t="s">
        <v>16</v>
      </c>
      <c r="T2" s="226" t="s">
        <v>2655</v>
      </c>
      <c r="U2" s="226" t="s">
        <v>2656</v>
      </c>
      <c r="V2" s="227">
        <v>260</v>
      </c>
      <c r="W2" s="228" t="s">
        <v>16</v>
      </c>
      <c r="X2" s="228" t="s">
        <v>16</v>
      </c>
      <c r="Y2" s="228" t="s">
        <v>16</v>
      </c>
      <c r="Z2" s="229">
        <f>260</f>
        <v>260</v>
      </c>
      <c r="AA2" s="230">
        <v>35</v>
      </c>
      <c r="AB2" s="229">
        <f>SUM(Z2:AA2)</f>
        <v>295</v>
      </c>
      <c r="AC2" s="230" t="s">
        <v>304</v>
      </c>
      <c r="AD2" s="222" t="s">
        <v>2657</v>
      </c>
      <c r="AE2" s="231">
        <v>44935</v>
      </c>
      <c r="AF2" s="219" t="s">
        <v>2658</v>
      </c>
      <c r="AG2" s="232">
        <v>30.65</v>
      </c>
      <c r="AH2" s="232">
        <v>29.67</v>
      </c>
      <c r="AI2" s="230" t="s">
        <v>304</v>
      </c>
      <c r="AJ2" s="233">
        <v>103485</v>
      </c>
      <c r="AK2" s="234">
        <v>45031</v>
      </c>
      <c r="AL2" s="235" t="s">
        <v>2659</v>
      </c>
    </row>
    <row r="3" spans="1:38" s="236" customFormat="1" ht="39.6" x14ac:dyDescent="0.3">
      <c r="A3" s="231">
        <v>44931</v>
      </c>
      <c r="B3" s="222" t="s">
        <v>2660</v>
      </c>
      <c r="C3" s="218" t="s">
        <v>1410</v>
      </c>
      <c r="D3" s="222" t="str">
        <f>VLOOKUP($C3,Customers!$A$2:$Z$1010,2,FALSE)</f>
        <v>Shawna Kirkpatrick</v>
      </c>
      <c r="E3" s="293" t="s">
        <v>1820</v>
      </c>
      <c r="F3" s="222" t="str">
        <f xml:space="preserve"> VLOOKUP($C3,Customers!$A$2:$Z$1010,5,FALSE)</f>
        <v>Nautilus Environmental Company Inc. - Guelph</v>
      </c>
      <c r="G3" s="222" t="str">
        <f>VLOOKUP($C3,Customers!$A$2:$Z$1010,10,FALSE) &amp; ", " &amp; VLOOKUP($C3,Customers!$A$2:$Z$1010,11,FALSE)</f>
        <v>Puslinch, ON</v>
      </c>
      <c r="H3" s="222" t="str">
        <f>VLOOKUP($C3,Customers!$A$2:$Z$1010,13,FALSE)</f>
        <v>Canada</v>
      </c>
      <c r="I3" s="222" t="str">
        <f>VLOOKUP($C3,Customers!$A$2:$Z$1010,18,FALSE)</f>
        <v>CC</v>
      </c>
      <c r="J3" s="223" t="s">
        <v>306</v>
      </c>
      <c r="K3" s="224">
        <v>37</v>
      </c>
      <c r="L3" s="224">
        <v>1</v>
      </c>
      <c r="M3" s="224">
        <v>15</v>
      </c>
      <c r="N3" s="224">
        <f>1</f>
        <v>1</v>
      </c>
      <c r="O3" s="224" t="s">
        <v>307</v>
      </c>
      <c r="P3" s="224">
        <v>0.5</v>
      </c>
      <c r="Q3" s="225" t="s">
        <v>16</v>
      </c>
      <c r="R3" s="224">
        <v>0</v>
      </c>
      <c r="S3" s="224" t="s">
        <v>16</v>
      </c>
      <c r="T3" s="226" t="s">
        <v>2661</v>
      </c>
      <c r="U3" s="226" t="s">
        <v>2662</v>
      </c>
      <c r="V3" s="227">
        <v>200</v>
      </c>
      <c r="W3" s="227">
        <v>40</v>
      </c>
      <c r="X3" s="228" t="s">
        <v>16</v>
      </c>
      <c r="Y3" s="228" t="s">
        <v>16</v>
      </c>
      <c r="Z3" s="230">
        <f>200+40</f>
        <v>240</v>
      </c>
      <c r="AA3" s="230">
        <v>25</v>
      </c>
      <c r="AB3" s="229">
        <f>SUM(Z3:AA3)</f>
        <v>265</v>
      </c>
      <c r="AC3" s="230" t="s">
        <v>304</v>
      </c>
      <c r="AD3" s="222" t="s">
        <v>2663</v>
      </c>
      <c r="AE3" s="238">
        <v>44943</v>
      </c>
      <c r="AF3" s="219" t="s">
        <v>2664</v>
      </c>
      <c r="AG3" s="232">
        <v>7.19</v>
      </c>
      <c r="AH3" s="232">
        <v>7.17</v>
      </c>
      <c r="AI3" s="239" t="s">
        <v>304</v>
      </c>
      <c r="AJ3" s="233">
        <v>102886</v>
      </c>
      <c r="AK3" s="238">
        <v>45005</v>
      </c>
      <c r="AL3" s="235" t="s">
        <v>2665</v>
      </c>
    </row>
    <row r="4" spans="1:38" s="236" customFormat="1" ht="66" x14ac:dyDescent="0.3">
      <c r="A4" s="257">
        <v>44936</v>
      </c>
      <c r="B4" s="218" t="s">
        <v>2666</v>
      </c>
      <c r="C4" s="218" t="s">
        <v>2531</v>
      </c>
      <c r="D4" s="222" t="str">
        <f>VLOOKUP($C4,Customers!$A$2:$Z$1010,2,FALSE)</f>
        <v>Paul Frost</v>
      </c>
      <c r="E4" s="583" t="s">
        <v>16</v>
      </c>
      <c r="F4" s="222" t="str">
        <f xml:space="preserve"> VLOOKUP($C4,Customers!$A$2:$Z$1010,5,FALSE)</f>
        <v>Trent University</v>
      </c>
      <c r="G4" s="222" t="str">
        <f>VLOOKUP($C4,Customers!$A$2:$Z$1010,10,FALSE) &amp; ", " &amp; VLOOKUP($C4,Customers!$A$2:$Z$1010,11,FALSE)</f>
        <v>Peterborough, ON</v>
      </c>
      <c r="H4" s="222" t="str">
        <f>VLOOKUP($C4,Customers!$A$2:$Z$1010,13,FALSE)</f>
        <v>Canada</v>
      </c>
      <c r="I4" s="222" t="str">
        <f>VLOOKUP($C4,Customers!$A$2:$Z$1010,18,FALSE)</f>
        <v>CA</v>
      </c>
      <c r="J4" s="218" t="s">
        <v>306</v>
      </c>
      <c r="K4" s="224">
        <v>10</v>
      </c>
      <c r="L4" s="224">
        <v>1</v>
      </c>
      <c r="M4" s="224">
        <v>15</v>
      </c>
      <c r="N4" s="224">
        <f>1</f>
        <v>1</v>
      </c>
      <c r="O4" s="225" t="s">
        <v>16</v>
      </c>
      <c r="P4" s="224">
        <v>0</v>
      </c>
      <c r="Q4" s="225" t="s">
        <v>16</v>
      </c>
      <c r="R4" s="224">
        <v>0</v>
      </c>
      <c r="S4" s="224" t="s">
        <v>16</v>
      </c>
      <c r="T4" s="226" t="s">
        <v>2667</v>
      </c>
      <c r="U4" s="226" t="s">
        <v>2668</v>
      </c>
      <c r="V4" s="227">
        <v>120</v>
      </c>
      <c r="W4" s="228" t="s">
        <v>16</v>
      </c>
      <c r="X4" s="228" t="s">
        <v>16</v>
      </c>
      <c r="Y4" s="228" t="s">
        <v>16</v>
      </c>
      <c r="Z4" s="240">
        <f>120</f>
        <v>120</v>
      </c>
      <c r="AA4" s="230">
        <v>25</v>
      </c>
      <c r="AB4" s="241">
        <f t="shared" ref="AB4:AB5" si="0">SUM(Z4:AA4)</f>
        <v>145</v>
      </c>
      <c r="AC4" s="230" t="s">
        <v>304</v>
      </c>
      <c r="AD4" s="242" t="s">
        <v>2669</v>
      </c>
      <c r="AE4" s="231">
        <v>44949</v>
      </c>
      <c r="AF4" s="219" t="s">
        <v>2670</v>
      </c>
      <c r="AG4" s="232">
        <v>7.19</v>
      </c>
      <c r="AH4" s="232">
        <v>6.58</v>
      </c>
      <c r="AI4" s="239" t="s">
        <v>304</v>
      </c>
      <c r="AJ4" s="233">
        <v>103748</v>
      </c>
      <c r="AK4" s="238">
        <v>45005</v>
      </c>
      <c r="AL4" s="235" t="s">
        <v>2671</v>
      </c>
    </row>
    <row r="5" spans="1:38" s="236" customFormat="1" ht="51.75" customHeight="1" x14ac:dyDescent="0.3">
      <c r="A5" s="257">
        <v>44937</v>
      </c>
      <c r="B5" s="224" t="s">
        <v>2672</v>
      </c>
      <c r="C5" s="218" t="s">
        <v>2306</v>
      </c>
      <c r="D5" s="222" t="str">
        <f>VLOOKUP($C5,Customers!$A$2:$Z$1010,2,FALSE)</f>
        <v>Megan Bauer</v>
      </c>
      <c r="E5" s="583" t="s">
        <v>16</v>
      </c>
      <c r="F5" s="222" t="str">
        <f xml:space="preserve"> VLOOKUP($C5,Customers!$A$2:$Z$1010,5,FALSE)</f>
        <v>Environment and Climate Change Canada (ECCC) - Atlantic Laboratory for Environmental Testing (ALET)</v>
      </c>
      <c r="G5" s="222" t="str">
        <f>VLOOKUP($C5,Customers!$A$2:$Z$1010,10,FALSE) &amp; ", " &amp; VLOOKUP($C5,Customers!$A$2:$Z$1010,11,FALSE)</f>
        <v>Moncton, NB</v>
      </c>
      <c r="H5" s="222" t="str">
        <f>VLOOKUP($C5,Customers!$A$2:$Z$1010,13,FALSE)</f>
        <v>Canada</v>
      </c>
      <c r="I5" s="222" t="str">
        <f>VLOOKUP($C5,Customers!$A$2:$Z$1010,18,FALSE)</f>
        <v>CG</v>
      </c>
      <c r="J5" s="223" t="s">
        <v>306</v>
      </c>
      <c r="K5" s="224">
        <v>715</v>
      </c>
      <c r="L5" s="224">
        <v>1</v>
      </c>
      <c r="M5" s="224">
        <v>15</v>
      </c>
      <c r="N5" s="224">
        <f>1</f>
        <v>1</v>
      </c>
      <c r="O5" s="225" t="s">
        <v>16</v>
      </c>
      <c r="P5" s="224">
        <v>0</v>
      </c>
      <c r="Q5" s="224" t="s">
        <v>318</v>
      </c>
      <c r="R5" s="224">
        <v>500</v>
      </c>
      <c r="S5" s="243" t="s">
        <v>16</v>
      </c>
      <c r="T5" s="226" t="s">
        <v>2673</v>
      </c>
      <c r="U5" s="226" t="s">
        <v>2674</v>
      </c>
      <c r="V5" s="227">
        <v>120</v>
      </c>
      <c r="W5" s="228" t="s">
        <v>16</v>
      </c>
      <c r="X5" s="227">
        <v>165</v>
      </c>
      <c r="Y5" s="228" t="s">
        <v>16</v>
      </c>
      <c r="Z5" s="229">
        <f>120+165</f>
        <v>285</v>
      </c>
      <c r="AA5" s="230">
        <v>35</v>
      </c>
      <c r="AB5" s="240">
        <f t="shared" si="0"/>
        <v>320</v>
      </c>
      <c r="AC5" s="230" t="s">
        <v>304</v>
      </c>
      <c r="AD5" s="242" t="s">
        <v>16</v>
      </c>
      <c r="AE5" s="231">
        <v>44942</v>
      </c>
      <c r="AF5" s="219" t="s">
        <v>2675</v>
      </c>
      <c r="AG5" s="232">
        <v>33.57</v>
      </c>
      <c r="AH5" s="232">
        <v>30.33</v>
      </c>
      <c r="AI5" s="230" t="s">
        <v>304</v>
      </c>
      <c r="AJ5" s="218">
        <v>103165</v>
      </c>
      <c r="AK5" s="231">
        <v>44981</v>
      </c>
      <c r="AL5" s="235" t="s">
        <v>2676</v>
      </c>
    </row>
    <row r="6" spans="1:38" s="236" customFormat="1" ht="39.6" x14ac:dyDescent="0.3">
      <c r="A6" s="257">
        <v>44939</v>
      </c>
      <c r="B6" s="218" t="s">
        <v>2677</v>
      </c>
      <c r="C6" s="218" t="s">
        <v>2470</v>
      </c>
      <c r="D6" s="222" t="str">
        <f>VLOOKUP($C6,Customers!$A$2:$Z$1010,2,FALSE)</f>
        <v>Jennifer Doyle</v>
      </c>
      <c r="E6" s="583" t="s">
        <v>16</v>
      </c>
      <c r="F6" s="222" t="str">
        <f xml:space="preserve"> VLOOKUP($C6,Customers!$A$2:$Z$1010,5,FALSE)</f>
        <v>Avalon Laboratories Inc.</v>
      </c>
      <c r="G6" s="222" t="str">
        <f>VLOOKUP($C6,Customers!$A$2:$Z$1010,10,FALSE) &amp; ", " &amp; VLOOKUP($C6,Customers!$A$2:$Z$1010,11,FALSE)</f>
        <v>St. John's, NL</v>
      </c>
      <c r="H6" s="222" t="str">
        <f>VLOOKUP($C6,Customers!$A$2:$Z$1010,13,FALSE)</f>
        <v>Canada</v>
      </c>
      <c r="I6" s="222" t="str">
        <f>VLOOKUP($C6,Customers!$A$2:$Z$1010,18,FALSE)</f>
        <v>CC</v>
      </c>
      <c r="J6" s="245" t="s">
        <v>306</v>
      </c>
      <c r="K6" s="224" t="s">
        <v>2678</v>
      </c>
      <c r="L6" s="224">
        <v>2</v>
      </c>
      <c r="M6" s="224" t="s">
        <v>2679</v>
      </c>
      <c r="N6" s="224">
        <f>2+2</f>
        <v>4</v>
      </c>
      <c r="O6" s="225" t="s">
        <v>16</v>
      </c>
      <c r="P6" s="224">
        <v>0</v>
      </c>
      <c r="Q6" s="225" t="s">
        <v>16</v>
      </c>
      <c r="R6" s="224">
        <v>0</v>
      </c>
      <c r="S6" s="224" t="s">
        <v>16</v>
      </c>
      <c r="T6" s="246" t="s">
        <v>2680</v>
      </c>
      <c r="U6" s="649" t="s">
        <v>2681</v>
      </c>
      <c r="V6" s="232">
        <f>340*2</f>
        <v>680</v>
      </c>
      <c r="W6" s="247" t="s">
        <v>16</v>
      </c>
      <c r="X6" s="247" t="s">
        <v>16</v>
      </c>
      <c r="Y6" s="247" t="s">
        <v>16</v>
      </c>
      <c r="Z6" s="241">
        <f>340*2</f>
        <v>680</v>
      </c>
      <c r="AA6" s="230">
        <v>35</v>
      </c>
      <c r="AB6" s="240">
        <f>SUM(Z6:AA6)</f>
        <v>715</v>
      </c>
      <c r="AC6" s="230" t="s">
        <v>304</v>
      </c>
      <c r="AD6" s="651" t="s">
        <v>2682</v>
      </c>
      <c r="AE6" s="231">
        <v>44949</v>
      </c>
      <c r="AF6" s="219" t="s">
        <v>2683</v>
      </c>
      <c r="AG6" s="227">
        <v>33.57</v>
      </c>
      <c r="AH6" s="232">
        <v>30.33</v>
      </c>
      <c r="AI6" s="248" t="s">
        <v>304</v>
      </c>
      <c r="AJ6" s="218">
        <v>105032</v>
      </c>
      <c r="AK6" s="238">
        <v>45005</v>
      </c>
      <c r="AL6" s="249" t="s">
        <v>2684</v>
      </c>
    </row>
    <row r="7" spans="1:38" s="236" customFormat="1" ht="66" x14ac:dyDescent="0.3">
      <c r="A7" s="231">
        <v>44939</v>
      </c>
      <c r="B7" s="250" t="s">
        <v>2685</v>
      </c>
      <c r="C7" s="218" t="s">
        <v>2435</v>
      </c>
      <c r="D7" s="222" t="str">
        <f>VLOOKUP($C7,Customers!$A$2:$Z$1010,2,FALSE)</f>
        <v>Ditty Kakkassery</v>
      </c>
      <c r="E7" s="583" t="s">
        <v>16</v>
      </c>
      <c r="F7" s="222" t="str">
        <f xml:space="preserve"> VLOOKUP($C7,Customers!$A$2:$Z$1010,5,FALSE)</f>
        <v>Nautilus Environmental Company Inc. - Burnaby</v>
      </c>
      <c r="G7" s="222" t="str">
        <f>VLOOKUP($C7,Customers!$A$2:$Z$1010,10,FALSE) &amp; ", " &amp; VLOOKUP($C7,Customers!$A$2:$Z$1010,11,FALSE)</f>
        <v>Burnaby, BC</v>
      </c>
      <c r="H7" s="222" t="str">
        <f>VLOOKUP($C7,Customers!$A$2:$Z$1010,13,FALSE)</f>
        <v>Canada</v>
      </c>
      <c r="I7" s="222" t="str">
        <f>VLOOKUP($C7,Customers!$A$2:$Z$1010,18,FALSE)</f>
        <v>CC</v>
      </c>
      <c r="J7" s="223" t="s">
        <v>304</v>
      </c>
      <c r="K7" s="224">
        <v>490</v>
      </c>
      <c r="L7" s="251">
        <v>1</v>
      </c>
      <c r="M7" s="224">
        <v>25</v>
      </c>
      <c r="N7" s="251">
        <f>1</f>
        <v>1</v>
      </c>
      <c r="O7" s="225" t="s">
        <v>16</v>
      </c>
      <c r="P7" s="224">
        <v>0</v>
      </c>
      <c r="Q7" s="225" t="s">
        <v>16</v>
      </c>
      <c r="R7" s="224">
        <v>0</v>
      </c>
      <c r="S7" s="224" t="s">
        <v>16</v>
      </c>
      <c r="T7" s="226" t="s">
        <v>2686</v>
      </c>
      <c r="U7" s="226" t="s">
        <v>2687</v>
      </c>
      <c r="V7" s="227">
        <v>50</v>
      </c>
      <c r="W7" s="228" t="s">
        <v>16</v>
      </c>
      <c r="X7" s="228" t="s">
        <v>16</v>
      </c>
      <c r="Y7" s="228" t="s">
        <v>16</v>
      </c>
      <c r="Z7" s="229">
        <f>200*0.25</f>
        <v>50</v>
      </c>
      <c r="AA7" s="240">
        <v>35</v>
      </c>
      <c r="AB7" s="240">
        <f t="shared" ref="AB7:AB9" si="1">SUM(Z7:AA7)</f>
        <v>85</v>
      </c>
      <c r="AC7" s="230" t="s">
        <v>304</v>
      </c>
      <c r="AD7" s="222" t="s">
        <v>2688</v>
      </c>
      <c r="AE7" s="231">
        <v>44949</v>
      </c>
      <c r="AF7" s="219" t="s">
        <v>2689</v>
      </c>
      <c r="AG7" s="232">
        <v>30.65</v>
      </c>
      <c r="AH7" s="232">
        <v>29.67</v>
      </c>
      <c r="AI7" s="230" t="s">
        <v>304</v>
      </c>
      <c r="AJ7" s="223">
        <v>103484</v>
      </c>
      <c r="AK7" s="234">
        <v>45031</v>
      </c>
      <c r="AL7" s="252" t="s">
        <v>2690</v>
      </c>
    </row>
    <row r="8" spans="1:38" s="236" customFormat="1" ht="52.8" x14ac:dyDescent="0.3">
      <c r="A8" s="257">
        <v>44942</v>
      </c>
      <c r="B8" s="224" t="s">
        <v>2691</v>
      </c>
      <c r="C8" s="218" t="s">
        <v>1032</v>
      </c>
      <c r="D8" s="222" t="str">
        <f>VLOOKUP($C8,Customers!$A$2:$Z$1010,2,FALSE)</f>
        <v>Michael (Mike) Chanov</v>
      </c>
      <c r="E8" s="583" t="s">
        <v>16</v>
      </c>
      <c r="F8" s="222" t="str">
        <f xml:space="preserve"> VLOOKUP($C8,Customers!$A$2:$Z$1010,5,FALSE)</f>
        <v>EA Engineering, Science, and Technology, Inc.</v>
      </c>
      <c r="G8" s="222" t="str">
        <f>VLOOKUP($C8,Customers!$A$2:$Z$1010,10,FALSE) &amp; ", " &amp; VLOOKUP($C8,Customers!$A$2:$Z$1010,11,FALSE)</f>
        <v>Hunt Valley, MD</v>
      </c>
      <c r="H8" s="222" t="str">
        <f>VLOOKUP($C8,Customers!$A$2:$Z$1010,13,FALSE)</f>
        <v>USA</v>
      </c>
      <c r="I8" s="222" t="str">
        <f>VLOOKUP($C8,Customers!$A$2:$Z$1010,18,FALSE)</f>
        <v>IC</v>
      </c>
      <c r="J8" s="253" t="s">
        <v>306</v>
      </c>
      <c r="K8" s="224">
        <v>37</v>
      </c>
      <c r="L8" s="251">
        <v>1</v>
      </c>
      <c r="M8" s="224">
        <v>90</v>
      </c>
      <c r="N8" s="251">
        <f>2</f>
        <v>2</v>
      </c>
      <c r="O8" s="225" t="s">
        <v>16</v>
      </c>
      <c r="P8" s="224">
        <v>0</v>
      </c>
      <c r="Q8" s="225" t="s">
        <v>16</v>
      </c>
      <c r="R8" s="224">
        <v>0</v>
      </c>
      <c r="S8" s="243" t="s">
        <v>16</v>
      </c>
      <c r="T8" s="226" t="s">
        <v>2692</v>
      </c>
      <c r="U8" s="226" t="s">
        <v>2693</v>
      </c>
      <c r="V8" s="227">
        <v>340</v>
      </c>
      <c r="W8" s="228" t="s">
        <v>16</v>
      </c>
      <c r="X8" s="228" t="s">
        <v>16</v>
      </c>
      <c r="Y8" s="228" t="s">
        <v>16</v>
      </c>
      <c r="Z8" s="254">
        <f>340</f>
        <v>340</v>
      </c>
      <c r="AA8" s="240">
        <v>85</v>
      </c>
      <c r="AB8" s="240">
        <f t="shared" si="1"/>
        <v>425</v>
      </c>
      <c r="AC8" s="230" t="s">
        <v>304</v>
      </c>
      <c r="AD8" s="242" t="s">
        <v>16</v>
      </c>
      <c r="AE8" s="231">
        <v>44950</v>
      </c>
      <c r="AF8" s="219" t="s">
        <v>2694</v>
      </c>
      <c r="AG8" s="232">
        <v>62.25</v>
      </c>
      <c r="AH8" s="232">
        <v>62.25</v>
      </c>
      <c r="AI8" s="245" t="s">
        <v>304</v>
      </c>
      <c r="AJ8" s="223">
        <v>103127</v>
      </c>
      <c r="AK8" s="234">
        <v>45012</v>
      </c>
      <c r="AL8" s="255" t="s">
        <v>2695</v>
      </c>
    </row>
    <row r="9" spans="1:38" s="236" customFormat="1" ht="40.950000000000003" customHeight="1" x14ac:dyDescent="0.3">
      <c r="A9" s="257">
        <v>44944</v>
      </c>
      <c r="B9" s="224" t="s">
        <v>2696</v>
      </c>
      <c r="C9" s="218" t="s">
        <v>2487</v>
      </c>
      <c r="D9" s="222" t="str">
        <f>VLOOKUP($C9,Customers!$A$2:$Z$1010,2,FALSE)</f>
        <v>Kim Cuddington</v>
      </c>
      <c r="E9" s="583" t="s">
        <v>2058</v>
      </c>
      <c r="F9" s="222" t="str">
        <f xml:space="preserve"> VLOOKUP($C9,Customers!$A$2:$Z$1010,5,FALSE)</f>
        <v>University of Waterloo</v>
      </c>
      <c r="G9" s="222" t="str">
        <f>VLOOKUP($C9,Customers!$A$2:$Z$1010,10,FALSE) &amp; ", " &amp; VLOOKUP($C9,Customers!$A$2:$Z$1010,11,FALSE)</f>
        <v>Waterloo, ON</v>
      </c>
      <c r="H9" s="222" t="str">
        <f>VLOOKUP($C9,Customers!$A$2:$Z$1010,13,FALSE)</f>
        <v>Canada</v>
      </c>
      <c r="I9" s="222" t="str">
        <f>VLOOKUP($C9,Customers!$A$2:$Z$1010,18,FALSE)</f>
        <v>CA</v>
      </c>
      <c r="J9" s="223" t="s">
        <v>306</v>
      </c>
      <c r="K9" s="243" t="s">
        <v>16</v>
      </c>
      <c r="L9" s="251">
        <v>0</v>
      </c>
      <c r="M9" s="224">
        <v>0</v>
      </c>
      <c r="N9" s="251">
        <v>0</v>
      </c>
      <c r="O9" s="224" t="s">
        <v>371</v>
      </c>
      <c r="P9" s="224">
        <v>4</v>
      </c>
      <c r="Q9" s="225" t="s">
        <v>16</v>
      </c>
      <c r="R9" s="224">
        <v>0</v>
      </c>
      <c r="S9" s="224" t="s">
        <v>16</v>
      </c>
      <c r="T9" s="226" t="s">
        <v>422</v>
      </c>
      <c r="U9" s="226" t="s">
        <v>339</v>
      </c>
      <c r="V9" s="228" t="s">
        <v>16</v>
      </c>
      <c r="W9" s="227">
        <f>50*4</f>
        <v>200</v>
      </c>
      <c r="X9" s="228" t="s">
        <v>16</v>
      </c>
      <c r="Y9" s="228" t="s">
        <v>16</v>
      </c>
      <c r="Z9" s="229">
        <f>50*4</f>
        <v>200</v>
      </c>
      <c r="AA9" s="230" t="s">
        <v>308</v>
      </c>
      <c r="AB9" s="240">
        <f t="shared" si="1"/>
        <v>200</v>
      </c>
      <c r="AC9" s="230" t="s">
        <v>304</v>
      </c>
      <c r="AD9" s="242" t="s">
        <v>16</v>
      </c>
      <c r="AE9" s="231">
        <v>44949</v>
      </c>
      <c r="AF9" s="256" t="s">
        <v>423</v>
      </c>
      <c r="AG9" s="232" t="s">
        <v>308</v>
      </c>
      <c r="AH9" s="232" t="s">
        <v>308</v>
      </c>
      <c r="AI9" s="223" t="s">
        <v>308</v>
      </c>
      <c r="AJ9" s="218" t="s">
        <v>308</v>
      </c>
      <c r="AK9" s="257">
        <v>45022</v>
      </c>
      <c r="AL9" s="252" t="s">
        <v>2697</v>
      </c>
    </row>
    <row r="10" spans="1:38" s="236" customFormat="1" ht="39.6" x14ac:dyDescent="0.3">
      <c r="A10" s="257">
        <v>44945</v>
      </c>
      <c r="B10" s="224" t="s">
        <v>2698</v>
      </c>
      <c r="C10" s="218" t="s">
        <v>1038</v>
      </c>
      <c r="D10" s="222" t="str">
        <f>VLOOKUP($C10,Customers!$A$2:$Z$1010,2,FALSE)</f>
        <v>Janetta Fraser</v>
      </c>
      <c r="E10" s="583" t="s">
        <v>16</v>
      </c>
      <c r="F10" s="222" t="str">
        <f xml:space="preserve"> VLOOKUP($C10,Customers!$A$2:$Z$1010,5,FALSE)</f>
        <v>Harris Industrial Testing Service Ltd. (HITS)</v>
      </c>
      <c r="G10" s="222" t="str">
        <f>VLOOKUP($C10,Customers!$A$2:$Z$1010,10,FALSE) &amp; ", " &amp; VLOOKUP($C10,Customers!$A$2:$Z$1010,11,FALSE)</f>
        <v>Waverley, NS</v>
      </c>
      <c r="H10" s="222" t="str">
        <f>VLOOKUP($C10,Customers!$A$2:$Z$1010,13,FALSE)</f>
        <v>Canada</v>
      </c>
      <c r="I10" s="222" t="str">
        <f>VLOOKUP($C10,Customers!$A$2:$Z$1010,18,FALSE)</f>
        <v>CC</v>
      </c>
      <c r="J10" s="223" t="s">
        <v>306</v>
      </c>
      <c r="K10" s="224">
        <v>266</v>
      </c>
      <c r="L10" s="223">
        <v>1</v>
      </c>
      <c r="M10" s="224">
        <v>30</v>
      </c>
      <c r="N10" s="223">
        <f>2</f>
        <v>2</v>
      </c>
      <c r="O10" s="225" t="s">
        <v>16</v>
      </c>
      <c r="P10" s="224">
        <v>0</v>
      </c>
      <c r="Q10" s="225" t="s">
        <v>16</v>
      </c>
      <c r="R10" s="224">
        <v>0</v>
      </c>
      <c r="S10" s="224" t="s">
        <v>16</v>
      </c>
      <c r="T10" s="226" t="s">
        <v>2699</v>
      </c>
      <c r="U10" s="226" t="s">
        <v>2700</v>
      </c>
      <c r="V10" s="227">
        <f>200+60</f>
        <v>260</v>
      </c>
      <c r="W10" s="228" t="s">
        <v>16</v>
      </c>
      <c r="X10" s="228" t="s">
        <v>16</v>
      </c>
      <c r="Y10" s="228" t="s">
        <v>16</v>
      </c>
      <c r="Z10" s="230">
        <f>200+60</f>
        <v>260</v>
      </c>
      <c r="AA10" s="230">
        <v>30</v>
      </c>
      <c r="AB10" s="230">
        <f>SUM(Z10:AA10)</f>
        <v>290</v>
      </c>
      <c r="AC10" s="230" t="s">
        <v>304</v>
      </c>
      <c r="AD10" s="652" t="s">
        <v>16</v>
      </c>
      <c r="AE10" s="231">
        <v>44956</v>
      </c>
      <c r="AF10" s="219" t="s">
        <v>2701</v>
      </c>
      <c r="AG10" s="232">
        <v>24.82</v>
      </c>
      <c r="AH10" s="232">
        <v>26.69</v>
      </c>
      <c r="AI10" s="258" t="s">
        <v>304</v>
      </c>
      <c r="AJ10" s="233">
        <v>103252</v>
      </c>
      <c r="AK10" s="231">
        <v>45012</v>
      </c>
      <c r="AL10" s="255" t="s">
        <v>2702</v>
      </c>
    </row>
    <row r="11" spans="1:38" s="236" customFormat="1" ht="39.6" x14ac:dyDescent="0.3">
      <c r="A11" s="250">
        <v>44946</v>
      </c>
      <c r="B11" s="218" t="s">
        <v>2703</v>
      </c>
      <c r="C11" s="218" t="s">
        <v>2452</v>
      </c>
      <c r="D11" s="222" t="str">
        <f>VLOOKUP($C11,Customers!$A$2:$Z$1010,2,FALSE)</f>
        <v>Frederic Ors</v>
      </c>
      <c r="E11" s="583" t="s">
        <v>16</v>
      </c>
      <c r="F11" s="222" t="str">
        <f xml:space="preserve"> VLOOKUP($C11,Customers!$A$2:$Z$1010,5,FALSE)</f>
        <v>Home Address - Ors Residence</v>
      </c>
      <c r="G11" s="222" t="str">
        <f>VLOOKUP($C11,Customers!$A$2:$Z$1010,10,FALSE) &amp; ", " &amp; VLOOKUP($C11,Customers!$A$2:$Z$1010,11,FALSE)</f>
        <v>Quebec, QC</v>
      </c>
      <c r="H11" s="222" t="str">
        <f>VLOOKUP($C11,Customers!$A$2:$Z$1010,13,FALSE)</f>
        <v>Canada</v>
      </c>
      <c r="I11" s="222" t="str">
        <f>VLOOKUP($C11,Customers!$A$2:$Z$1010,18,FALSE)</f>
        <v>CA</v>
      </c>
      <c r="J11" s="223" t="s">
        <v>304</v>
      </c>
      <c r="K11" s="224" t="s">
        <v>2704</v>
      </c>
      <c r="L11" s="259">
        <v>2</v>
      </c>
      <c r="M11" s="224" t="s">
        <v>1973</v>
      </c>
      <c r="N11" s="259">
        <f>1+1</f>
        <v>2</v>
      </c>
      <c r="O11" s="243" t="s">
        <v>16</v>
      </c>
      <c r="P11" s="224">
        <v>0</v>
      </c>
      <c r="Q11" s="224" t="s">
        <v>401</v>
      </c>
      <c r="R11" s="224">
        <v>1000</v>
      </c>
      <c r="S11" s="224" t="s">
        <v>16</v>
      </c>
      <c r="T11" s="226" t="s">
        <v>2705</v>
      </c>
      <c r="U11" s="226" t="s">
        <v>2706</v>
      </c>
      <c r="V11" s="227">
        <f>120*2</f>
        <v>240</v>
      </c>
      <c r="W11" s="228" t="s">
        <v>16</v>
      </c>
      <c r="X11" s="228">
        <v>80</v>
      </c>
      <c r="Y11" s="228" t="s">
        <v>16</v>
      </c>
      <c r="Z11" s="240">
        <f>120*2+80</f>
        <v>320</v>
      </c>
      <c r="AA11" s="240">
        <v>25</v>
      </c>
      <c r="AB11" s="240">
        <f t="shared" ref="AB11" si="2">SUM(Z11:AA11)</f>
        <v>345</v>
      </c>
      <c r="AC11" s="230" t="s">
        <v>304</v>
      </c>
      <c r="AD11" s="242" t="s">
        <v>16</v>
      </c>
      <c r="AE11" s="231">
        <v>44964</v>
      </c>
      <c r="AF11" s="219" t="s">
        <v>2707</v>
      </c>
      <c r="AG11" s="232">
        <v>6.68</v>
      </c>
      <c r="AH11" s="232">
        <v>6.47</v>
      </c>
      <c r="AI11" s="239" t="s">
        <v>304</v>
      </c>
      <c r="AJ11" s="233">
        <v>110457</v>
      </c>
      <c r="AK11" s="231">
        <v>45012</v>
      </c>
      <c r="AL11" s="255" t="s">
        <v>2708</v>
      </c>
    </row>
    <row r="12" spans="1:38" s="236" customFormat="1" ht="79.2" x14ac:dyDescent="0.3">
      <c r="A12" s="257">
        <v>44951</v>
      </c>
      <c r="B12" s="248" t="s">
        <v>2709</v>
      </c>
      <c r="C12" s="218" t="s">
        <v>2561</v>
      </c>
      <c r="D12" s="222" t="str">
        <f>VLOOKUP($C12,Customers!$A$2:$Z$1010,2,FALSE)</f>
        <v>Timothy (Tim) Tse</v>
      </c>
      <c r="E12" s="583" t="s">
        <v>16</v>
      </c>
      <c r="F12" s="222" t="str">
        <f xml:space="preserve"> VLOOKUP($C12,Customers!$A$2:$Z$1010,5,FALSE)</f>
        <v>Saskatchewan Research Council (SRC)</v>
      </c>
      <c r="G12" s="222" t="str">
        <f>VLOOKUP($C12,Customers!$A$2:$Z$1010,10,FALSE) &amp; ", " &amp; VLOOKUP($C12,Customers!$A$2:$Z$1010,11,FALSE)</f>
        <v>Saskatoon, SK</v>
      </c>
      <c r="H12" s="222" t="str">
        <f>VLOOKUP($C12,Customers!$A$2:$Z$1010,13,FALSE)</f>
        <v>Canada</v>
      </c>
      <c r="I12" s="222" t="str">
        <f>VLOOKUP($C12,Customers!$A$2:$Z$1010,18,FALSE)</f>
        <v>CG</v>
      </c>
      <c r="J12" s="218" t="s">
        <v>306</v>
      </c>
      <c r="K12" s="224">
        <v>490</v>
      </c>
      <c r="L12" s="259">
        <v>1</v>
      </c>
      <c r="M12" s="224">
        <v>50</v>
      </c>
      <c r="N12" s="259">
        <f>2</f>
        <v>2</v>
      </c>
      <c r="O12" s="225" t="s">
        <v>16</v>
      </c>
      <c r="P12" s="224">
        <v>0</v>
      </c>
      <c r="Q12" s="225" t="s">
        <v>16</v>
      </c>
      <c r="R12" s="224">
        <v>0</v>
      </c>
      <c r="S12" s="224" t="s">
        <v>16</v>
      </c>
      <c r="T12" s="226" t="s">
        <v>2710</v>
      </c>
      <c r="U12" s="226" t="s">
        <v>2711</v>
      </c>
      <c r="V12" s="227">
        <v>160</v>
      </c>
      <c r="W12" s="228" t="s">
        <v>16</v>
      </c>
      <c r="X12" s="228" t="s">
        <v>16</v>
      </c>
      <c r="Y12" s="228" t="s">
        <v>16</v>
      </c>
      <c r="Z12" s="240">
        <f>160</f>
        <v>160</v>
      </c>
      <c r="AA12" s="240">
        <v>30</v>
      </c>
      <c r="AB12" s="230">
        <f>SUM(Z12:AA12)</f>
        <v>190</v>
      </c>
      <c r="AC12" s="230" t="s">
        <v>304</v>
      </c>
      <c r="AD12" s="242" t="s">
        <v>2712</v>
      </c>
      <c r="AE12" s="231">
        <v>44964</v>
      </c>
      <c r="AF12" s="219" t="s">
        <v>2713</v>
      </c>
      <c r="AG12" s="232">
        <v>26.33</v>
      </c>
      <c r="AH12" s="232">
        <v>25.49</v>
      </c>
      <c r="AI12" s="258" t="s">
        <v>304</v>
      </c>
      <c r="AJ12" s="223">
        <v>106158</v>
      </c>
      <c r="AK12" s="231">
        <v>45012</v>
      </c>
      <c r="AL12" s="260" t="s">
        <v>2714</v>
      </c>
    </row>
    <row r="13" spans="1:38" s="236" customFormat="1" ht="39.6" x14ac:dyDescent="0.3">
      <c r="A13" s="257">
        <v>44953</v>
      </c>
      <c r="B13" s="218" t="s">
        <v>2715</v>
      </c>
      <c r="C13" s="218" t="s">
        <v>1042</v>
      </c>
      <c r="D13" s="222" t="str">
        <f>VLOOKUP($C13,Customers!$A$2:$Z$1010,2,FALSE)</f>
        <v>Jon Stone</v>
      </c>
      <c r="E13" s="583" t="s">
        <v>16</v>
      </c>
      <c r="F13" s="222" t="str">
        <f xml:space="preserve"> VLOOKUP($C13,Customers!$A$2:$Z$1010,5,FALSE)</f>
        <v>McMaster University</v>
      </c>
      <c r="G13" s="222" t="str">
        <f>VLOOKUP($C13,Customers!$A$2:$Z$1010,10,FALSE) &amp; ", " &amp; VLOOKUP($C13,Customers!$A$2:$Z$1010,11,FALSE)</f>
        <v>Hamilton, ON</v>
      </c>
      <c r="H13" s="222" t="str">
        <f>VLOOKUP($C13,Customers!$A$2:$Z$1010,13,FALSE)</f>
        <v>Canada</v>
      </c>
      <c r="I13" s="222" t="str">
        <f>VLOOKUP($C13,Customers!$A$2:$Z$1010,18,FALSE)</f>
        <v>CA</v>
      </c>
      <c r="J13" s="223" t="s">
        <v>306</v>
      </c>
      <c r="K13" s="224">
        <v>420</v>
      </c>
      <c r="L13" s="259">
        <v>1</v>
      </c>
      <c r="M13" s="224">
        <v>30</v>
      </c>
      <c r="N13" s="259">
        <f>1</f>
        <v>1</v>
      </c>
      <c r="O13" s="224" t="s">
        <v>352</v>
      </c>
      <c r="P13" s="224">
        <v>1</v>
      </c>
      <c r="Q13" s="225" t="s">
        <v>16</v>
      </c>
      <c r="R13" s="224">
        <v>0</v>
      </c>
      <c r="S13" s="224" t="s">
        <v>16</v>
      </c>
      <c r="T13" s="226" t="s">
        <v>2716</v>
      </c>
      <c r="U13" s="226" t="s">
        <v>2717</v>
      </c>
      <c r="V13" s="227">
        <v>160</v>
      </c>
      <c r="W13" s="227">
        <v>65</v>
      </c>
      <c r="X13" s="228" t="s">
        <v>16</v>
      </c>
      <c r="Y13" s="228" t="s">
        <v>16</v>
      </c>
      <c r="Z13" s="240">
        <f>160+65</f>
        <v>225</v>
      </c>
      <c r="AA13" s="240">
        <v>25</v>
      </c>
      <c r="AB13" s="241">
        <f>SUM(Z13:AA13)</f>
        <v>250</v>
      </c>
      <c r="AC13" s="230" t="s">
        <v>304</v>
      </c>
      <c r="AD13" s="242" t="s">
        <v>16</v>
      </c>
      <c r="AE13" s="231">
        <v>44964</v>
      </c>
      <c r="AF13" s="219" t="s">
        <v>2718</v>
      </c>
      <c r="AG13" s="232">
        <v>7.13</v>
      </c>
      <c r="AH13" s="232">
        <v>6.52</v>
      </c>
      <c r="AI13" s="245" t="s">
        <v>304</v>
      </c>
      <c r="AJ13" s="223">
        <v>106747</v>
      </c>
      <c r="AK13" s="231">
        <v>45012</v>
      </c>
      <c r="AL13" s="252" t="s">
        <v>2719</v>
      </c>
    </row>
    <row r="14" spans="1:38" s="604" customFormat="1" ht="17.399999999999999" x14ac:dyDescent="0.3">
      <c r="A14" s="588" t="s">
        <v>2720</v>
      </c>
      <c r="B14" s="589"/>
      <c r="C14" s="589"/>
      <c r="D14" s="593"/>
      <c r="E14" s="590"/>
      <c r="F14" s="591"/>
      <c r="G14" s="591"/>
      <c r="H14" s="592"/>
      <c r="I14" s="592"/>
      <c r="J14" s="593"/>
      <c r="K14" s="593"/>
      <c r="L14" s="593"/>
      <c r="M14" s="594"/>
      <c r="N14" s="595"/>
      <c r="O14" s="596"/>
      <c r="P14" s="597"/>
      <c r="Q14" s="597"/>
      <c r="R14" s="597"/>
      <c r="S14" s="598"/>
      <c r="T14" s="599"/>
      <c r="U14" s="650"/>
      <c r="V14" s="606"/>
      <c r="W14" s="601"/>
      <c r="X14" s="601"/>
      <c r="Y14" s="598"/>
      <c r="Z14" s="595"/>
      <c r="AA14" s="602"/>
      <c r="AB14" s="603"/>
      <c r="AD14" s="653"/>
      <c r="AG14" s="605"/>
      <c r="AH14" s="605"/>
    </row>
    <row r="15" spans="1:38" s="281" customFormat="1" ht="36.6" customHeight="1" thickBot="1" x14ac:dyDescent="0.35">
      <c r="A15" s="297">
        <v>44956</v>
      </c>
      <c r="B15" s="261" t="s">
        <v>2721</v>
      </c>
      <c r="C15" s="262" t="s">
        <v>1045</v>
      </c>
      <c r="D15" s="264" t="str">
        <f>VLOOKUP($C15,Customers!$A$2:$Z$1010,2,FALSE)</f>
        <v>Adam Wartman</v>
      </c>
      <c r="E15" s="584" t="s">
        <v>16</v>
      </c>
      <c r="F15" s="264" t="str">
        <f xml:space="preserve"> VLOOKUP($C15,Customers!$A$2:$Z$1010,5,FALSE)</f>
        <v>Nautilus Environmental Company Inc. - Guelph</v>
      </c>
      <c r="G15" s="264" t="str">
        <f>VLOOKUP($C15,Customers!$A$2:$Z$1010,10,FALSE) &amp; ", " &amp; VLOOKUP($C15,Customers!$A$2:$Z$1010,11,FALSE)</f>
        <v>Puslinch, ON</v>
      </c>
      <c r="H15" s="264" t="str">
        <f>VLOOKUP($C15,Customers!$A$2:$Z$1010,13,FALSE)</f>
        <v>Canada</v>
      </c>
      <c r="I15" s="264" t="str">
        <f>VLOOKUP($C15,Customers!$A$2:$Z$1010,18,FALSE)</f>
        <v>CC</v>
      </c>
      <c r="J15" s="265" t="s">
        <v>306</v>
      </c>
      <c r="K15" s="266" t="s">
        <v>16</v>
      </c>
      <c r="L15" s="267">
        <v>0</v>
      </c>
      <c r="M15" s="261">
        <v>0</v>
      </c>
      <c r="N15" s="267">
        <v>0</v>
      </c>
      <c r="O15" s="268" t="s">
        <v>16</v>
      </c>
      <c r="P15" s="261">
        <v>0</v>
      </c>
      <c r="Q15" s="261" t="s">
        <v>318</v>
      </c>
      <c r="R15" s="261">
        <v>1000</v>
      </c>
      <c r="S15" s="261" t="s">
        <v>16</v>
      </c>
      <c r="T15" s="269" t="s">
        <v>2722</v>
      </c>
      <c r="U15" s="269" t="s">
        <v>2723</v>
      </c>
      <c r="V15" s="270" t="s">
        <v>16</v>
      </c>
      <c r="W15" s="270" t="s">
        <v>16</v>
      </c>
      <c r="X15" s="271">
        <v>375</v>
      </c>
      <c r="Y15" s="270" t="s">
        <v>16</v>
      </c>
      <c r="Z15" s="272">
        <f>365+10</f>
        <v>375</v>
      </c>
      <c r="AA15" s="273">
        <v>25</v>
      </c>
      <c r="AB15" s="273">
        <f t="shared" ref="AB15" si="3">SUM(Z15:AA15)</f>
        <v>400</v>
      </c>
      <c r="AC15" s="274" t="s">
        <v>304</v>
      </c>
      <c r="AD15" s="654" t="s">
        <v>16</v>
      </c>
      <c r="AE15" s="276">
        <v>44964</v>
      </c>
      <c r="AF15" s="263" t="s">
        <v>2724</v>
      </c>
      <c r="AG15" s="277">
        <v>5.9</v>
      </c>
      <c r="AH15" s="277">
        <v>5.4</v>
      </c>
      <c r="AI15" s="278" t="s">
        <v>304</v>
      </c>
      <c r="AJ15" s="279">
        <v>102886</v>
      </c>
      <c r="AK15" s="276">
        <v>45012</v>
      </c>
      <c r="AL15" s="280" t="s">
        <v>2725</v>
      </c>
    </row>
    <row r="16" spans="1:38" s="236" customFormat="1" ht="39.6" x14ac:dyDescent="0.3">
      <c r="A16" s="257">
        <v>44963</v>
      </c>
      <c r="B16" s="224" t="s">
        <v>3977</v>
      </c>
      <c r="C16" s="218" t="s">
        <v>1053</v>
      </c>
      <c r="D16" s="222" t="str">
        <f>VLOOKUP($C16,Customers!$A$2:$Z$1010,2,FALSE)</f>
        <v>Katherine Raes</v>
      </c>
      <c r="E16" s="583" t="s">
        <v>16</v>
      </c>
      <c r="F16" s="222" t="str">
        <f xml:space="preserve"> VLOOKUP($C16,Customers!$A$2:$Z$1010,5,FALSE)</f>
        <v>University of Saskatchewan</v>
      </c>
      <c r="G16" s="222" t="str">
        <f>VLOOKUP($C16,Customers!$A$2:$Z$1010,10,FALSE) &amp; ", " &amp; VLOOKUP($C16,Customers!$A$2:$Z$1010,11,FALSE)</f>
        <v>Saskatoon, SK</v>
      </c>
      <c r="H16" s="222" t="str">
        <f>VLOOKUP($C16,Customers!$A$2:$Z$1010,13,FALSE)</f>
        <v>Canada</v>
      </c>
      <c r="I16" s="222" t="str">
        <f>VLOOKUP($C16,Customers!$A$2:$Z$1010,18,FALSE)</f>
        <v>CA</v>
      </c>
      <c r="J16" s="1168" t="s">
        <v>306</v>
      </c>
      <c r="K16" s="224" t="s">
        <v>2726</v>
      </c>
      <c r="L16" s="224">
        <v>2</v>
      </c>
      <c r="M16" s="224" t="s">
        <v>1973</v>
      </c>
      <c r="N16" s="665">
        <f>1+1</f>
        <v>2</v>
      </c>
      <c r="O16" s="225" t="s">
        <v>16</v>
      </c>
      <c r="P16" s="224">
        <v>0</v>
      </c>
      <c r="Q16" s="225" t="s">
        <v>16</v>
      </c>
      <c r="R16" s="224">
        <v>0</v>
      </c>
      <c r="S16" s="224" t="s">
        <v>16</v>
      </c>
      <c r="T16" s="226" t="s">
        <v>2727</v>
      </c>
      <c r="U16" s="226" t="s">
        <v>1138</v>
      </c>
      <c r="V16" s="227">
        <f>135*2</f>
        <v>270</v>
      </c>
      <c r="W16" s="228" t="s">
        <v>16</v>
      </c>
      <c r="X16" s="228" t="s">
        <v>16</v>
      </c>
      <c r="Y16" s="228" t="s">
        <v>16</v>
      </c>
      <c r="Z16" s="240">
        <f>135*2</f>
        <v>270</v>
      </c>
      <c r="AA16" s="240">
        <v>40</v>
      </c>
      <c r="AB16" s="1140">
        <f>SUM(Z16:AA17)</f>
        <v>350</v>
      </c>
      <c r="AC16" s="230" t="s">
        <v>304</v>
      </c>
      <c r="AD16" s="242" t="s">
        <v>16</v>
      </c>
      <c r="AE16" s="231">
        <v>44986</v>
      </c>
      <c r="AF16" s="219" t="s">
        <v>2728</v>
      </c>
      <c r="AG16" s="232">
        <v>30.65</v>
      </c>
      <c r="AH16" s="232">
        <v>29.67</v>
      </c>
      <c r="AI16" s="1152" t="s">
        <v>304</v>
      </c>
      <c r="AJ16" s="1125">
        <v>103813</v>
      </c>
      <c r="AK16" s="737">
        <v>45044</v>
      </c>
      <c r="AL16" s="1145" t="s">
        <v>2729</v>
      </c>
    </row>
    <row r="17" spans="1:38" s="236" customFormat="1" ht="39.6" x14ac:dyDescent="0.3">
      <c r="A17" s="257">
        <v>44963</v>
      </c>
      <c r="B17" s="224" t="s">
        <v>3978</v>
      </c>
      <c r="C17" s="218" t="s">
        <v>1053</v>
      </c>
      <c r="D17" s="222" t="str">
        <f>VLOOKUP($C17,Customers!$A$2:$Z$1010,2,FALSE)</f>
        <v>Katherine Raes</v>
      </c>
      <c r="E17" s="583" t="s">
        <v>16</v>
      </c>
      <c r="F17" s="222" t="str">
        <f xml:space="preserve"> VLOOKUP($C17,Customers!$A$2:$Z$1010,5,FALSE)</f>
        <v>University of Saskatchewan</v>
      </c>
      <c r="G17" s="222" t="str">
        <f>VLOOKUP($C17,Customers!$A$2:$Z$1010,10,FALSE) &amp; ", " &amp; VLOOKUP($C17,Customers!$A$2:$Z$1010,11,FALSE)</f>
        <v>Saskatoon, SK</v>
      </c>
      <c r="H17" s="222" t="str">
        <f>VLOOKUP($C17,Customers!$A$2:$Z$1010,13,FALSE)</f>
        <v>Canada</v>
      </c>
      <c r="I17" s="222" t="str">
        <f>VLOOKUP($C17,Customers!$A$2:$Z$1010,18,FALSE)</f>
        <v>CA</v>
      </c>
      <c r="J17" s="1168"/>
      <c r="K17" s="243" t="s">
        <v>16</v>
      </c>
      <c r="L17" s="243" t="s">
        <v>16</v>
      </c>
      <c r="M17" s="243" t="s">
        <v>16</v>
      </c>
      <c r="N17" s="666" t="s">
        <v>16</v>
      </c>
      <c r="O17" s="225" t="s">
        <v>16</v>
      </c>
      <c r="P17" s="224">
        <v>0</v>
      </c>
      <c r="Q17" s="225" t="s">
        <v>16</v>
      </c>
      <c r="R17" s="224">
        <v>0</v>
      </c>
      <c r="S17" s="224" t="s">
        <v>16</v>
      </c>
      <c r="T17" s="226" t="s">
        <v>2730</v>
      </c>
      <c r="U17" s="226" t="s">
        <v>2731</v>
      </c>
      <c r="V17" s="228">
        <v>0</v>
      </c>
      <c r="W17" s="228" t="s">
        <v>16</v>
      </c>
      <c r="X17" s="228" t="s">
        <v>16</v>
      </c>
      <c r="Y17" s="228" t="s">
        <v>16</v>
      </c>
      <c r="Z17" s="240">
        <v>0</v>
      </c>
      <c r="AA17" s="240">
        <v>40</v>
      </c>
      <c r="AB17" s="1140"/>
      <c r="AC17" s="230" t="s">
        <v>304</v>
      </c>
      <c r="AD17" s="242" t="s">
        <v>16</v>
      </c>
      <c r="AE17" s="231">
        <v>45026</v>
      </c>
      <c r="AF17" s="219" t="s">
        <v>2732</v>
      </c>
      <c r="AG17" s="232">
        <v>30.65</v>
      </c>
      <c r="AH17" s="232">
        <v>29.67</v>
      </c>
      <c r="AI17" s="1152"/>
      <c r="AJ17" s="1125"/>
      <c r="AK17" s="737">
        <v>45044</v>
      </c>
      <c r="AL17" s="1145"/>
    </row>
    <row r="18" spans="1:38" s="236" customFormat="1" ht="52.8" x14ac:dyDescent="0.3">
      <c r="A18" s="257">
        <v>44967</v>
      </c>
      <c r="B18" s="224" t="s">
        <v>2733</v>
      </c>
      <c r="C18" s="222" t="s">
        <v>2454</v>
      </c>
      <c r="D18" s="222" t="str">
        <f>VLOOKUP($C18,Customers!$A$2:$Z$1010,2,FALSE)</f>
        <v>Houda Hanana</v>
      </c>
      <c r="E18" s="583" t="s">
        <v>16</v>
      </c>
      <c r="F18" s="222" t="str">
        <f xml:space="preserve"> VLOOKUP($C18,Customers!$A$2:$Z$1010,5,FALSE)</f>
        <v>Environment and Climate Change Canada (ECCC) - Aquatic Contaminants Research Division (ACRD)</v>
      </c>
      <c r="G18" s="222" t="str">
        <f>VLOOKUP($C18,Customers!$A$2:$Z$1010,10,FALSE) &amp; ", " &amp; VLOOKUP($C18,Customers!$A$2:$Z$1010,11,FALSE)</f>
        <v>Montreal, QC</v>
      </c>
      <c r="H18" s="222" t="str">
        <f>VLOOKUP($C18,Customers!$A$2:$Z$1010,13,FALSE)</f>
        <v>Canada</v>
      </c>
      <c r="I18" s="222" t="str">
        <f>VLOOKUP($C18,Customers!$A$2:$Z$1010,18,FALSE)</f>
        <v>CG</v>
      </c>
      <c r="J18" s="257" t="s">
        <v>306</v>
      </c>
      <c r="K18" s="224">
        <v>532</v>
      </c>
      <c r="L18" s="224">
        <v>1</v>
      </c>
      <c r="M18" s="224">
        <v>30</v>
      </c>
      <c r="N18" s="224">
        <f>2</f>
        <v>2</v>
      </c>
      <c r="O18" s="225" t="s">
        <v>16</v>
      </c>
      <c r="P18" s="224">
        <v>0</v>
      </c>
      <c r="Q18" s="225" t="s">
        <v>16</v>
      </c>
      <c r="R18" s="224">
        <v>0</v>
      </c>
      <c r="S18" s="224" t="s">
        <v>16</v>
      </c>
      <c r="T18" s="226" t="s">
        <v>2734</v>
      </c>
      <c r="U18" s="226" t="s">
        <v>2735</v>
      </c>
      <c r="V18" s="227">
        <v>175</v>
      </c>
      <c r="W18" s="228" t="s">
        <v>16</v>
      </c>
      <c r="X18" s="228" t="s">
        <v>16</v>
      </c>
      <c r="Y18" s="228" t="s">
        <v>16</v>
      </c>
      <c r="Z18" s="229">
        <f>175</f>
        <v>175</v>
      </c>
      <c r="AA18" s="240">
        <v>25</v>
      </c>
      <c r="AB18" s="282">
        <f>SUM(Z18:AA18)</f>
        <v>200</v>
      </c>
      <c r="AC18" s="230" t="s">
        <v>304</v>
      </c>
      <c r="AD18" s="243" t="s">
        <v>2736</v>
      </c>
      <c r="AE18" s="231">
        <v>44991</v>
      </c>
      <c r="AF18" s="219" t="s">
        <v>2737</v>
      </c>
      <c r="AG18" s="232">
        <v>6.68</v>
      </c>
      <c r="AH18" s="232">
        <v>6.47</v>
      </c>
      <c r="AI18" s="257" t="s">
        <v>304</v>
      </c>
      <c r="AJ18" s="218">
        <v>103161</v>
      </c>
      <c r="AK18" s="238">
        <v>44998</v>
      </c>
      <c r="AL18" s="252" t="s">
        <v>2738</v>
      </c>
    </row>
    <row r="19" spans="1:38" s="236" customFormat="1" ht="52.8" x14ac:dyDescent="0.3">
      <c r="A19" s="257">
        <v>44972</v>
      </c>
      <c r="B19" s="218" t="s">
        <v>2739</v>
      </c>
      <c r="C19" s="222" t="s">
        <v>2562</v>
      </c>
      <c r="D19" s="222" t="str">
        <f>VLOOKUP($C19,Customers!$A$2:$Z$1010,2,FALSE)</f>
        <v>Vaughn Mangal</v>
      </c>
      <c r="E19" s="583" t="s">
        <v>16</v>
      </c>
      <c r="F19" s="222" t="str">
        <f xml:space="preserve"> VLOOKUP($C19,Customers!$A$2:$Z$1010,5,FALSE)</f>
        <v>Brock University</v>
      </c>
      <c r="G19" s="222" t="str">
        <f>VLOOKUP($C19,Customers!$A$2:$Z$1010,10,FALSE) &amp; ", " &amp; VLOOKUP($C19,Customers!$A$2:$Z$1010,11,FALSE)</f>
        <v>St. Catharines, ON</v>
      </c>
      <c r="H19" s="222" t="str">
        <f>VLOOKUP($C19,Customers!$A$2:$Z$1010,13,FALSE)</f>
        <v>Canada</v>
      </c>
      <c r="I19" s="222" t="str">
        <f>VLOOKUP($C19,Customers!$A$2:$Z$1010,18,FALSE)</f>
        <v>CA</v>
      </c>
      <c r="J19" s="218" t="s">
        <v>304</v>
      </c>
      <c r="K19" s="224" t="s">
        <v>2740</v>
      </c>
      <c r="L19" s="224">
        <v>2</v>
      </c>
      <c r="M19" s="224" t="s">
        <v>1978</v>
      </c>
      <c r="N19" s="224">
        <f>1+1</f>
        <v>2</v>
      </c>
      <c r="O19" s="224" t="s">
        <v>307</v>
      </c>
      <c r="P19" s="224">
        <v>1</v>
      </c>
      <c r="Q19" s="225" t="s">
        <v>16</v>
      </c>
      <c r="R19" s="224">
        <v>0</v>
      </c>
      <c r="S19" s="224" t="s">
        <v>16</v>
      </c>
      <c r="T19" s="226" t="s">
        <v>2741</v>
      </c>
      <c r="U19" s="226" t="s">
        <v>2742</v>
      </c>
      <c r="V19" s="227">
        <f>175*2</f>
        <v>350</v>
      </c>
      <c r="W19" s="227">
        <v>65</v>
      </c>
      <c r="X19" s="228" t="s">
        <v>16</v>
      </c>
      <c r="Y19" s="228" t="s">
        <v>16</v>
      </c>
      <c r="Z19" s="240">
        <f>175*2+65</f>
        <v>415</v>
      </c>
      <c r="AA19" s="240">
        <v>25</v>
      </c>
      <c r="AB19" s="282">
        <f>SUM(Z19:AA19)</f>
        <v>440</v>
      </c>
      <c r="AC19" s="230" t="s">
        <v>304</v>
      </c>
      <c r="AD19" s="242" t="s">
        <v>16</v>
      </c>
      <c r="AE19" s="231">
        <v>44985</v>
      </c>
      <c r="AF19" s="219" t="s">
        <v>2743</v>
      </c>
      <c r="AG19" s="232">
        <v>7.13</v>
      </c>
      <c r="AH19" s="232">
        <v>6.52</v>
      </c>
      <c r="AI19" s="239" t="s">
        <v>304</v>
      </c>
      <c r="AJ19" s="223">
        <v>102941</v>
      </c>
      <c r="AK19" s="234">
        <v>45031</v>
      </c>
      <c r="AL19" s="252" t="s">
        <v>2744</v>
      </c>
    </row>
    <row r="20" spans="1:38" s="236" customFormat="1" ht="66" x14ac:dyDescent="0.3">
      <c r="A20" s="257">
        <v>44973</v>
      </c>
      <c r="B20" s="224" t="s">
        <v>2745</v>
      </c>
      <c r="C20" s="283" t="s">
        <v>1032</v>
      </c>
      <c r="D20" s="222" t="str">
        <f>VLOOKUP($C20,Customers!$A$2:$Z$1010,2,FALSE)</f>
        <v>Michael (Mike) Chanov</v>
      </c>
      <c r="E20" s="583" t="s">
        <v>16</v>
      </c>
      <c r="F20" s="222" t="str">
        <f xml:space="preserve"> VLOOKUP($C20,Customers!$A$2:$Z$1010,5,FALSE)</f>
        <v>EA Engineering, Science, and Technology, Inc.</v>
      </c>
      <c r="G20" s="222" t="str">
        <f>VLOOKUP($C20,Customers!$A$2:$Z$1010,10,FALSE) &amp; ", " &amp; VLOOKUP($C20,Customers!$A$2:$Z$1010,11,FALSE)</f>
        <v>Hunt Valley, MD</v>
      </c>
      <c r="H20" s="222" t="str">
        <f>VLOOKUP($C20,Customers!$A$2:$Z$1010,13,FALSE)</f>
        <v>USA</v>
      </c>
      <c r="I20" s="222" t="str">
        <f>VLOOKUP($C20,Customers!$A$2:$Z$1010,18,FALSE)</f>
        <v>IC</v>
      </c>
      <c r="J20" s="253" t="s">
        <v>306</v>
      </c>
      <c r="K20" s="224">
        <v>37</v>
      </c>
      <c r="L20" s="251">
        <v>1</v>
      </c>
      <c r="M20" s="224">
        <v>90</v>
      </c>
      <c r="N20" s="251">
        <f>2</f>
        <v>2</v>
      </c>
      <c r="O20" s="225" t="s">
        <v>16</v>
      </c>
      <c r="P20" s="224">
        <v>0</v>
      </c>
      <c r="Q20" s="225" t="s">
        <v>16</v>
      </c>
      <c r="R20" s="224">
        <v>0</v>
      </c>
      <c r="S20" s="224" t="s">
        <v>16</v>
      </c>
      <c r="T20" s="226" t="s">
        <v>2692</v>
      </c>
      <c r="U20" s="226" t="s">
        <v>2693</v>
      </c>
      <c r="V20" s="227">
        <v>340</v>
      </c>
      <c r="W20" s="228" t="s">
        <v>16</v>
      </c>
      <c r="X20" s="228" t="s">
        <v>16</v>
      </c>
      <c r="Y20" s="228" t="s">
        <v>16</v>
      </c>
      <c r="Z20" s="254">
        <f>340</f>
        <v>340</v>
      </c>
      <c r="AA20" s="240">
        <v>90</v>
      </c>
      <c r="AB20" s="240">
        <f t="shared" ref="AB20:AB31" si="4">SUM(Z20:AA20)</f>
        <v>430</v>
      </c>
      <c r="AC20" s="230" t="s">
        <v>304</v>
      </c>
      <c r="AD20" s="242" t="s">
        <v>16</v>
      </c>
      <c r="AE20" s="231">
        <v>44985</v>
      </c>
      <c r="AF20" s="219" t="s">
        <v>2746</v>
      </c>
      <c r="AG20" s="227">
        <v>60.48</v>
      </c>
      <c r="AH20" s="232">
        <v>60.48</v>
      </c>
      <c r="AI20" s="245" t="s">
        <v>304</v>
      </c>
      <c r="AJ20" s="223">
        <v>103127</v>
      </c>
      <c r="AK20" s="234">
        <v>45031</v>
      </c>
      <c r="AL20" s="255" t="s">
        <v>2747</v>
      </c>
    </row>
    <row r="21" spans="1:38" s="236" customFormat="1" ht="39.6" x14ac:dyDescent="0.3">
      <c r="A21" s="257">
        <v>44980</v>
      </c>
      <c r="B21" s="218" t="s">
        <v>2748</v>
      </c>
      <c r="C21" s="222" t="s">
        <v>2505</v>
      </c>
      <c r="D21" s="222" t="str">
        <f>VLOOKUP($C21,Customers!$A$2:$Z$1010,2,FALSE)</f>
        <v>Martin Van Den Berghe</v>
      </c>
      <c r="E21" s="583" t="s">
        <v>16</v>
      </c>
      <c r="F21" s="222" t="str">
        <f xml:space="preserve"> VLOOKUP($C21,Customers!$A$2:$Z$1010,5,FALSE)</f>
        <v>Cytochrome</v>
      </c>
      <c r="G21" s="222" t="str">
        <f>VLOOKUP($C21,Customers!$A$2:$Z$1010,10,FALSE) &amp; ", " &amp; VLOOKUP($C21,Customers!$A$2:$Z$1010,11,FALSE)</f>
        <v>St. John's, NL</v>
      </c>
      <c r="H21" s="222" t="str">
        <f>VLOOKUP($C21,Customers!$A$2:$Z$1010,13,FALSE)</f>
        <v>Canada</v>
      </c>
      <c r="I21" s="222" t="str">
        <f>VLOOKUP($C21,Customers!$A$2:$Z$1010,18,FALSE)</f>
        <v>CC</v>
      </c>
      <c r="J21" s="223" t="s">
        <v>304</v>
      </c>
      <c r="K21" s="224">
        <v>162</v>
      </c>
      <c r="L21" s="259">
        <v>1</v>
      </c>
      <c r="M21" s="224">
        <v>30</v>
      </c>
      <c r="N21" s="259">
        <f>1</f>
        <v>1</v>
      </c>
      <c r="O21" s="225" t="s">
        <v>16</v>
      </c>
      <c r="P21" s="224">
        <v>0</v>
      </c>
      <c r="Q21" s="225" t="s">
        <v>16</v>
      </c>
      <c r="R21" s="224">
        <v>0</v>
      </c>
      <c r="S21" s="224" t="s">
        <v>16</v>
      </c>
      <c r="T21" s="226" t="s">
        <v>2749</v>
      </c>
      <c r="U21" s="226" t="s">
        <v>2750</v>
      </c>
      <c r="V21" s="227">
        <v>220</v>
      </c>
      <c r="W21" s="228" t="s">
        <v>16</v>
      </c>
      <c r="X21" s="228" t="s">
        <v>16</v>
      </c>
      <c r="Y21" s="228" t="s">
        <v>16</v>
      </c>
      <c r="Z21" s="240">
        <f>220</f>
        <v>220</v>
      </c>
      <c r="AA21" s="240">
        <v>40</v>
      </c>
      <c r="AB21" s="240">
        <f t="shared" si="4"/>
        <v>260</v>
      </c>
      <c r="AC21" s="230" t="s">
        <v>304</v>
      </c>
      <c r="AD21" s="242" t="s">
        <v>16</v>
      </c>
      <c r="AE21" s="231">
        <v>45005</v>
      </c>
      <c r="AF21" s="219" t="s">
        <v>2751</v>
      </c>
      <c r="AG21" s="232">
        <v>33.57</v>
      </c>
      <c r="AH21" s="232">
        <v>30.34</v>
      </c>
      <c r="AI21" s="239" t="s">
        <v>304</v>
      </c>
      <c r="AJ21" s="223">
        <v>110718</v>
      </c>
      <c r="AK21" s="234">
        <v>45044</v>
      </c>
      <c r="AL21" s="252" t="s">
        <v>2752</v>
      </c>
    </row>
    <row r="22" spans="1:38" s="236" customFormat="1" ht="39.6" x14ac:dyDescent="0.3">
      <c r="A22" s="257">
        <v>44984</v>
      </c>
      <c r="B22" s="224" t="s">
        <v>2753</v>
      </c>
      <c r="C22" s="222" t="s">
        <v>2429</v>
      </c>
      <c r="D22" s="222" t="str">
        <f>VLOOKUP($C22,Customers!$A$2:$Z$1010,2,FALSE)</f>
        <v>David Janz</v>
      </c>
      <c r="E22" s="583" t="s">
        <v>16</v>
      </c>
      <c r="F22" s="222" t="str">
        <f xml:space="preserve"> VLOOKUP($C22,Customers!$A$2:$Z$1010,5,FALSE)</f>
        <v>University of Saskatchewan</v>
      </c>
      <c r="G22" s="222" t="str">
        <f>VLOOKUP($C22,Customers!$A$2:$Z$1010,10,FALSE) &amp; ", " &amp; VLOOKUP($C22,Customers!$A$2:$Z$1010,11,FALSE)</f>
        <v>Saskatoon, SK</v>
      </c>
      <c r="H22" s="222" t="str">
        <f>VLOOKUP($C22,Customers!$A$2:$Z$1010,13,FALSE)</f>
        <v>Canada</v>
      </c>
      <c r="I22" s="222" t="str">
        <f>VLOOKUP($C22,Customers!$A$2:$Z$1010,18,FALSE)</f>
        <v>CA</v>
      </c>
      <c r="J22" s="223" t="s">
        <v>304</v>
      </c>
      <c r="K22" s="224">
        <v>690</v>
      </c>
      <c r="L22" s="251">
        <v>1</v>
      </c>
      <c r="M22" s="224">
        <v>15</v>
      </c>
      <c r="N22" s="251">
        <f>1</f>
        <v>1</v>
      </c>
      <c r="O22" s="225" t="s">
        <v>16</v>
      </c>
      <c r="P22" s="224">
        <v>0</v>
      </c>
      <c r="Q22" s="224" t="s">
        <v>318</v>
      </c>
      <c r="R22" s="224">
        <v>10</v>
      </c>
      <c r="S22" s="224" t="s">
        <v>16</v>
      </c>
      <c r="T22" s="226" t="s">
        <v>2754</v>
      </c>
      <c r="U22" s="226" t="s">
        <v>2755</v>
      </c>
      <c r="V22" s="227">
        <v>135</v>
      </c>
      <c r="W22" s="228" t="s">
        <v>16</v>
      </c>
      <c r="X22" s="227">
        <v>30</v>
      </c>
      <c r="Y22" s="228" t="s">
        <v>16</v>
      </c>
      <c r="Z22" s="229">
        <f>135+30</f>
        <v>165</v>
      </c>
      <c r="AA22" s="240">
        <v>35</v>
      </c>
      <c r="AB22" s="240">
        <f t="shared" si="4"/>
        <v>200</v>
      </c>
      <c r="AC22" s="230" t="s">
        <v>304</v>
      </c>
      <c r="AD22" s="242" t="s">
        <v>16</v>
      </c>
      <c r="AE22" s="231">
        <v>44998</v>
      </c>
      <c r="AF22" s="219" t="s">
        <v>2756</v>
      </c>
      <c r="AG22" s="232">
        <v>26.33</v>
      </c>
      <c r="AH22" s="232">
        <v>25.49</v>
      </c>
      <c r="AI22" s="239" t="s">
        <v>304</v>
      </c>
      <c r="AJ22" s="223">
        <v>103813</v>
      </c>
      <c r="AK22" s="234">
        <v>45041</v>
      </c>
      <c r="AL22" s="252" t="s">
        <v>2757</v>
      </c>
    </row>
    <row r="23" spans="1:38" s="236" customFormat="1" ht="52.8" x14ac:dyDescent="0.3">
      <c r="A23" s="257">
        <v>44985</v>
      </c>
      <c r="B23" s="257" t="s">
        <v>2758</v>
      </c>
      <c r="C23" s="222" t="s">
        <v>2406</v>
      </c>
      <c r="D23" s="222" t="str">
        <f>VLOOKUP($C23,Customers!$A$2:$Z$1010,2,FALSE)</f>
        <v>Brandon Jaunky</v>
      </c>
      <c r="E23" s="583" t="s">
        <v>16</v>
      </c>
      <c r="F23" s="222" t="str">
        <f xml:space="preserve"> VLOOKUP($C23,Customers!$A$2:$Z$1010,5,FALSE)</f>
        <v>Home Address - Jaunky Residence (attends Concordia University)</v>
      </c>
      <c r="G23" s="222" t="str">
        <f>VLOOKUP($C23,Customers!$A$2:$Z$1010,10,FALSE) &amp; ", " &amp; VLOOKUP($C23,Customers!$A$2:$Z$1010,11,FALSE)</f>
        <v>Montreal, QC</v>
      </c>
      <c r="H23" s="222" t="str">
        <f>VLOOKUP($C23,Customers!$A$2:$Z$1010,13,FALSE)</f>
        <v>Canada</v>
      </c>
      <c r="I23" s="222" t="str">
        <f>VLOOKUP($C23,Customers!$A$2:$Z$1010,18,FALSE)</f>
        <v>CA</v>
      </c>
      <c r="J23" s="257" t="s">
        <v>306</v>
      </c>
      <c r="K23" s="243" t="s">
        <v>16</v>
      </c>
      <c r="L23" s="251">
        <v>0</v>
      </c>
      <c r="M23" s="224">
        <v>0</v>
      </c>
      <c r="N23" s="251">
        <v>0</v>
      </c>
      <c r="O23" s="225" t="s">
        <v>16</v>
      </c>
      <c r="P23" s="224">
        <v>0</v>
      </c>
      <c r="Q23" s="224" t="s">
        <v>2759</v>
      </c>
      <c r="R23" s="224" t="s">
        <v>2760</v>
      </c>
      <c r="S23" s="224" t="s">
        <v>16</v>
      </c>
      <c r="T23" s="226" t="s">
        <v>2761</v>
      </c>
      <c r="U23" s="226" t="s">
        <v>2762</v>
      </c>
      <c r="V23" s="228" t="s">
        <v>16</v>
      </c>
      <c r="W23" s="228" t="s">
        <v>16</v>
      </c>
      <c r="X23" s="227">
        <f>180*2</f>
        <v>360</v>
      </c>
      <c r="Y23" s="228" t="s">
        <v>16</v>
      </c>
      <c r="Z23" s="229">
        <f>180+180</f>
        <v>360</v>
      </c>
      <c r="AA23" s="240">
        <v>25</v>
      </c>
      <c r="AB23" s="282">
        <f t="shared" si="4"/>
        <v>385</v>
      </c>
      <c r="AC23" s="230" t="s">
        <v>304</v>
      </c>
      <c r="AD23" s="243" t="s">
        <v>16</v>
      </c>
      <c r="AE23" s="231">
        <v>44992</v>
      </c>
      <c r="AF23" s="219" t="s">
        <v>2763</v>
      </c>
      <c r="AG23" s="232">
        <v>7.28</v>
      </c>
      <c r="AH23" s="232">
        <v>7.05</v>
      </c>
      <c r="AI23" s="257" t="s">
        <v>304</v>
      </c>
      <c r="AJ23" s="218">
        <v>109026</v>
      </c>
      <c r="AK23" s="234">
        <v>45031</v>
      </c>
      <c r="AL23" s="252" t="s">
        <v>2764</v>
      </c>
    </row>
    <row r="24" spans="1:38" s="281" customFormat="1" ht="40.200000000000003" thickBot="1" x14ac:dyDescent="0.35">
      <c r="A24" s="297">
        <v>44985</v>
      </c>
      <c r="B24" s="262" t="s">
        <v>2765</v>
      </c>
      <c r="C24" s="284" t="s">
        <v>1018</v>
      </c>
      <c r="D24" s="264" t="str">
        <f>VLOOKUP($C24,Customers!$A$2:$Z$1010,2,FALSE)</f>
        <v>Caroline Leblanc-Houde</v>
      </c>
      <c r="E24" s="582" t="s">
        <v>394</v>
      </c>
      <c r="F24" s="264" t="str">
        <f xml:space="preserve"> VLOOKUP($C24,Customers!$A$2:$Z$1010,5,FALSE)</f>
        <v>Agat Laboratories</v>
      </c>
      <c r="G24" s="264" t="str">
        <f>VLOOKUP($C24,Customers!$A$2:$Z$1010,10,FALSE) &amp; ", " &amp; VLOOKUP($C24,Customers!$A$2:$Z$1010,11,FALSE)</f>
        <v>Saint-Laurent, QC</v>
      </c>
      <c r="H24" s="264" t="str">
        <f>VLOOKUP($C24,Customers!$A$2:$Z$1010,13,FALSE)</f>
        <v>Canada</v>
      </c>
      <c r="I24" s="264" t="str">
        <f>VLOOKUP($C24,Customers!$A$2:$Z$1010,18,FALSE)</f>
        <v>CC</v>
      </c>
      <c r="J24" s="285" t="s">
        <v>306</v>
      </c>
      <c r="K24" s="261">
        <v>37</v>
      </c>
      <c r="L24" s="285">
        <v>1</v>
      </c>
      <c r="M24" s="261">
        <v>45</v>
      </c>
      <c r="N24" s="285">
        <f>3</f>
        <v>3</v>
      </c>
      <c r="O24" s="268" t="s">
        <v>16</v>
      </c>
      <c r="P24" s="261">
        <v>0</v>
      </c>
      <c r="Q24" s="268" t="s">
        <v>16</v>
      </c>
      <c r="R24" s="261">
        <v>0</v>
      </c>
      <c r="S24" s="261" t="s">
        <v>16</v>
      </c>
      <c r="T24" s="286" t="s">
        <v>1256</v>
      </c>
      <c r="U24" s="286" t="s">
        <v>419</v>
      </c>
      <c r="V24" s="271">
        <v>290</v>
      </c>
      <c r="W24" s="270" t="s">
        <v>16</v>
      </c>
      <c r="X24" s="270" t="s">
        <v>16</v>
      </c>
      <c r="Y24" s="270" t="s">
        <v>16</v>
      </c>
      <c r="Z24" s="287">
        <v>290</v>
      </c>
      <c r="AA24" s="273">
        <v>25</v>
      </c>
      <c r="AB24" s="273">
        <f t="shared" si="4"/>
        <v>315</v>
      </c>
      <c r="AC24" s="274" t="s">
        <v>304</v>
      </c>
      <c r="AD24" s="654" t="s">
        <v>2766</v>
      </c>
      <c r="AE24" s="276">
        <v>44991</v>
      </c>
      <c r="AF24" s="263" t="s">
        <v>2767</v>
      </c>
      <c r="AG24" s="277">
        <v>6.08</v>
      </c>
      <c r="AH24" s="277">
        <v>5.89</v>
      </c>
      <c r="AI24" s="288" t="s">
        <v>304</v>
      </c>
      <c r="AJ24" s="265">
        <v>102856</v>
      </c>
      <c r="AK24" s="289">
        <v>45041</v>
      </c>
      <c r="AL24" s="290" t="s">
        <v>2768</v>
      </c>
    </row>
    <row r="25" spans="1:38" s="236" customFormat="1" ht="52.8" x14ac:dyDescent="0.3">
      <c r="A25" s="257">
        <v>44991</v>
      </c>
      <c r="B25" s="224" t="s">
        <v>2769</v>
      </c>
      <c r="C25" s="283" t="s">
        <v>1045</v>
      </c>
      <c r="D25" s="222" t="str">
        <f>VLOOKUP($C25,Customers!$A$2:$Z$1010,2,FALSE)</f>
        <v>Adam Wartman</v>
      </c>
      <c r="E25" s="583" t="s">
        <v>16</v>
      </c>
      <c r="F25" s="222" t="str">
        <f xml:space="preserve"> VLOOKUP($C25,Customers!$A$2:$Z$1010,5,FALSE)</f>
        <v>Nautilus Environmental Company Inc. - Guelph</v>
      </c>
      <c r="G25" s="222" t="str">
        <f>VLOOKUP($C25,Customers!$A$2:$Z$1010,10,FALSE) &amp; ", " &amp; VLOOKUP($C25,Customers!$A$2:$Z$1010,11,FALSE)</f>
        <v>Puslinch, ON</v>
      </c>
      <c r="H25" s="222" t="str">
        <f>VLOOKUP($C25,Customers!$A$2:$Z$1010,13,FALSE)</f>
        <v>Canada</v>
      </c>
      <c r="I25" s="222" t="str">
        <f>VLOOKUP($C25,Customers!$A$2:$Z$1010,18,FALSE)</f>
        <v>CC</v>
      </c>
      <c r="J25" s="223" t="s">
        <v>306</v>
      </c>
      <c r="K25" s="243" t="s">
        <v>16</v>
      </c>
      <c r="L25" s="251">
        <v>0</v>
      </c>
      <c r="M25" s="224">
        <v>0</v>
      </c>
      <c r="N25" s="251">
        <v>0</v>
      </c>
      <c r="O25" s="225" t="s">
        <v>16</v>
      </c>
      <c r="P25" s="224">
        <v>0</v>
      </c>
      <c r="Q25" s="224" t="s">
        <v>318</v>
      </c>
      <c r="R25" s="224">
        <v>2000</v>
      </c>
      <c r="S25" s="224" t="s">
        <v>16</v>
      </c>
      <c r="T25" s="226" t="s">
        <v>1192</v>
      </c>
      <c r="U25" s="226" t="s">
        <v>2770</v>
      </c>
      <c r="V25" s="228" t="s">
        <v>16</v>
      </c>
      <c r="W25" s="228" t="s">
        <v>16</v>
      </c>
      <c r="X25" s="227">
        <v>510</v>
      </c>
      <c r="Y25" s="228" t="s">
        <v>16</v>
      </c>
      <c r="Z25" s="229">
        <f>500+10</f>
        <v>510</v>
      </c>
      <c r="AA25" s="240">
        <v>25</v>
      </c>
      <c r="AB25" s="240">
        <f t="shared" si="4"/>
        <v>535</v>
      </c>
      <c r="AC25" s="230" t="s">
        <v>304</v>
      </c>
      <c r="AD25" s="242" t="s">
        <v>16</v>
      </c>
      <c r="AE25" s="231">
        <v>44999</v>
      </c>
      <c r="AF25" s="219" t="s">
        <v>2771</v>
      </c>
      <c r="AG25" s="232">
        <v>7.19</v>
      </c>
      <c r="AH25" s="232">
        <v>6.58</v>
      </c>
      <c r="AI25" s="239" t="s">
        <v>304</v>
      </c>
      <c r="AJ25" s="233">
        <v>102886</v>
      </c>
      <c r="AK25" s="234">
        <v>45031</v>
      </c>
      <c r="AL25" s="235" t="s">
        <v>2772</v>
      </c>
    </row>
    <row r="26" spans="1:38" s="236" customFormat="1" ht="66" x14ac:dyDescent="0.3">
      <c r="A26" s="238">
        <v>44992</v>
      </c>
      <c r="B26" s="222" t="s">
        <v>2773</v>
      </c>
      <c r="C26" s="283" t="s">
        <v>1025</v>
      </c>
      <c r="D26" s="222" t="str">
        <f>VLOOKUP($C26,Customers!$A$2:$Z$1010,2,FALSE)</f>
        <v>Chelsea Blake</v>
      </c>
      <c r="E26" s="583" t="s">
        <v>16</v>
      </c>
      <c r="F26" s="222" t="str">
        <f xml:space="preserve"> VLOOKUP($C26,Customers!$A$2:$Z$1010,5,FALSE)</f>
        <v>Bureau Veritas Laboratories - Quebec</v>
      </c>
      <c r="G26" s="222" t="str">
        <f>VLOOKUP($C26,Customers!$A$2:$Z$1010,10,FALSE) &amp; ", " &amp; VLOOKUP($C26,Customers!$A$2:$Z$1010,11,FALSE)</f>
        <v>Quebec, QC</v>
      </c>
      <c r="H26" s="222" t="str">
        <f>VLOOKUP($C26,Customers!$A$2:$Z$1010,13,FALSE)</f>
        <v>Canada</v>
      </c>
      <c r="I26" s="222" t="str">
        <f>VLOOKUP($C26,Customers!$A$2:$Z$1010,18,FALSE)</f>
        <v>CC</v>
      </c>
      <c r="J26" s="223" t="s">
        <v>306</v>
      </c>
      <c r="K26" s="224">
        <v>37</v>
      </c>
      <c r="L26" s="223">
        <v>1</v>
      </c>
      <c r="M26" s="224">
        <v>15</v>
      </c>
      <c r="N26" s="223">
        <f>1</f>
        <v>1</v>
      </c>
      <c r="O26" s="225" t="s">
        <v>16</v>
      </c>
      <c r="P26" s="224">
        <v>0</v>
      </c>
      <c r="Q26" s="225" t="s">
        <v>16</v>
      </c>
      <c r="R26" s="224">
        <v>0</v>
      </c>
      <c r="S26" s="224" t="s">
        <v>16</v>
      </c>
      <c r="T26" s="292" t="s">
        <v>360</v>
      </c>
      <c r="U26" s="226" t="s">
        <v>417</v>
      </c>
      <c r="V26" s="227">
        <v>200</v>
      </c>
      <c r="W26" s="228" t="s">
        <v>16</v>
      </c>
      <c r="X26" s="228" t="s">
        <v>16</v>
      </c>
      <c r="Y26" s="228" t="s">
        <v>16</v>
      </c>
      <c r="Z26" s="230">
        <f>200</f>
        <v>200</v>
      </c>
      <c r="AA26" s="240">
        <v>25</v>
      </c>
      <c r="AB26" s="230">
        <f t="shared" si="4"/>
        <v>225</v>
      </c>
      <c r="AC26" s="230" t="s">
        <v>304</v>
      </c>
      <c r="AD26" s="222" t="s">
        <v>2774</v>
      </c>
      <c r="AE26" s="231">
        <v>44999</v>
      </c>
      <c r="AF26" s="219" t="s">
        <v>2775</v>
      </c>
      <c r="AG26" s="232">
        <v>6.68</v>
      </c>
      <c r="AH26" s="232">
        <v>6.47</v>
      </c>
      <c r="AI26" s="230" t="s">
        <v>304</v>
      </c>
      <c r="AJ26" s="233">
        <v>103380</v>
      </c>
      <c r="AK26" s="234">
        <v>45044</v>
      </c>
      <c r="AL26" s="252" t="s">
        <v>2776</v>
      </c>
    </row>
    <row r="27" spans="1:38" s="236" customFormat="1" ht="66" x14ac:dyDescent="0.3">
      <c r="A27" s="238">
        <v>44998</v>
      </c>
      <c r="B27" s="222" t="s">
        <v>2777</v>
      </c>
      <c r="C27" s="283" t="s">
        <v>1025</v>
      </c>
      <c r="D27" s="222" t="str">
        <f>VLOOKUP($C27,Customers!$A$2:$Z$1010,2,FALSE)</f>
        <v>Chelsea Blake</v>
      </c>
      <c r="E27" s="583" t="s">
        <v>16</v>
      </c>
      <c r="F27" s="222" t="str">
        <f xml:space="preserve"> VLOOKUP($C27,Customers!$A$2:$Z$1010,5,FALSE)</f>
        <v>Bureau Veritas Laboratories - Quebec</v>
      </c>
      <c r="G27" s="222" t="str">
        <f>VLOOKUP($C27,Customers!$A$2:$Z$1010,10,FALSE) &amp; ", " &amp; VLOOKUP($C27,Customers!$A$2:$Z$1010,11,FALSE)</f>
        <v>Quebec, QC</v>
      </c>
      <c r="H27" s="222" t="str">
        <f>VLOOKUP($C27,Customers!$A$2:$Z$1010,13,FALSE)</f>
        <v>Canada</v>
      </c>
      <c r="I27" s="222" t="str">
        <f>VLOOKUP($C27,Customers!$A$2:$Z$1010,18,FALSE)</f>
        <v>CC</v>
      </c>
      <c r="J27" s="223" t="s">
        <v>306</v>
      </c>
      <c r="K27" s="224">
        <v>37</v>
      </c>
      <c r="L27" s="223">
        <v>1</v>
      </c>
      <c r="M27" s="224">
        <v>15</v>
      </c>
      <c r="N27" s="223">
        <f>1</f>
        <v>1</v>
      </c>
      <c r="O27" s="225" t="s">
        <v>16</v>
      </c>
      <c r="P27" s="224">
        <v>0</v>
      </c>
      <c r="Q27" s="225" t="s">
        <v>16</v>
      </c>
      <c r="R27" s="224">
        <v>0</v>
      </c>
      <c r="S27" s="224" t="s">
        <v>16</v>
      </c>
      <c r="T27" s="292" t="s">
        <v>360</v>
      </c>
      <c r="U27" s="226" t="s">
        <v>417</v>
      </c>
      <c r="V27" s="227">
        <v>200</v>
      </c>
      <c r="W27" s="228" t="s">
        <v>16</v>
      </c>
      <c r="X27" s="228" t="s">
        <v>16</v>
      </c>
      <c r="Y27" s="228" t="s">
        <v>16</v>
      </c>
      <c r="Z27" s="230">
        <f>200</f>
        <v>200</v>
      </c>
      <c r="AA27" s="240">
        <v>25</v>
      </c>
      <c r="AB27" s="230">
        <f t="shared" si="4"/>
        <v>225</v>
      </c>
      <c r="AC27" s="230" t="s">
        <v>304</v>
      </c>
      <c r="AD27" s="222" t="s">
        <v>2778</v>
      </c>
      <c r="AE27" s="231">
        <v>45005</v>
      </c>
      <c r="AF27" s="219" t="s">
        <v>2779</v>
      </c>
      <c r="AG27" s="232">
        <v>7.28</v>
      </c>
      <c r="AH27" s="232">
        <v>6.47</v>
      </c>
      <c r="AI27" s="230" t="s">
        <v>304</v>
      </c>
      <c r="AJ27" s="233">
        <v>103380</v>
      </c>
      <c r="AK27" s="234">
        <v>45041</v>
      </c>
      <c r="AL27" s="252" t="s">
        <v>2780</v>
      </c>
    </row>
    <row r="28" spans="1:38" s="236" customFormat="1" ht="66" x14ac:dyDescent="0.3">
      <c r="A28" s="257">
        <v>45000</v>
      </c>
      <c r="B28" s="224" t="s">
        <v>2781</v>
      </c>
      <c r="C28" s="283" t="s">
        <v>1032</v>
      </c>
      <c r="D28" s="222" t="str">
        <f>VLOOKUP($C28,Customers!$A$2:$Z$1010,2,FALSE)</f>
        <v>Michael (Mike) Chanov</v>
      </c>
      <c r="E28" s="583" t="s">
        <v>16</v>
      </c>
      <c r="F28" s="222" t="str">
        <f xml:space="preserve"> VLOOKUP($C28,Customers!$A$2:$Z$1010,5,FALSE)</f>
        <v>EA Engineering, Science, and Technology, Inc.</v>
      </c>
      <c r="G28" s="222" t="str">
        <f>VLOOKUP($C28,Customers!$A$2:$Z$1010,10,FALSE) &amp; ", " &amp; VLOOKUP($C28,Customers!$A$2:$Z$1010,11,FALSE)</f>
        <v>Hunt Valley, MD</v>
      </c>
      <c r="H28" s="222" t="str">
        <f>VLOOKUP($C28,Customers!$A$2:$Z$1010,13,FALSE)</f>
        <v>USA</v>
      </c>
      <c r="I28" s="222" t="str">
        <f>VLOOKUP($C28,Customers!$A$2:$Z$1010,18,FALSE)</f>
        <v>IC</v>
      </c>
      <c r="J28" s="253" t="s">
        <v>306</v>
      </c>
      <c r="K28" s="224">
        <v>37</v>
      </c>
      <c r="L28" s="251">
        <v>1</v>
      </c>
      <c r="M28" s="224">
        <v>90</v>
      </c>
      <c r="N28" s="251">
        <f>2</f>
        <v>2</v>
      </c>
      <c r="O28" s="225" t="s">
        <v>16</v>
      </c>
      <c r="P28" s="224">
        <v>0</v>
      </c>
      <c r="Q28" s="225" t="s">
        <v>16</v>
      </c>
      <c r="R28" s="224">
        <v>0</v>
      </c>
      <c r="S28" s="224" t="s">
        <v>16</v>
      </c>
      <c r="T28" s="226" t="s">
        <v>2692</v>
      </c>
      <c r="U28" s="226" t="s">
        <v>2693</v>
      </c>
      <c r="V28" s="227">
        <v>340</v>
      </c>
      <c r="W28" s="228" t="s">
        <v>16</v>
      </c>
      <c r="X28" s="228" t="s">
        <v>16</v>
      </c>
      <c r="Y28" s="228" t="s">
        <v>16</v>
      </c>
      <c r="Z28" s="254">
        <f>340</f>
        <v>340</v>
      </c>
      <c r="AA28" s="240">
        <v>90</v>
      </c>
      <c r="AB28" s="240">
        <f t="shared" si="4"/>
        <v>430</v>
      </c>
      <c r="AC28" s="230" t="s">
        <v>304</v>
      </c>
      <c r="AD28" s="242" t="s">
        <v>16</v>
      </c>
      <c r="AE28" s="231">
        <v>45006</v>
      </c>
      <c r="AF28" s="219" t="s">
        <v>2782</v>
      </c>
      <c r="AG28" s="232">
        <v>60.86</v>
      </c>
      <c r="AH28" s="232">
        <v>60.86</v>
      </c>
      <c r="AI28" s="245" t="s">
        <v>304</v>
      </c>
      <c r="AJ28" s="223">
        <v>103127</v>
      </c>
      <c r="AK28" s="234">
        <v>45044</v>
      </c>
      <c r="AL28" s="255" t="s">
        <v>2783</v>
      </c>
    </row>
    <row r="29" spans="1:38" s="236" customFormat="1" ht="105.6" x14ac:dyDescent="0.3">
      <c r="A29" s="257">
        <v>45001</v>
      </c>
      <c r="B29" s="224" t="s">
        <v>2784</v>
      </c>
      <c r="C29" s="222" t="s">
        <v>2581</v>
      </c>
      <c r="D29" s="222" t="str">
        <f>VLOOKUP($C29,Customers!$A$2:$Z$1010,2,FALSE)</f>
        <v>Xavier Ortiz Almirall</v>
      </c>
      <c r="E29" s="583" t="s">
        <v>16</v>
      </c>
      <c r="F29" s="222" t="str">
        <f xml:space="preserve"> VLOOKUP($C29,Customers!$A$2:$Z$1010,5,FALSE)</f>
        <v>IQS School of Engineering</v>
      </c>
      <c r="G29" s="222" t="str">
        <f>VLOOKUP($C29,Customers!$A$2:$Z$1010,10,FALSE) &amp; ", " &amp; VLOOKUP($C29,Customers!$A$2:$Z$1010,11,FALSE)</f>
        <v>Barcelona, B</v>
      </c>
      <c r="H29" s="222" t="str">
        <f>VLOOKUP($C29,Customers!$A$2:$Z$1010,13,FALSE)</f>
        <v>Spain</v>
      </c>
      <c r="I29" s="222" t="str">
        <f>VLOOKUP($C29,Customers!$A$2:$Z$1010,18,FALSE)</f>
        <v>IA</v>
      </c>
      <c r="J29" s="253" t="s">
        <v>304</v>
      </c>
      <c r="K29" s="224">
        <v>300</v>
      </c>
      <c r="L29" s="251">
        <v>1</v>
      </c>
      <c r="M29" s="224">
        <v>15</v>
      </c>
      <c r="N29" s="251">
        <f>1</f>
        <v>1</v>
      </c>
      <c r="O29" s="225" t="s">
        <v>16</v>
      </c>
      <c r="P29" s="224">
        <v>0</v>
      </c>
      <c r="Q29" s="225" t="s">
        <v>16</v>
      </c>
      <c r="R29" s="224">
        <v>0</v>
      </c>
      <c r="S29" s="224" t="s">
        <v>16</v>
      </c>
      <c r="T29" s="226" t="s">
        <v>2785</v>
      </c>
      <c r="U29" s="226" t="s">
        <v>1202</v>
      </c>
      <c r="V29" s="227">
        <v>135</v>
      </c>
      <c r="W29" s="228" t="s">
        <v>16</v>
      </c>
      <c r="X29" s="228" t="s">
        <v>16</v>
      </c>
      <c r="Y29" s="228" t="s">
        <v>16</v>
      </c>
      <c r="Z29" s="254">
        <f>135</f>
        <v>135</v>
      </c>
      <c r="AA29" s="240">
        <v>120</v>
      </c>
      <c r="AB29" s="240">
        <f t="shared" si="4"/>
        <v>255</v>
      </c>
      <c r="AC29" s="230" t="s">
        <v>304</v>
      </c>
      <c r="AD29" s="242" t="s">
        <v>2786</v>
      </c>
      <c r="AE29" s="231">
        <v>45005</v>
      </c>
      <c r="AF29" s="219" t="s">
        <v>2787</v>
      </c>
      <c r="AG29" s="227">
        <v>73.14</v>
      </c>
      <c r="AH29" s="232">
        <v>98.78</v>
      </c>
      <c r="AI29" s="230" t="s">
        <v>304</v>
      </c>
      <c r="AJ29" s="223">
        <v>110719</v>
      </c>
      <c r="AK29" s="234">
        <v>45044</v>
      </c>
      <c r="AL29" s="252" t="s">
        <v>2788</v>
      </c>
    </row>
    <row r="30" spans="1:38" s="236" customFormat="1" ht="26.4" x14ac:dyDescent="0.3">
      <c r="A30" s="257">
        <v>45001</v>
      </c>
      <c r="B30" s="218" t="s">
        <v>2789</v>
      </c>
      <c r="C30" s="283" t="s">
        <v>1056</v>
      </c>
      <c r="D30" s="222" t="str">
        <f>VLOOKUP($C30,Customers!$A$2:$Z$1010,2,FALSE)</f>
        <v>Jenine McCutcheon</v>
      </c>
      <c r="E30" s="293" t="s">
        <v>2090</v>
      </c>
      <c r="F30" s="222" t="str">
        <f xml:space="preserve"> VLOOKUP($C30,Customers!$A$2:$Z$1010,5,FALSE)</f>
        <v>University of Waterloo</v>
      </c>
      <c r="G30" s="222" t="str">
        <f>VLOOKUP($C30,Customers!$A$2:$Z$1010,10,FALSE) &amp; ", " &amp; VLOOKUP($C30,Customers!$A$2:$Z$1010,11,FALSE)</f>
        <v>Waterloo, ON</v>
      </c>
      <c r="H30" s="222" t="str">
        <f>VLOOKUP($C30,Customers!$A$2:$Z$1010,13,FALSE)</f>
        <v>Canada</v>
      </c>
      <c r="I30" s="222" t="str">
        <f>VLOOKUP($C30,Customers!$A$2:$Z$1010,18,FALSE)</f>
        <v>CA</v>
      </c>
      <c r="J30" s="223" t="s">
        <v>304</v>
      </c>
      <c r="K30" s="224">
        <v>102</v>
      </c>
      <c r="L30" s="259">
        <v>1</v>
      </c>
      <c r="M30" s="224">
        <v>15</v>
      </c>
      <c r="N30" s="259">
        <f>1</f>
        <v>1</v>
      </c>
      <c r="O30" s="225" t="s">
        <v>16</v>
      </c>
      <c r="P30" s="224">
        <v>0</v>
      </c>
      <c r="Q30" s="225" t="s">
        <v>16</v>
      </c>
      <c r="R30" s="224">
        <v>0</v>
      </c>
      <c r="S30" s="224" t="s">
        <v>16</v>
      </c>
      <c r="T30" s="226" t="s">
        <v>2790</v>
      </c>
      <c r="U30" s="226" t="s">
        <v>2791</v>
      </c>
      <c r="V30" s="227">
        <v>90</v>
      </c>
      <c r="W30" s="228" t="s">
        <v>16</v>
      </c>
      <c r="X30" s="228" t="s">
        <v>16</v>
      </c>
      <c r="Y30" s="228" t="s">
        <v>16</v>
      </c>
      <c r="Z30" s="240">
        <v>90</v>
      </c>
      <c r="AA30" s="240" t="s">
        <v>308</v>
      </c>
      <c r="AB30" s="282">
        <f t="shared" si="4"/>
        <v>90</v>
      </c>
      <c r="AC30" s="230" t="s">
        <v>304</v>
      </c>
      <c r="AD30" s="242" t="s">
        <v>16</v>
      </c>
      <c r="AE30" s="231">
        <v>45008</v>
      </c>
      <c r="AF30" s="219" t="s">
        <v>2792</v>
      </c>
      <c r="AG30" s="232" t="s">
        <v>308</v>
      </c>
      <c r="AH30" s="232" t="s">
        <v>308</v>
      </c>
      <c r="AI30" s="218" t="s">
        <v>308</v>
      </c>
      <c r="AJ30" s="218" t="s">
        <v>308</v>
      </c>
      <c r="AK30" s="257">
        <v>45022</v>
      </c>
      <c r="AL30" s="252" t="s">
        <v>2793</v>
      </c>
    </row>
    <row r="31" spans="1:38" s="236" customFormat="1" ht="79.2" x14ac:dyDescent="0.3">
      <c r="A31" s="257">
        <v>45001</v>
      </c>
      <c r="B31" s="218" t="s">
        <v>2794</v>
      </c>
      <c r="C31" s="222" t="s">
        <v>2423</v>
      </c>
      <c r="D31" s="222" t="str">
        <f>VLOOKUP($C31,Customers!$A$2:$Z$1010,2,FALSE)</f>
        <v>Claude Fortin</v>
      </c>
      <c r="E31" s="293" t="s">
        <v>2150</v>
      </c>
      <c r="F31" s="222" t="str">
        <f xml:space="preserve"> VLOOKUP($C31,Customers!$A$2:$Z$1010,5,FALSE)</f>
        <v>Institut National de la Recherche Scientifique (INRS) - Eau Terre Environnement (ETE)</v>
      </c>
      <c r="G31" s="222" t="str">
        <f>VLOOKUP($C31,Customers!$A$2:$Z$1010,10,FALSE) &amp; ", " &amp; VLOOKUP($C31,Customers!$A$2:$Z$1010,11,FALSE)</f>
        <v>Quebec, QC</v>
      </c>
      <c r="H31" s="222" t="str">
        <f>VLOOKUP($C31,Customers!$A$2:$Z$1010,13,FALSE)</f>
        <v>Canada</v>
      </c>
      <c r="I31" s="222" t="str">
        <f>VLOOKUP($C31,Customers!$A$2:$Z$1010,18,FALSE)</f>
        <v>CA</v>
      </c>
      <c r="J31" s="223" t="s">
        <v>306</v>
      </c>
      <c r="K31" s="224" t="s">
        <v>2795</v>
      </c>
      <c r="L31" s="259">
        <v>3</v>
      </c>
      <c r="M31" s="224" t="s">
        <v>1982</v>
      </c>
      <c r="N31" s="259">
        <f>1+1+1</f>
        <v>3</v>
      </c>
      <c r="O31" s="225" t="s">
        <v>16</v>
      </c>
      <c r="P31" s="224">
        <v>0</v>
      </c>
      <c r="Q31" s="225" t="s">
        <v>16</v>
      </c>
      <c r="R31" s="224">
        <v>0</v>
      </c>
      <c r="S31" s="224" t="s">
        <v>16</v>
      </c>
      <c r="T31" s="226" t="s">
        <v>2796</v>
      </c>
      <c r="U31" s="226" t="s">
        <v>2797</v>
      </c>
      <c r="V31" s="227">
        <f>135*3</f>
        <v>405</v>
      </c>
      <c r="W31" s="228" t="s">
        <v>16</v>
      </c>
      <c r="X31" s="228" t="s">
        <v>16</v>
      </c>
      <c r="Y31" s="228" t="s">
        <v>16</v>
      </c>
      <c r="Z31" s="240">
        <f>135*3</f>
        <v>405</v>
      </c>
      <c r="AA31" s="240">
        <v>30</v>
      </c>
      <c r="AB31" s="241">
        <f t="shared" si="4"/>
        <v>435</v>
      </c>
      <c r="AC31" s="230" t="s">
        <v>304</v>
      </c>
      <c r="AD31" s="242" t="s">
        <v>2798</v>
      </c>
      <c r="AE31" s="231">
        <v>45027</v>
      </c>
      <c r="AF31" s="219" t="s">
        <v>2799</v>
      </c>
      <c r="AG31" s="232">
        <v>6.08</v>
      </c>
      <c r="AH31" s="232">
        <v>5.89</v>
      </c>
      <c r="AI31" s="245" t="s">
        <v>304</v>
      </c>
      <c r="AJ31" s="233">
        <v>104897</v>
      </c>
      <c r="AK31" s="234">
        <v>45044</v>
      </c>
      <c r="AL31" s="255" t="s">
        <v>2800</v>
      </c>
    </row>
    <row r="32" spans="1:38" s="236" customFormat="1" ht="79.2" x14ac:dyDescent="0.3">
      <c r="A32" s="257">
        <v>45012</v>
      </c>
      <c r="B32" s="245" t="s">
        <v>2801</v>
      </c>
      <c r="C32" s="222" t="s">
        <v>2574</v>
      </c>
      <c r="D32" s="222" t="str">
        <f>VLOOKUP($C32,Customers!$A$2:$Z$1010,2,FALSE)</f>
        <v>Wendy Pearson</v>
      </c>
      <c r="E32" s="293" t="s">
        <v>2181</v>
      </c>
      <c r="F32" s="222" t="str">
        <f xml:space="preserve"> VLOOKUP($C32,Customers!$A$2:$Z$1010,5,FALSE)</f>
        <v>University of Guelph</v>
      </c>
      <c r="G32" s="222" t="str">
        <f>VLOOKUP($C32,Customers!$A$2:$Z$1010,10,FALSE) &amp; ", " &amp; VLOOKUP($C32,Customers!$A$2:$Z$1010,11,FALSE)</f>
        <v>Guelph, ON</v>
      </c>
      <c r="H32" s="222" t="str">
        <f>VLOOKUP($C32,Customers!$A$2:$Z$1010,13,FALSE)</f>
        <v>Canada</v>
      </c>
      <c r="I32" s="222" t="str">
        <f>VLOOKUP($C32,Customers!$A$2:$Z$1010,18,FALSE)</f>
        <v>CA</v>
      </c>
      <c r="J32" s="231" t="s">
        <v>304</v>
      </c>
      <c r="K32" s="243" t="s">
        <v>16</v>
      </c>
      <c r="L32" s="223">
        <v>0</v>
      </c>
      <c r="M32" s="224">
        <v>0</v>
      </c>
      <c r="N32" s="223">
        <v>0</v>
      </c>
      <c r="O32" s="225" t="s">
        <v>16</v>
      </c>
      <c r="P32" s="224">
        <v>0</v>
      </c>
      <c r="Q32" s="225" t="s">
        <v>16</v>
      </c>
      <c r="R32" s="224">
        <v>0</v>
      </c>
      <c r="S32" s="224" t="s">
        <v>2303</v>
      </c>
      <c r="T32" s="291" t="s">
        <v>2802</v>
      </c>
      <c r="U32" s="226" t="s">
        <v>2803</v>
      </c>
      <c r="V32" s="228" t="s">
        <v>16</v>
      </c>
      <c r="W32" s="228" t="s">
        <v>16</v>
      </c>
      <c r="X32" s="228" t="s">
        <v>16</v>
      </c>
      <c r="Y32" s="227">
        <v>910</v>
      </c>
      <c r="Z32" s="230">
        <f>535+375</f>
        <v>910</v>
      </c>
      <c r="AA32" s="230" t="s">
        <v>308</v>
      </c>
      <c r="AB32" s="230">
        <f>SUM(Z32:AA32)</f>
        <v>910</v>
      </c>
      <c r="AC32" s="231" t="s">
        <v>308</v>
      </c>
      <c r="AD32" s="222" t="s">
        <v>16</v>
      </c>
      <c r="AE32" s="238" t="s">
        <v>2804</v>
      </c>
      <c r="AF32" s="231" t="s">
        <v>308</v>
      </c>
      <c r="AG32" s="232" t="s">
        <v>308</v>
      </c>
      <c r="AH32" s="232" t="s">
        <v>308</v>
      </c>
      <c r="AI32" s="223" t="s">
        <v>304</v>
      </c>
      <c r="AJ32" s="223">
        <v>110688</v>
      </c>
      <c r="AK32" s="238">
        <v>45021</v>
      </c>
      <c r="AL32" s="235" t="s">
        <v>2805</v>
      </c>
    </row>
    <row r="33" spans="1:38" s="236" customFormat="1" ht="39.6" x14ac:dyDescent="0.3">
      <c r="A33" s="250">
        <v>45014</v>
      </c>
      <c r="B33" s="224" t="s">
        <v>2806</v>
      </c>
      <c r="C33" s="283" t="s">
        <v>2524</v>
      </c>
      <c r="D33" s="222" t="str">
        <f>VLOOKUP($C33,Customers!$A$2:$Z$1010,2,FALSE)</f>
        <v>Monica Emelko</v>
      </c>
      <c r="E33" s="293" t="s">
        <v>2807</v>
      </c>
      <c r="F33" s="222" t="str">
        <f xml:space="preserve"> VLOOKUP($C33,Customers!$A$2:$Z$1010,5,FALSE)</f>
        <v>University of Waterloo</v>
      </c>
      <c r="G33" s="222" t="str">
        <f>VLOOKUP($C33,Customers!$A$2:$Z$1010,10,FALSE) &amp; ", " &amp; VLOOKUP($C33,Customers!$A$2:$Z$1010,11,FALSE)</f>
        <v>Waterloo, ON</v>
      </c>
      <c r="H33" s="222" t="str">
        <f>VLOOKUP($C33,Customers!$A$2:$Z$1010,13,FALSE)</f>
        <v>Canada</v>
      </c>
      <c r="I33" s="222" t="str">
        <f>VLOOKUP($C33,Customers!$A$2:$Z$1010,18,FALSE)</f>
        <v>CA</v>
      </c>
      <c r="J33" s="259" t="s">
        <v>306</v>
      </c>
      <c r="K33" s="243" t="s">
        <v>16</v>
      </c>
      <c r="L33" s="259">
        <v>0</v>
      </c>
      <c r="M33" s="224">
        <v>0</v>
      </c>
      <c r="N33" s="259">
        <v>0</v>
      </c>
      <c r="O33" s="225" t="s">
        <v>16</v>
      </c>
      <c r="P33" s="224">
        <v>0</v>
      </c>
      <c r="Q33" s="225" t="s">
        <v>16</v>
      </c>
      <c r="R33" s="224">
        <v>0</v>
      </c>
      <c r="S33" s="224" t="s">
        <v>3543</v>
      </c>
      <c r="T33" s="226" t="s">
        <v>405</v>
      </c>
      <c r="U33" s="226" t="s">
        <v>2808</v>
      </c>
      <c r="V33" s="228" t="s">
        <v>16</v>
      </c>
      <c r="W33" s="228" t="s">
        <v>16</v>
      </c>
      <c r="X33" s="228" t="s">
        <v>16</v>
      </c>
      <c r="Y33" s="227">
        <v>300</v>
      </c>
      <c r="Z33" s="240">
        <f>30*10</f>
        <v>300</v>
      </c>
      <c r="AA33" s="240" t="s">
        <v>308</v>
      </c>
      <c r="AB33" s="240">
        <f>SUM(Z33:AA33)</f>
        <v>300</v>
      </c>
      <c r="AC33" s="230" t="s">
        <v>308</v>
      </c>
      <c r="AD33" s="242" t="s">
        <v>16</v>
      </c>
      <c r="AE33" s="295" t="s">
        <v>308</v>
      </c>
      <c r="AF33" s="220" t="s">
        <v>308</v>
      </c>
      <c r="AG33" s="232" t="s">
        <v>308</v>
      </c>
      <c r="AH33" s="232" t="s">
        <v>308</v>
      </c>
      <c r="AI33" s="223" t="s">
        <v>308</v>
      </c>
      <c r="AJ33" s="223" t="s">
        <v>308</v>
      </c>
      <c r="AK33" s="257">
        <v>45022</v>
      </c>
      <c r="AL33" s="252" t="s">
        <v>2809</v>
      </c>
    </row>
    <row r="34" spans="1:38" s="281" customFormat="1" ht="53.4" thickBot="1" x14ac:dyDescent="0.35">
      <c r="A34" s="297">
        <v>45015</v>
      </c>
      <c r="B34" s="262" t="s">
        <v>2810</v>
      </c>
      <c r="C34" s="264" t="s">
        <v>2264</v>
      </c>
      <c r="D34" s="264" t="str">
        <f>VLOOKUP($C34,Customers!$A$2:$Z$1010,2,FALSE)</f>
        <v>Audrey Moores-Francois</v>
      </c>
      <c r="E34" s="582" t="s">
        <v>2208</v>
      </c>
      <c r="F34" s="264" t="str">
        <f xml:space="preserve"> VLOOKUP($C34,Customers!$A$2:$Z$1010,5,FALSE)</f>
        <v>McGill University</v>
      </c>
      <c r="G34" s="264" t="str">
        <f>VLOOKUP($C34,Customers!$A$2:$Z$1010,10,FALSE) &amp; ", " &amp; VLOOKUP($C34,Customers!$A$2:$Z$1010,11,FALSE)</f>
        <v>Montreal, QC</v>
      </c>
      <c r="H34" s="264" t="str">
        <f>VLOOKUP($C34,Customers!$A$2:$Z$1010,13,FALSE)</f>
        <v>Canada</v>
      </c>
      <c r="I34" s="264" t="str">
        <f>VLOOKUP($C34,Customers!$A$2:$Z$1010,18,FALSE)</f>
        <v>CA</v>
      </c>
      <c r="J34" s="262" t="s">
        <v>306</v>
      </c>
      <c r="K34" s="261">
        <v>90</v>
      </c>
      <c r="L34" s="262">
        <v>1</v>
      </c>
      <c r="M34" s="261">
        <v>45</v>
      </c>
      <c r="N34" s="262">
        <f>1</f>
        <v>1</v>
      </c>
      <c r="O34" s="261" t="s">
        <v>307</v>
      </c>
      <c r="P34" s="261">
        <v>1</v>
      </c>
      <c r="Q34" s="268" t="s">
        <v>16</v>
      </c>
      <c r="R34" s="261">
        <v>0</v>
      </c>
      <c r="S34" s="261" t="s">
        <v>16</v>
      </c>
      <c r="T34" s="286" t="s">
        <v>2811</v>
      </c>
      <c r="U34" s="286" t="s">
        <v>2812</v>
      </c>
      <c r="V34" s="271">
        <v>195</v>
      </c>
      <c r="W34" s="271">
        <v>65</v>
      </c>
      <c r="X34" s="270" t="s">
        <v>16</v>
      </c>
      <c r="Y34" s="270" t="s">
        <v>16</v>
      </c>
      <c r="Z34" s="296">
        <f>195+65</f>
        <v>260</v>
      </c>
      <c r="AA34" s="296">
        <v>25</v>
      </c>
      <c r="AB34" s="296">
        <f t="shared" ref="AB34" si="5">SUM(Z34:AA34)</f>
        <v>285</v>
      </c>
      <c r="AC34" s="274" t="s">
        <v>304</v>
      </c>
      <c r="AD34" s="261" t="s">
        <v>2813</v>
      </c>
      <c r="AE34" s="297">
        <v>45027</v>
      </c>
      <c r="AF34" s="263" t="s">
        <v>2814</v>
      </c>
      <c r="AG34" s="277">
        <v>6.68</v>
      </c>
      <c r="AH34" s="277">
        <v>6.47</v>
      </c>
      <c r="AI34" s="298" t="s">
        <v>304</v>
      </c>
      <c r="AJ34" s="279">
        <v>103381</v>
      </c>
      <c r="AK34" s="289">
        <v>45044</v>
      </c>
      <c r="AL34" s="299" t="s">
        <v>2815</v>
      </c>
    </row>
    <row r="35" spans="1:38" s="236" customFormat="1" ht="52.8" x14ac:dyDescent="0.3">
      <c r="A35" s="257">
        <v>45021</v>
      </c>
      <c r="B35" s="224" t="s">
        <v>2816</v>
      </c>
      <c r="C35" s="283" t="s">
        <v>2306</v>
      </c>
      <c r="D35" s="222" t="str">
        <f>VLOOKUP($C35,Customers!$A$2:$Z$1010,2,FALSE)</f>
        <v>Megan Bauer</v>
      </c>
      <c r="E35" s="583" t="s">
        <v>16</v>
      </c>
      <c r="F35" s="222" t="str">
        <f xml:space="preserve"> VLOOKUP($C35,Customers!$A$2:$Z$1010,5,FALSE)</f>
        <v>Environment and Climate Change Canada (ECCC) - Atlantic Laboratory for Environmental Testing (ALET)</v>
      </c>
      <c r="G35" s="222" t="str">
        <f>VLOOKUP($C35,Customers!$A$2:$Z$1010,10,FALSE) &amp; ", " &amp; VLOOKUP($C35,Customers!$A$2:$Z$1010,11,FALSE)</f>
        <v>Moncton, NB</v>
      </c>
      <c r="H35" s="222" t="str">
        <f>VLOOKUP($C35,Customers!$A$2:$Z$1010,13,FALSE)</f>
        <v>Canada</v>
      </c>
      <c r="I35" s="222" t="str">
        <f>VLOOKUP($C35,Customers!$A$2:$Z$1010,18,FALSE)</f>
        <v>CG</v>
      </c>
      <c r="J35" s="223" t="s">
        <v>306</v>
      </c>
      <c r="K35" s="224" t="s">
        <v>2817</v>
      </c>
      <c r="L35" s="259">
        <v>4</v>
      </c>
      <c r="M35" s="224" t="s">
        <v>2818</v>
      </c>
      <c r="N35" s="259">
        <f>2+2+1+1</f>
        <v>6</v>
      </c>
      <c r="O35" s="225" t="s">
        <v>16</v>
      </c>
      <c r="P35" s="224">
        <v>0</v>
      </c>
      <c r="Q35" s="224" t="s">
        <v>318</v>
      </c>
      <c r="R35" s="224">
        <v>500</v>
      </c>
      <c r="S35" s="224" t="s">
        <v>16</v>
      </c>
      <c r="T35" s="226" t="s">
        <v>2819</v>
      </c>
      <c r="U35" s="226" t="s">
        <v>2820</v>
      </c>
      <c r="V35" s="227">
        <f>(135*2)+175*2</f>
        <v>620</v>
      </c>
      <c r="W35" s="228" t="s">
        <v>16</v>
      </c>
      <c r="X35" s="227">
        <v>180</v>
      </c>
      <c r="Y35" s="228" t="s">
        <v>16</v>
      </c>
      <c r="Z35" s="229">
        <f>135*2+175*2+180</f>
        <v>800</v>
      </c>
      <c r="AA35" s="230">
        <v>45</v>
      </c>
      <c r="AB35" s="240">
        <f t="shared" ref="AB35" si="6">SUM(Z35:AA35)</f>
        <v>845</v>
      </c>
      <c r="AC35" s="230" t="s">
        <v>304</v>
      </c>
      <c r="AD35" s="242" t="s">
        <v>16</v>
      </c>
      <c r="AE35" s="231">
        <v>45041</v>
      </c>
      <c r="AF35" s="219" t="s">
        <v>2821</v>
      </c>
      <c r="AG35" s="232">
        <v>38.299999999999997</v>
      </c>
      <c r="AH35" s="232">
        <v>34.61</v>
      </c>
      <c r="AI35" s="230" t="s">
        <v>304</v>
      </c>
      <c r="AJ35" s="218">
        <v>103165</v>
      </c>
      <c r="AK35" s="300">
        <v>45075</v>
      </c>
      <c r="AL35" s="235" t="s">
        <v>2822</v>
      </c>
    </row>
    <row r="36" spans="1:38" s="236" customFormat="1" ht="39.6" x14ac:dyDescent="0.3">
      <c r="A36" s="257">
        <v>45029</v>
      </c>
      <c r="B36" s="224" t="s">
        <v>2823</v>
      </c>
      <c r="C36" s="283" t="s">
        <v>1029</v>
      </c>
      <c r="D36" s="222" t="str">
        <f>VLOOKUP($C36,Customers!$A$2:$Z$1010,2,FALSE)</f>
        <v>Jillian Thompson-Anderson</v>
      </c>
      <c r="E36" s="583" t="s">
        <v>16</v>
      </c>
      <c r="F36" s="222" t="str">
        <f xml:space="preserve"> VLOOKUP($C36,Customers!$A$2:$Z$1010,5,FALSE)</f>
        <v>City of Hamilton Environmental Lab</v>
      </c>
      <c r="G36" s="222" t="str">
        <f>VLOOKUP($C36,Customers!$A$2:$Z$1010,10,FALSE) &amp; ", " &amp; VLOOKUP($C36,Customers!$A$2:$Z$1010,11,FALSE)</f>
        <v>Hamilton, ON</v>
      </c>
      <c r="H36" s="222" t="str">
        <f>VLOOKUP($C36,Customers!$A$2:$Z$1010,13,FALSE)</f>
        <v>Canada</v>
      </c>
      <c r="I36" s="222" t="str">
        <f>VLOOKUP($C36,Customers!$A$2:$Z$1010,18,FALSE)</f>
        <v>CG</v>
      </c>
      <c r="J36" s="253" t="s">
        <v>306</v>
      </c>
      <c r="K36" s="224" t="s">
        <v>4248</v>
      </c>
      <c r="L36" s="253">
        <v>2</v>
      </c>
      <c r="M36" s="224" t="s">
        <v>1973</v>
      </c>
      <c r="N36" s="253">
        <f>1+1</f>
        <v>2</v>
      </c>
      <c r="O36" s="225" t="s">
        <v>16</v>
      </c>
      <c r="P36" s="224">
        <v>0</v>
      </c>
      <c r="Q36" s="224"/>
      <c r="R36" s="224">
        <v>0</v>
      </c>
      <c r="S36" s="224" t="s">
        <v>16</v>
      </c>
      <c r="T36" s="301" t="s">
        <v>2824</v>
      </c>
      <c r="U36" s="301" t="s">
        <v>1138</v>
      </c>
      <c r="V36" s="227">
        <f>135*2</f>
        <v>270</v>
      </c>
      <c r="W36" s="228" t="s">
        <v>16</v>
      </c>
      <c r="X36" s="228" t="s">
        <v>16</v>
      </c>
      <c r="Y36" s="228" t="s">
        <v>16</v>
      </c>
      <c r="Z36" s="302">
        <f>135*2</f>
        <v>270</v>
      </c>
      <c r="AA36" s="302">
        <v>25</v>
      </c>
      <c r="AB36" s="240">
        <f t="shared" ref="AB36:AB37" si="7">SUM(Z36:AA36)</f>
        <v>295</v>
      </c>
      <c r="AC36" s="230" t="s">
        <v>304</v>
      </c>
      <c r="AD36" s="242" t="s">
        <v>16</v>
      </c>
      <c r="AE36" s="231">
        <v>45047</v>
      </c>
      <c r="AF36" s="219" t="s">
        <v>2825</v>
      </c>
      <c r="AG36" s="232">
        <v>5.84</v>
      </c>
      <c r="AH36" s="232">
        <v>5.35</v>
      </c>
      <c r="AI36" s="219" t="s">
        <v>304</v>
      </c>
      <c r="AJ36" s="223">
        <v>107755</v>
      </c>
      <c r="AK36" s="300">
        <v>45075</v>
      </c>
      <c r="AL36" s="252" t="s">
        <v>2826</v>
      </c>
    </row>
    <row r="37" spans="1:38" s="236" customFormat="1" ht="39.6" x14ac:dyDescent="0.3">
      <c r="A37" s="257">
        <v>45029</v>
      </c>
      <c r="B37" s="218" t="s">
        <v>2827</v>
      </c>
      <c r="C37" s="283" t="s">
        <v>1055</v>
      </c>
      <c r="D37" s="222" t="str">
        <f>VLOOKUP($C37,Customers!$A$2:$Z$1010,2,FALSE)</f>
        <v>Michael (Mike) Phillips</v>
      </c>
      <c r="E37" s="293" t="s">
        <v>2231</v>
      </c>
      <c r="F37" s="222" t="str">
        <f xml:space="preserve"> VLOOKUP($C37,Customers!$A$2:$Z$1010,5,FALSE)</f>
        <v>University of Toronto Mississauga</v>
      </c>
      <c r="G37" s="222" t="str">
        <f>VLOOKUP($C37,Customers!$A$2:$Z$1010,10,FALSE) &amp; ", " &amp; VLOOKUP($C37,Customers!$A$2:$Z$1010,11,FALSE)</f>
        <v>Mississauga, ON</v>
      </c>
      <c r="H37" s="222" t="str">
        <f>VLOOKUP($C37,Customers!$A$2:$Z$1010,13,FALSE)</f>
        <v>Canada</v>
      </c>
      <c r="I37" s="222" t="str">
        <f>VLOOKUP($C37,Customers!$A$2:$Z$1010,18,FALSE)</f>
        <v>CA</v>
      </c>
      <c r="J37" s="223" t="s">
        <v>304</v>
      </c>
      <c r="K37" s="224">
        <v>102</v>
      </c>
      <c r="L37" s="259">
        <v>1</v>
      </c>
      <c r="M37" s="224">
        <v>15</v>
      </c>
      <c r="N37" s="259">
        <f>1</f>
        <v>1</v>
      </c>
      <c r="O37" s="225" t="s">
        <v>16</v>
      </c>
      <c r="P37" s="224">
        <v>0</v>
      </c>
      <c r="Q37" s="224" t="s">
        <v>330</v>
      </c>
      <c r="R37" s="224">
        <v>255</v>
      </c>
      <c r="S37" s="224" t="s">
        <v>16</v>
      </c>
      <c r="T37" s="226" t="s">
        <v>2828</v>
      </c>
      <c r="U37" s="226" t="s">
        <v>2829</v>
      </c>
      <c r="V37" s="227">
        <v>135</v>
      </c>
      <c r="W37" s="227">
        <v>45</v>
      </c>
      <c r="X37" s="228" t="s">
        <v>16</v>
      </c>
      <c r="Y37" s="228" t="s">
        <v>16</v>
      </c>
      <c r="Z37" s="240">
        <f>135+45</f>
        <v>180</v>
      </c>
      <c r="AA37" s="302">
        <v>25</v>
      </c>
      <c r="AB37" s="240">
        <f t="shared" si="7"/>
        <v>205</v>
      </c>
      <c r="AC37" s="230" t="s">
        <v>304</v>
      </c>
      <c r="AD37" s="242" t="s">
        <v>1287</v>
      </c>
      <c r="AE37" s="231">
        <v>45041</v>
      </c>
      <c r="AF37" s="219" t="s">
        <v>2830</v>
      </c>
      <c r="AG37" s="232">
        <v>7.13</v>
      </c>
      <c r="AH37" s="232">
        <v>6.52</v>
      </c>
      <c r="AI37" s="239" t="s">
        <v>304</v>
      </c>
      <c r="AJ37" s="233">
        <v>103831</v>
      </c>
      <c r="AK37" s="300">
        <v>45075</v>
      </c>
      <c r="AL37" s="252" t="s">
        <v>2831</v>
      </c>
    </row>
    <row r="38" spans="1:38" s="281" customFormat="1" ht="106.2" thickBot="1" x14ac:dyDescent="0.35">
      <c r="A38" s="297">
        <v>45031</v>
      </c>
      <c r="B38" s="261" t="s">
        <v>2832</v>
      </c>
      <c r="C38" s="284" t="s">
        <v>1039</v>
      </c>
      <c r="D38" s="264" t="str">
        <f>VLOOKUP($C38,Customers!$A$2:$Z$1010,2,FALSE)</f>
        <v>Jerome Comte</v>
      </c>
      <c r="E38" s="582" t="s">
        <v>2833</v>
      </c>
      <c r="F38" s="264" t="str">
        <f xml:space="preserve"> VLOOKUP($C38,Customers!$A$2:$Z$1010,5,FALSE)</f>
        <v>Institut National de la Recherche Scientifique (INRS) - Eau Terre Environnement (ETE)</v>
      </c>
      <c r="G38" s="264" t="str">
        <f>VLOOKUP($C38,Customers!$A$2:$Z$1010,10,FALSE) &amp; ", " &amp; VLOOKUP($C38,Customers!$A$2:$Z$1010,11,FALSE)</f>
        <v>Quebec, QC</v>
      </c>
      <c r="H38" s="264" t="str">
        <f>VLOOKUP($C38,Customers!$A$2:$Z$1010,13,FALSE)</f>
        <v>Canada</v>
      </c>
      <c r="I38" s="264" t="str">
        <f>VLOOKUP($C38,Customers!$A$2:$Z$1010,18,FALSE)</f>
        <v>CA</v>
      </c>
      <c r="J38" s="265" t="s">
        <v>306</v>
      </c>
      <c r="K38" s="266" t="s">
        <v>16</v>
      </c>
      <c r="L38" s="267">
        <v>0</v>
      </c>
      <c r="M38" s="261">
        <v>0</v>
      </c>
      <c r="N38" s="267">
        <v>0</v>
      </c>
      <c r="O38" s="268" t="s">
        <v>16</v>
      </c>
      <c r="P38" s="261">
        <v>0</v>
      </c>
      <c r="Q38" s="261" t="s">
        <v>2834</v>
      </c>
      <c r="R38" s="261" t="s">
        <v>2835</v>
      </c>
      <c r="S38" s="261" t="s">
        <v>16</v>
      </c>
      <c r="T38" s="269" t="s">
        <v>2836</v>
      </c>
      <c r="U38" s="269" t="s">
        <v>2837</v>
      </c>
      <c r="V38" s="270" t="s">
        <v>16</v>
      </c>
      <c r="W38" s="270" t="s">
        <v>16</v>
      </c>
      <c r="X38" s="271">
        <f>125*3</f>
        <v>375</v>
      </c>
      <c r="Y38" s="270" t="s">
        <v>16</v>
      </c>
      <c r="Z38" s="272">
        <f>125*3</f>
        <v>375</v>
      </c>
      <c r="AA38" s="274">
        <v>25</v>
      </c>
      <c r="AB38" s="273">
        <f>SUM(Z38:AA38)</f>
        <v>400</v>
      </c>
      <c r="AC38" s="274" t="s">
        <v>304</v>
      </c>
      <c r="AD38" s="654" t="s">
        <v>2838</v>
      </c>
      <c r="AE38" s="276">
        <v>45047</v>
      </c>
      <c r="AF38" s="263" t="s">
        <v>2839</v>
      </c>
      <c r="AG38" s="277">
        <v>7.28</v>
      </c>
      <c r="AH38" s="277">
        <v>7.05</v>
      </c>
      <c r="AI38" s="303" t="s">
        <v>304</v>
      </c>
      <c r="AJ38" s="279">
        <v>104897</v>
      </c>
      <c r="AK38" s="304">
        <v>45075</v>
      </c>
      <c r="AL38" s="299" t="s">
        <v>2840</v>
      </c>
    </row>
    <row r="39" spans="1:38" s="236" customFormat="1" ht="39.6" x14ac:dyDescent="0.3">
      <c r="A39" s="257">
        <v>45048</v>
      </c>
      <c r="B39" s="224" t="s">
        <v>2841</v>
      </c>
      <c r="C39" s="283" t="s">
        <v>2306</v>
      </c>
      <c r="D39" s="222" t="str">
        <f>VLOOKUP($C39,Customers!$A$2:$Z$1010,2,FALSE)</f>
        <v>Megan Bauer</v>
      </c>
      <c r="E39" s="583" t="s">
        <v>16</v>
      </c>
      <c r="F39" s="222" t="str">
        <f xml:space="preserve"> VLOOKUP($C39,Customers!$A$2:$Z$1010,5,FALSE)</f>
        <v>Environment and Climate Change Canada (ECCC) - Atlantic Laboratory for Environmental Testing (ALET)</v>
      </c>
      <c r="G39" s="222" t="str">
        <f>VLOOKUP($C39,Customers!$A$2:$Z$1010,10,FALSE) &amp; ", " &amp; VLOOKUP($C39,Customers!$A$2:$Z$1010,11,FALSE)</f>
        <v>Moncton, NB</v>
      </c>
      <c r="H39" s="222" t="str">
        <f>VLOOKUP($C39,Customers!$A$2:$Z$1010,13,FALSE)</f>
        <v>Canada</v>
      </c>
      <c r="I39" s="222" t="str">
        <f>VLOOKUP($C39,Customers!$A$2:$Z$1010,18,FALSE)</f>
        <v>CG</v>
      </c>
      <c r="J39" s="223" t="s">
        <v>306</v>
      </c>
      <c r="K39" s="224">
        <v>715</v>
      </c>
      <c r="L39" s="259">
        <v>1</v>
      </c>
      <c r="M39" s="224">
        <v>30</v>
      </c>
      <c r="N39" s="259">
        <f>2</f>
        <v>2</v>
      </c>
      <c r="O39" s="225" t="s">
        <v>16</v>
      </c>
      <c r="P39" s="224">
        <v>0</v>
      </c>
      <c r="Q39" s="225" t="s">
        <v>16</v>
      </c>
      <c r="R39" s="224">
        <v>0</v>
      </c>
      <c r="S39" s="224" t="s">
        <v>16</v>
      </c>
      <c r="T39" s="226" t="s">
        <v>4071</v>
      </c>
      <c r="U39" s="226" t="s">
        <v>2843</v>
      </c>
      <c r="V39" s="227">
        <v>175</v>
      </c>
      <c r="W39" s="228" t="s">
        <v>16</v>
      </c>
      <c r="X39" s="228" t="s">
        <v>16</v>
      </c>
      <c r="Y39" s="228" t="s">
        <v>16</v>
      </c>
      <c r="Z39" s="229">
        <f>175</f>
        <v>175</v>
      </c>
      <c r="AA39" s="240">
        <v>25</v>
      </c>
      <c r="AB39" s="240">
        <f t="shared" ref="AB39:AB42" si="8">SUM(Z39:AA39)</f>
        <v>200</v>
      </c>
      <c r="AC39" s="230" t="s">
        <v>304</v>
      </c>
      <c r="AD39" s="242" t="s">
        <v>16</v>
      </c>
      <c r="AE39" s="231">
        <v>45054</v>
      </c>
      <c r="AF39" s="219" t="s">
        <v>2844</v>
      </c>
      <c r="AG39" s="232">
        <v>19.39</v>
      </c>
      <c r="AH39" s="232">
        <v>17.52</v>
      </c>
      <c r="AI39" s="257" t="s">
        <v>304</v>
      </c>
      <c r="AJ39" s="218">
        <v>103165</v>
      </c>
      <c r="AK39" s="231">
        <v>45107</v>
      </c>
      <c r="AL39" s="235" t="s">
        <v>2845</v>
      </c>
    </row>
    <row r="40" spans="1:38" s="236" customFormat="1" ht="26.4" x14ac:dyDescent="0.3">
      <c r="A40" s="257">
        <v>45054</v>
      </c>
      <c r="B40" s="218" t="s">
        <v>2846</v>
      </c>
      <c r="C40" s="283" t="s">
        <v>1056</v>
      </c>
      <c r="D40" s="222" t="str">
        <f>VLOOKUP($C40,Customers!$A$2:$Z$1010,2,FALSE)</f>
        <v>Jenine McCutcheon</v>
      </c>
      <c r="E40" s="219" t="s">
        <v>2090</v>
      </c>
      <c r="F40" s="222" t="str">
        <f xml:space="preserve"> VLOOKUP($C40,Customers!$A$2:$Z$1010,5,FALSE)</f>
        <v>University of Waterloo</v>
      </c>
      <c r="G40" s="222" t="str">
        <f>VLOOKUP($C40,Customers!$A$2:$Z$1010,10,FALSE) &amp; ", " &amp; VLOOKUP($C40,Customers!$A$2:$Z$1010,11,FALSE)</f>
        <v>Waterloo, ON</v>
      </c>
      <c r="H40" s="222" t="str">
        <f>VLOOKUP($C40,Customers!$A$2:$Z$1010,13,FALSE)</f>
        <v>Canada</v>
      </c>
      <c r="I40" s="222" t="str">
        <f>VLOOKUP($C40,Customers!$A$2:$Z$1010,18,FALSE)</f>
        <v>CA</v>
      </c>
      <c r="J40" s="223" t="s">
        <v>306</v>
      </c>
      <c r="K40" s="224">
        <v>102</v>
      </c>
      <c r="L40" s="259">
        <v>1</v>
      </c>
      <c r="M40" s="224">
        <v>15</v>
      </c>
      <c r="N40" s="259">
        <f>1</f>
        <v>1</v>
      </c>
      <c r="O40" s="224" t="s">
        <v>353</v>
      </c>
      <c r="P40" s="224">
        <v>1</v>
      </c>
      <c r="Q40" s="225" t="s">
        <v>16</v>
      </c>
      <c r="R40" s="224">
        <v>0</v>
      </c>
      <c r="S40" s="224" t="s">
        <v>16</v>
      </c>
      <c r="T40" s="226" t="s">
        <v>2847</v>
      </c>
      <c r="U40" s="226" t="s">
        <v>2848</v>
      </c>
      <c r="V40" s="227">
        <v>100</v>
      </c>
      <c r="W40" s="227">
        <v>55</v>
      </c>
      <c r="X40" s="228" t="s">
        <v>16</v>
      </c>
      <c r="Y40" s="228" t="s">
        <v>16</v>
      </c>
      <c r="Z40" s="240">
        <f t="shared" ref="Z40" si="9">SUM(V40:Y40)</f>
        <v>155</v>
      </c>
      <c r="AA40" s="240" t="s">
        <v>308</v>
      </c>
      <c r="AB40" s="282">
        <f t="shared" si="8"/>
        <v>155</v>
      </c>
      <c r="AC40" s="230" t="s">
        <v>304</v>
      </c>
      <c r="AD40" s="242" t="s">
        <v>16</v>
      </c>
      <c r="AE40" s="231">
        <v>45061</v>
      </c>
      <c r="AF40" s="219" t="s">
        <v>2792</v>
      </c>
      <c r="AG40" s="241" t="s">
        <v>308</v>
      </c>
      <c r="AH40" s="241" t="s">
        <v>308</v>
      </c>
      <c r="AI40" s="218" t="s">
        <v>308</v>
      </c>
      <c r="AJ40" s="218" t="s">
        <v>308</v>
      </c>
      <c r="AK40" s="257">
        <v>45195</v>
      </c>
      <c r="AL40" s="252" t="s">
        <v>2849</v>
      </c>
    </row>
    <row r="41" spans="1:38" ht="52.8" x14ac:dyDescent="0.3">
      <c r="A41" s="704" t="s">
        <v>16</v>
      </c>
      <c r="B41" s="305" t="s">
        <v>2850</v>
      </c>
      <c r="C41" s="221" t="s">
        <v>2454</v>
      </c>
      <c r="D41" s="221" t="str">
        <f>VLOOKUP($C41,Customers!$A$2:$Z$1010,2,FALSE)</f>
        <v>Houda Hanana</v>
      </c>
      <c r="E41" s="306" t="s">
        <v>16</v>
      </c>
      <c r="F41" s="221" t="str">
        <f xml:space="preserve"> VLOOKUP($C41,Customers!$A$2:$Z$1010,5,FALSE)</f>
        <v>Environment and Climate Change Canada (ECCC) - Aquatic Contaminants Research Division (ACRD)</v>
      </c>
      <c r="G41" s="221" t="str">
        <f>VLOOKUP($C41,Customers!$A$2:$Z$1010,10,FALSE) &amp; ", " &amp; VLOOKUP($C41,Customers!$A$2:$Z$1010,11,FALSE)</f>
        <v>Montreal, QC</v>
      </c>
      <c r="H41" s="195" t="s">
        <v>308</v>
      </c>
      <c r="I41" s="195" t="s">
        <v>308</v>
      </c>
      <c r="J41" s="204" t="s">
        <v>306</v>
      </c>
      <c r="K41" s="308" t="s">
        <v>16</v>
      </c>
      <c r="L41" s="308" t="s">
        <v>16</v>
      </c>
      <c r="M41" s="308" t="s">
        <v>16</v>
      </c>
      <c r="N41" s="308" t="s">
        <v>16</v>
      </c>
      <c r="O41" s="308" t="s">
        <v>16</v>
      </c>
      <c r="P41" s="308" t="s">
        <v>16</v>
      </c>
      <c r="Q41" s="308" t="s">
        <v>16</v>
      </c>
      <c r="R41" s="308" t="s">
        <v>16</v>
      </c>
      <c r="S41" s="308" t="s">
        <v>16</v>
      </c>
      <c r="T41" s="309" t="s">
        <v>2734</v>
      </c>
      <c r="U41" s="309" t="s">
        <v>2735</v>
      </c>
      <c r="V41" s="310" t="s">
        <v>308</v>
      </c>
      <c r="W41" s="310" t="s">
        <v>308</v>
      </c>
      <c r="X41" s="307" t="s">
        <v>308</v>
      </c>
      <c r="Y41" s="310" t="s">
        <v>308</v>
      </c>
      <c r="Z41" s="310" t="s">
        <v>308</v>
      </c>
      <c r="AA41" s="310" t="s">
        <v>308</v>
      </c>
      <c r="AB41" s="310" t="s">
        <v>308</v>
      </c>
      <c r="AC41" s="135" t="s">
        <v>306</v>
      </c>
      <c r="AD41" s="205" t="s">
        <v>2736</v>
      </c>
      <c r="AE41" s="310" t="s">
        <v>308</v>
      </c>
      <c r="AF41" s="310" t="s">
        <v>308</v>
      </c>
      <c r="AG41" s="311" t="s">
        <v>308</v>
      </c>
      <c r="AH41" s="311" t="s">
        <v>308</v>
      </c>
      <c r="AI41" s="198">
        <v>103161</v>
      </c>
      <c r="AJ41" s="204" t="s">
        <v>304</v>
      </c>
      <c r="AK41" s="310" t="s">
        <v>308</v>
      </c>
      <c r="AL41" s="312" t="s">
        <v>4073</v>
      </c>
    </row>
    <row r="42" spans="1:38" s="236" customFormat="1" ht="66" x14ac:dyDescent="0.3">
      <c r="A42" s="257">
        <v>45057</v>
      </c>
      <c r="B42" s="224" t="s">
        <v>2851</v>
      </c>
      <c r="C42" s="283" t="s">
        <v>1032</v>
      </c>
      <c r="D42" s="222" t="str">
        <f>VLOOKUP($C42,Customers!$A$2:$Z$1010,2,FALSE)</f>
        <v>Michael (Mike) Chanov</v>
      </c>
      <c r="E42" s="583" t="s">
        <v>16</v>
      </c>
      <c r="F42" s="222" t="str">
        <f xml:space="preserve"> VLOOKUP($C42,Customers!$A$2:$Z$1010,5,FALSE)</f>
        <v>EA Engineering, Science, and Technology, Inc.</v>
      </c>
      <c r="G42" s="222" t="str">
        <f>VLOOKUP($C42,Customers!$A$2:$Z$1010,10,FALSE) &amp; ", " &amp; VLOOKUP($C42,Customers!$A$2:$Z$1010,11,FALSE)</f>
        <v>Hunt Valley, MD</v>
      </c>
      <c r="H42" s="222" t="str">
        <f>VLOOKUP($C42,Customers!$A$2:$Z$1010,13,FALSE)</f>
        <v>USA</v>
      </c>
      <c r="I42" s="222" t="str">
        <f>VLOOKUP($C42,Customers!$A$2:$Z$1010,18,FALSE)</f>
        <v>IC</v>
      </c>
      <c r="J42" s="253" t="s">
        <v>306</v>
      </c>
      <c r="K42" s="224">
        <v>37</v>
      </c>
      <c r="L42" s="251">
        <v>1</v>
      </c>
      <c r="M42" s="224">
        <v>90</v>
      </c>
      <c r="N42" s="251">
        <f>2</f>
        <v>2</v>
      </c>
      <c r="O42" s="225" t="s">
        <v>16</v>
      </c>
      <c r="P42" s="224">
        <v>0</v>
      </c>
      <c r="Q42" s="225" t="s">
        <v>16</v>
      </c>
      <c r="R42" s="224">
        <v>0</v>
      </c>
      <c r="S42" s="224" t="s">
        <v>16</v>
      </c>
      <c r="T42" s="226" t="s">
        <v>2692</v>
      </c>
      <c r="U42" s="226" t="s">
        <v>2693</v>
      </c>
      <c r="V42" s="227">
        <v>340</v>
      </c>
      <c r="W42" s="228" t="s">
        <v>16</v>
      </c>
      <c r="X42" s="228" t="s">
        <v>16</v>
      </c>
      <c r="Y42" s="228" t="s">
        <v>16</v>
      </c>
      <c r="Z42" s="254">
        <f>340</f>
        <v>340</v>
      </c>
      <c r="AA42" s="240">
        <v>85</v>
      </c>
      <c r="AB42" s="240">
        <f t="shared" si="8"/>
        <v>425</v>
      </c>
      <c r="AC42" s="230" t="s">
        <v>304</v>
      </c>
      <c r="AD42" s="242" t="s">
        <v>16</v>
      </c>
      <c r="AE42" s="231">
        <v>45062</v>
      </c>
      <c r="AF42" s="219" t="s">
        <v>2852</v>
      </c>
      <c r="AG42" s="232">
        <v>58.57</v>
      </c>
      <c r="AH42" s="232">
        <v>58.57</v>
      </c>
      <c r="AI42" s="245" t="s">
        <v>304</v>
      </c>
      <c r="AJ42" s="223">
        <v>103127</v>
      </c>
      <c r="AK42" s="231">
        <v>45107</v>
      </c>
      <c r="AL42" s="255" t="s">
        <v>2853</v>
      </c>
    </row>
    <row r="43" spans="1:38" s="236" customFormat="1" ht="66" x14ac:dyDescent="0.3">
      <c r="A43" s="257">
        <v>45057</v>
      </c>
      <c r="B43" s="224" t="s">
        <v>2854</v>
      </c>
      <c r="C43" s="218" t="s">
        <v>2479</v>
      </c>
      <c r="D43" s="222" t="str">
        <f>VLOOKUP($C43,Customers!$A$2:$Z$1010,2,FALSE)</f>
        <v>Jozef Nissimov</v>
      </c>
      <c r="E43" s="293" t="s">
        <v>2134</v>
      </c>
      <c r="F43" s="222" t="str">
        <f xml:space="preserve"> VLOOKUP($C43,Customers!$A$2:$Z$1010,5,FALSE)</f>
        <v>University of Waterloo</v>
      </c>
      <c r="G43" s="222" t="str">
        <f>VLOOKUP($C43,Customers!$A$2:$Z$1010,10,FALSE) &amp; ", " &amp; VLOOKUP($C43,Customers!$A$2:$Z$1010,11,FALSE)</f>
        <v>Waterloo, ON</v>
      </c>
      <c r="H43" s="222" t="str">
        <f>VLOOKUP($C43,Customers!$A$2:$Z$1010,13,FALSE)</f>
        <v>Canada</v>
      </c>
      <c r="I43" s="222" t="str">
        <f>VLOOKUP($C43,Customers!$A$2:$Z$1010,18,FALSE)</f>
        <v>CA</v>
      </c>
      <c r="J43" s="253" t="s">
        <v>306</v>
      </c>
      <c r="K43" s="243" t="s">
        <v>16</v>
      </c>
      <c r="L43" s="251">
        <v>0</v>
      </c>
      <c r="M43" s="224">
        <v>0</v>
      </c>
      <c r="N43" s="251">
        <v>0</v>
      </c>
      <c r="O43" s="225" t="s">
        <v>16</v>
      </c>
      <c r="P43" s="224">
        <v>0</v>
      </c>
      <c r="Q43" s="224" t="s">
        <v>2855</v>
      </c>
      <c r="R43" s="224">
        <v>900</v>
      </c>
      <c r="S43" s="224" t="s">
        <v>16</v>
      </c>
      <c r="T43" s="226" t="s">
        <v>2856</v>
      </c>
      <c r="U43" s="226" t="s">
        <v>2857</v>
      </c>
      <c r="V43" s="228" t="s">
        <v>16</v>
      </c>
      <c r="W43" s="228" t="s">
        <v>16</v>
      </c>
      <c r="X43" s="227">
        <v>280</v>
      </c>
      <c r="Y43" s="228" t="s">
        <v>16</v>
      </c>
      <c r="Z43" s="240">
        <f t="shared" ref="Z43" si="10">SUM(V43:Y43)</f>
        <v>280</v>
      </c>
      <c r="AA43" s="240" t="s">
        <v>308</v>
      </c>
      <c r="AB43" s="282">
        <f>SUM(Z43:AA43)</f>
        <v>280</v>
      </c>
      <c r="AC43" s="230" t="s">
        <v>304</v>
      </c>
      <c r="AD43" s="242" t="s">
        <v>16</v>
      </c>
      <c r="AE43" s="231">
        <v>45062</v>
      </c>
      <c r="AF43" s="219" t="s">
        <v>2858</v>
      </c>
      <c r="AG43" s="241" t="s">
        <v>308</v>
      </c>
      <c r="AH43" s="241" t="s">
        <v>308</v>
      </c>
      <c r="AI43" s="218" t="s">
        <v>308</v>
      </c>
      <c r="AJ43" s="218" t="s">
        <v>308</v>
      </c>
      <c r="AK43" s="257">
        <v>45195</v>
      </c>
      <c r="AL43" s="252" t="s">
        <v>2859</v>
      </c>
    </row>
    <row r="44" spans="1:38" s="236" customFormat="1" ht="52.95" customHeight="1" x14ac:dyDescent="0.3">
      <c r="A44" s="257">
        <v>45058</v>
      </c>
      <c r="B44" s="218" t="s">
        <v>2860</v>
      </c>
      <c r="C44" s="283" t="s">
        <v>1038</v>
      </c>
      <c r="D44" s="222" t="str">
        <f>VLOOKUP($C44,Customers!$A$2:$Z$1010,2,FALSE)</f>
        <v>Janetta Fraser</v>
      </c>
      <c r="E44" s="583" t="s">
        <v>16</v>
      </c>
      <c r="F44" s="222" t="str">
        <f xml:space="preserve"> VLOOKUP($C44,Customers!$A$2:$Z$1010,5,FALSE)</f>
        <v>Harris Industrial Testing Service Ltd. (HITS)</v>
      </c>
      <c r="G44" s="222" t="str">
        <f>VLOOKUP($C44,Customers!$A$2:$Z$1010,10,FALSE) &amp; ", " &amp; VLOOKUP($C44,Customers!$A$2:$Z$1010,11,FALSE)</f>
        <v>Waverley, NS</v>
      </c>
      <c r="H44" s="222" t="str">
        <f>VLOOKUP($C44,Customers!$A$2:$Z$1010,13,FALSE)</f>
        <v>Canada</v>
      </c>
      <c r="I44" s="222" t="str">
        <f>VLOOKUP($C44,Customers!$A$2:$Z$1010,18,FALSE)</f>
        <v>CC</v>
      </c>
      <c r="J44" s="223" t="s">
        <v>306</v>
      </c>
      <c r="K44" s="224" t="s">
        <v>2861</v>
      </c>
      <c r="L44" s="223">
        <v>2</v>
      </c>
      <c r="M44" s="224" t="s">
        <v>1973</v>
      </c>
      <c r="N44" s="223">
        <f>1+1</f>
        <v>2</v>
      </c>
      <c r="O44" s="224" t="s">
        <v>393</v>
      </c>
      <c r="P44" s="224">
        <v>1</v>
      </c>
      <c r="Q44" s="224" t="s">
        <v>323</v>
      </c>
      <c r="R44" s="224">
        <v>110</v>
      </c>
      <c r="S44" s="224" t="s">
        <v>16</v>
      </c>
      <c r="T44" s="226" t="s">
        <v>2862</v>
      </c>
      <c r="U44" s="226" t="s">
        <v>2863</v>
      </c>
      <c r="V44" s="227">
        <f>200*2</f>
        <v>400</v>
      </c>
      <c r="W44" s="227">
        <v>80</v>
      </c>
      <c r="X44" s="227">
        <v>90</v>
      </c>
      <c r="Y44" s="228" t="s">
        <v>16</v>
      </c>
      <c r="Z44" s="230">
        <f>200+200+80+90</f>
        <v>570</v>
      </c>
      <c r="AA44" s="230">
        <v>35</v>
      </c>
      <c r="AB44" s="230">
        <f>SUM(Z44:AA44)</f>
        <v>605</v>
      </c>
      <c r="AC44" s="230" t="s">
        <v>304</v>
      </c>
      <c r="AD44" s="652" t="s">
        <v>16</v>
      </c>
      <c r="AE44" s="231">
        <v>45069</v>
      </c>
      <c r="AF44" s="219" t="s">
        <v>2864</v>
      </c>
      <c r="AG44" s="232">
        <v>29.54</v>
      </c>
      <c r="AH44" s="232">
        <v>26.7</v>
      </c>
      <c r="AI44" s="258" t="s">
        <v>304</v>
      </c>
      <c r="AJ44" s="233">
        <v>103252</v>
      </c>
      <c r="AK44" s="231">
        <v>45107</v>
      </c>
      <c r="AL44" s="255" t="s">
        <v>2865</v>
      </c>
    </row>
    <row r="45" spans="1:38" s="236" customFormat="1" ht="52.8" x14ac:dyDescent="0.3">
      <c r="A45" s="257">
        <v>45061</v>
      </c>
      <c r="B45" s="224" t="s">
        <v>2866</v>
      </c>
      <c r="C45" s="283" t="s">
        <v>1049</v>
      </c>
      <c r="D45" s="222" t="str">
        <f>VLOOKUP($C45,Customers!$A$2:$Z$1010,2,FALSE)</f>
        <v>Katheryn Klajman</v>
      </c>
      <c r="E45" s="583" t="s">
        <v>16</v>
      </c>
      <c r="F45" s="222" t="str">
        <f xml:space="preserve"> VLOOKUP($C45,Customers!$A$2:$Z$1010,5,FALSE)</f>
        <v>Testmark Laboratories Ltd.</v>
      </c>
      <c r="G45" s="222" t="str">
        <f>VLOOKUP($C45,Customers!$A$2:$Z$1010,10,FALSE) &amp; ", " &amp; VLOOKUP($C45,Customers!$A$2:$Z$1010,11,FALSE)</f>
        <v>Garson, ON</v>
      </c>
      <c r="H45" s="222" t="str">
        <f>VLOOKUP($C45,Customers!$A$2:$Z$1010,13,FALSE)</f>
        <v>Canada</v>
      </c>
      <c r="I45" s="222" t="str">
        <f>VLOOKUP($C45,Customers!$A$2:$Z$1010,18,FALSE)</f>
        <v>CC</v>
      </c>
      <c r="J45" s="223" t="s">
        <v>304</v>
      </c>
      <c r="K45" s="224" t="s">
        <v>346</v>
      </c>
      <c r="L45" s="251">
        <v>2</v>
      </c>
      <c r="M45" s="224" t="s">
        <v>1983</v>
      </c>
      <c r="N45" s="251">
        <f>1+1</f>
        <v>2</v>
      </c>
      <c r="O45" s="225" t="s">
        <v>16</v>
      </c>
      <c r="P45" s="224">
        <v>0</v>
      </c>
      <c r="Q45" s="225" t="s">
        <v>16</v>
      </c>
      <c r="R45" s="224">
        <v>0</v>
      </c>
      <c r="S45" s="224" t="s">
        <v>16</v>
      </c>
      <c r="T45" s="292" t="s">
        <v>2867</v>
      </c>
      <c r="U45" s="313" t="s">
        <v>2868</v>
      </c>
      <c r="V45" s="314">
        <f>290*2</f>
        <v>580</v>
      </c>
      <c r="W45" s="228" t="s">
        <v>16</v>
      </c>
      <c r="X45" s="228" t="s">
        <v>16</v>
      </c>
      <c r="Y45" s="228" t="s">
        <v>16</v>
      </c>
      <c r="Z45" s="229">
        <f>290*2</f>
        <v>580</v>
      </c>
      <c r="AA45" s="230">
        <v>25</v>
      </c>
      <c r="AB45" s="282">
        <f>SUM(Z45:AA45)</f>
        <v>605</v>
      </c>
      <c r="AC45" s="230" t="s">
        <v>304</v>
      </c>
      <c r="AD45" s="341" t="s">
        <v>2869</v>
      </c>
      <c r="AE45" s="231">
        <v>45069</v>
      </c>
      <c r="AF45" s="219" t="s">
        <v>2870</v>
      </c>
      <c r="AG45" s="232">
        <v>5.65</v>
      </c>
      <c r="AH45" s="232">
        <v>5.17</v>
      </c>
      <c r="AI45" s="230" t="s">
        <v>304</v>
      </c>
      <c r="AJ45" s="223">
        <v>103703</v>
      </c>
      <c r="AK45" s="231">
        <v>45107</v>
      </c>
      <c r="AL45" s="252" t="s">
        <v>2871</v>
      </c>
    </row>
    <row r="46" spans="1:38" s="236" customFormat="1" x14ac:dyDescent="0.3">
      <c r="A46" s="257">
        <v>45061</v>
      </c>
      <c r="B46" s="224" t="s">
        <v>2872</v>
      </c>
      <c r="C46" s="222" t="s">
        <v>2434</v>
      </c>
      <c r="D46" s="222" t="str">
        <f>VLOOKUP($C46,Customers!$A$2:$Z$1010,2,FALSE)</f>
        <v>Dirk Wallschläger</v>
      </c>
      <c r="E46" s="293" t="s">
        <v>2138</v>
      </c>
      <c r="F46" s="222" t="str">
        <f xml:space="preserve"> VLOOKUP($C46,Customers!$A$2:$Z$1010,5,FALSE)</f>
        <v>Wilfrid Laurier University</v>
      </c>
      <c r="G46" s="222" t="str">
        <f>VLOOKUP($C46,Customers!$A$2:$Z$1010,10,FALSE) &amp; ", " &amp; VLOOKUP($C46,Customers!$A$2:$Z$1010,11,FALSE)</f>
        <v>Waterloo, ON</v>
      </c>
      <c r="H46" s="222" t="str">
        <f>VLOOKUP($C46,Customers!$A$2:$Z$1010,13,FALSE)</f>
        <v>Canada</v>
      </c>
      <c r="I46" s="222" t="str">
        <f>VLOOKUP($C46,Customers!$A$2:$Z$1010,18,FALSE)</f>
        <v>CA</v>
      </c>
      <c r="J46" s="223" t="s">
        <v>304</v>
      </c>
      <c r="K46" s="224" t="s">
        <v>2740</v>
      </c>
      <c r="L46" s="259">
        <v>2</v>
      </c>
      <c r="M46" s="224" t="s">
        <v>1973</v>
      </c>
      <c r="N46" s="259">
        <f>1+1</f>
        <v>2</v>
      </c>
      <c r="O46" s="225" t="s">
        <v>16</v>
      </c>
      <c r="P46" s="224">
        <v>0</v>
      </c>
      <c r="Q46" s="225" t="s">
        <v>16</v>
      </c>
      <c r="R46" s="224">
        <v>0</v>
      </c>
      <c r="S46" s="224" t="s">
        <v>16</v>
      </c>
      <c r="T46" s="226" t="s">
        <v>2873</v>
      </c>
      <c r="U46" s="313" t="s">
        <v>1138</v>
      </c>
      <c r="V46" s="314">
        <f>135*2</f>
        <v>270</v>
      </c>
      <c r="W46" s="228" t="s">
        <v>16</v>
      </c>
      <c r="X46" s="228" t="s">
        <v>16</v>
      </c>
      <c r="Y46" s="228" t="s">
        <v>16</v>
      </c>
      <c r="Z46" s="229">
        <f>135*2</f>
        <v>270</v>
      </c>
      <c r="AA46" s="230" t="s">
        <v>308</v>
      </c>
      <c r="AB46" s="282">
        <f>SUM(Z46:AA46)</f>
        <v>270</v>
      </c>
      <c r="AC46" s="230" t="s">
        <v>304</v>
      </c>
      <c r="AD46" s="242" t="s">
        <v>2874</v>
      </c>
      <c r="AE46" s="231">
        <v>45069</v>
      </c>
      <c r="AF46" s="219" t="s">
        <v>2875</v>
      </c>
      <c r="AG46" s="241" t="s">
        <v>308</v>
      </c>
      <c r="AH46" s="241" t="s">
        <v>308</v>
      </c>
      <c r="AI46" s="230" t="s">
        <v>304</v>
      </c>
      <c r="AJ46" s="233">
        <v>103894</v>
      </c>
      <c r="AK46" s="231">
        <v>45107</v>
      </c>
      <c r="AL46" s="252" t="s">
        <v>387</v>
      </c>
    </row>
    <row r="47" spans="1:38" s="236" customFormat="1" ht="39.6" x14ac:dyDescent="0.3">
      <c r="A47" s="257">
        <v>45063</v>
      </c>
      <c r="B47" s="250" t="s">
        <v>2876</v>
      </c>
      <c r="C47" s="283" t="s">
        <v>1046</v>
      </c>
      <c r="D47" s="222" t="str">
        <f>VLOOKUP($C47,Customers!$A$2:$Z$1010,2,FALSE)</f>
        <v>Edyta Pasiak</v>
      </c>
      <c r="E47" s="583" t="s">
        <v>16</v>
      </c>
      <c r="F47" s="222" t="str">
        <f xml:space="preserve"> VLOOKUP($C47,Customers!$A$2:$Z$1010,5,FALSE)</f>
        <v>Nautilus Environmental Company Inc. - Point Edward</v>
      </c>
      <c r="G47" s="222" t="str">
        <f>VLOOKUP($C47,Customers!$A$2:$Z$1010,10,FALSE) &amp; ", " &amp; VLOOKUP($C47,Customers!$A$2:$Z$1010,11,FALSE)</f>
        <v>Point Edward, ON</v>
      </c>
      <c r="H47" s="222" t="str">
        <f>VLOOKUP($C47,Customers!$A$2:$Z$1010,13,FALSE)</f>
        <v>Canada</v>
      </c>
      <c r="I47" s="222" t="str">
        <f>VLOOKUP($C47,Customers!$A$2:$Z$1010,18,FALSE)</f>
        <v>CC</v>
      </c>
      <c r="J47" s="257" t="s">
        <v>306</v>
      </c>
      <c r="K47" s="243" t="s">
        <v>16</v>
      </c>
      <c r="L47" s="223">
        <v>0</v>
      </c>
      <c r="M47" s="224">
        <v>0</v>
      </c>
      <c r="N47" s="223">
        <v>0</v>
      </c>
      <c r="O47" s="224" t="s">
        <v>371</v>
      </c>
      <c r="P47" s="224">
        <v>2</v>
      </c>
      <c r="Q47" s="225" t="s">
        <v>16</v>
      </c>
      <c r="R47" s="224">
        <v>0</v>
      </c>
      <c r="S47" s="224" t="s">
        <v>16</v>
      </c>
      <c r="T47" s="226" t="s">
        <v>1253</v>
      </c>
      <c r="U47" s="226" t="s">
        <v>1151</v>
      </c>
      <c r="V47" s="228" t="s">
        <v>16</v>
      </c>
      <c r="W47" s="228">
        <f>80*2</f>
        <v>160</v>
      </c>
      <c r="X47" s="228" t="s">
        <v>16</v>
      </c>
      <c r="Y47" s="228" t="s">
        <v>16</v>
      </c>
      <c r="Z47" s="230">
        <f>80*2</f>
        <v>160</v>
      </c>
      <c r="AA47" s="240">
        <v>25</v>
      </c>
      <c r="AB47" s="241">
        <f t="shared" ref="AB47:AB50" si="11">SUM(Z47:AA47)</f>
        <v>185</v>
      </c>
      <c r="AC47" s="230" t="s">
        <v>304</v>
      </c>
      <c r="AD47" s="243" t="s">
        <v>2877</v>
      </c>
      <c r="AE47" s="231">
        <v>45069</v>
      </c>
      <c r="AF47" s="219" t="s">
        <v>2878</v>
      </c>
      <c r="AG47" s="241">
        <v>6.54</v>
      </c>
      <c r="AH47" s="241">
        <v>5.99</v>
      </c>
      <c r="AI47" s="257" t="s">
        <v>304</v>
      </c>
      <c r="AJ47" s="223">
        <v>103547</v>
      </c>
      <c r="AK47" s="231">
        <v>45112</v>
      </c>
      <c r="AL47" s="260" t="s">
        <v>2879</v>
      </c>
    </row>
    <row r="48" spans="1:38" s="236" customFormat="1" ht="39.6" x14ac:dyDescent="0.3">
      <c r="A48" s="257">
        <v>45063</v>
      </c>
      <c r="B48" s="218" t="s">
        <v>2880</v>
      </c>
      <c r="C48" s="222" t="s">
        <v>2425</v>
      </c>
      <c r="D48" s="222" t="str">
        <f>VLOOKUP($C48,Customers!$A$2:$Z$1010,2,FALSE)</f>
        <v>Craig Buday</v>
      </c>
      <c r="E48" s="583" t="s">
        <v>16</v>
      </c>
      <c r="F48" s="222" t="str">
        <f xml:space="preserve"> VLOOKUP($C48,Customers!$A$2:$Z$1010,5,FALSE)</f>
        <v>Environment and Climate Change Canada (ECCC) - Pacific Yukon Laboratory for Environmental Testing (PYLET)</v>
      </c>
      <c r="G48" s="222" t="str">
        <f>VLOOKUP($C48,Customers!$A$2:$Z$1010,10,FALSE) &amp; ", " &amp; VLOOKUP($C48,Customers!$A$2:$Z$1010,11,FALSE)</f>
        <v>North Vancouver, BC</v>
      </c>
      <c r="H48" s="222" t="str">
        <f>VLOOKUP($C48,Customers!$A$2:$Z$1010,13,FALSE)</f>
        <v>Canada</v>
      </c>
      <c r="I48" s="222" t="str">
        <f>VLOOKUP($C48,Customers!$A$2:$Z$1010,18,FALSE)</f>
        <v>CG</v>
      </c>
      <c r="J48" s="259" t="s">
        <v>306</v>
      </c>
      <c r="K48" s="224">
        <v>37</v>
      </c>
      <c r="L48" s="259">
        <v>1</v>
      </c>
      <c r="M48" s="224">
        <v>100</v>
      </c>
      <c r="N48" s="259">
        <f>2</f>
        <v>2</v>
      </c>
      <c r="O48" s="225" t="s">
        <v>16</v>
      </c>
      <c r="P48" s="224">
        <v>0</v>
      </c>
      <c r="Q48" s="225" t="s">
        <v>16</v>
      </c>
      <c r="R48" s="224">
        <v>0</v>
      </c>
      <c r="S48" s="224" t="s">
        <v>16</v>
      </c>
      <c r="T48" s="226" t="s">
        <v>2881</v>
      </c>
      <c r="U48" s="226" t="s">
        <v>2882</v>
      </c>
      <c r="V48" s="227">
        <v>230</v>
      </c>
      <c r="W48" s="228" t="s">
        <v>16</v>
      </c>
      <c r="X48" s="228" t="s">
        <v>16</v>
      </c>
      <c r="Y48" s="228" t="s">
        <v>16</v>
      </c>
      <c r="Z48" s="240">
        <f>230</f>
        <v>230</v>
      </c>
      <c r="AA48" s="230">
        <v>5</v>
      </c>
      <c r="AB48" s="240">
        <f t="shared" si="11"/>
        <v>235</v>
      </c>
      <c r="AC48" s="230" t="s">
        <v>304</v>
      </c>
      <c r="AD48" s="655" t="s">
        <v>16</v>
      </c>
      <c r="AE48" s="231">
        <v>45075</v>
      </c>
      <c r="AF48" s="219" t="s">
        <v>2883</v>
      </c>
      <c r="AG48" s="230" t="s">
        <v>308</v>
      </c>
      <c r="AH48" s="230" t="s">
        <v>308</v>
      </c>
      <c r="AI48" s="240" t="s">
        <v>304</v>
      </c>
      <c r="AJ48" s="223">
        <v>103173</v>
      </c>
      <c r="AK48" s="231">
        <v>45112</v>
      </c>
      <c r="AL48" s="252" t="s">
        <v>2884</v>
      </c>
    </row>
    <row r="49" spans="1:38" s="236" customFormat="1" ht="52.8" x14ac:dyDescent="0.3">
      <c r="A49" s="257">
        <v>45064</v>
      </c>
      <c r="B49" s="224" t="s">
        <v>2885</v>
      </c>
      <c r="C49" s="283" t="s">
        <v>1045</v>
      </c>
      <c r="D49" s="222" t="str">
        <f>VLOOKUP($C49,Customers!$A$2:$Z$1010,2,FALSE)</f>
        <v>Adam Wartman</v>
      </c>
      <c r="E49" s="583" t="s">
        <v>16</v>
      </c>
      <c r="F49" s="222" t="str">
        <f xml:space="preserve"> VLOOKUP($C49,Customers!$A$2:$Z$1010,5,FALSE)</f>
        <v>Nautilus Environmental Company Inc. - Guelph</v>
      </c>
      <c r="G49" s="222" t="str">
        <f>VLOOKUP($C49,Customers!$A$2:$Z$1010,10,FALSE) &amp; ", " &amp; VLOOKUP($C49,Customers!$A$2:$Z$1010,11,FALSE)</f>
        <v>Puslinch, ON</v>
      </c>
      <c r="H49" s="222" t="str">
        <f>VLOOKUP($C49,Customers!$A$2:$Z$1010,13,FALSE)</f>
        <v>Canada</v>
      </c>
      <c r="I49" s="222" t="str">
        <f>VLOOKUP($C49,Customers!$A$2:$Z$1010,18,FALSE)</f>
        <v>CC</v>
      </c>
      <c r="J49" s="223" t="s">
        <v>306</v>
      </c>
      <c r="K49" s="243" t="s">
        <v>16</v>
      </c>
      <c r="L49" s="251">
        <v>0</v>
      </c>
      <c r="M49" s="224">
        <v>0</v>
      </c>
      <c r="N49" s="251">
        <v>0</v>
      </c>
      <c r="O49" s="225" t="s">
        <v>16</v>
      </c>
      <c r="P49" s="224">
        <v>0</v>
      </c>
      <c r="Q49" s="224" t="s">
        <v>318</v>
      </c>
      <c r="R49" s="224">
        <v>1000</v>
      </c>
      <c r="S49" s="224" t="s">
        <v>16</v>
      </c>
      <c r="T49" s="226" t="s">
        <v>2722</v>
      </c>
      <c r="U49" s="226" t="s">
        <v>2723</v>
      </c>
      <c r="V49" s="228" t="s">
        <v>16</v>
      </c>
      <c r="W49" s="228" t="s">
        <v>16</v>
      </c>
      <c r="X49" s="227">
        <f>365+10</f>
        <v>375</v>
      </c>
      <c r="Y49" s="228" t="s">
        <v>16</v>
      </c>
      <c r="Z49" s="229">
        <f>365+10</f>
        <v>375</v>
      </c>
      <c r="AA49" s="240">
        <v>25</v>
      </c>
      <c r="AB49" s="240">
        <f t="shared" si="11"/>
        <v>400</v>
      </c>
      <c r="AC49" s="230" t="s">
        <v>304</v>
      </c>
      <c r="AD49" s="242" t="s">
        <v>16</v>
      </c>
      <c r="AE49" s="231">
        <v>45075</v>
      </c>
      <c r="AF49" s="219" t="s">
        <v>2886</v>
      </c>
      <c r="AG49" s="232">
        <v>5.9</v>
      </c>
      <c r="AH49" s="232">
        <v>5.4</v>
      </c>
      <c r="AI49" s="239" t="s">
        <v>304</v>
      </c>
      <c r="AJ49" s="233">
        <v>102886</v>
      </c>
      <c r="AK49" s="231">
        <v>45112</v>
      </c>
      <c r="AL49" s="235" t="s">
        <v>2887</v>
      </c>
    </row>
    <row r="50" spans="1:38" s="281" customFormat="1" ht="53.4" thickBot="1" x14ac:dyDescent="0.35">
      <c r="A50" s="297">
        <v>45075</v>
      </c>
      <c r="B50" s="261" t="s">
        <v>2888</v>
      </c>
      <c r="C50" s="315" t="s">
        <v>2270</v>
      </c>
      <c r="D50" s="264" t="str">
        <f>VLOOKUP($C50,Customers!$A$2:$Z$1010,2,FALSE)</f>
        <v>Leila Azimian</v>
      </c>
      <c r="E50" s="584" t="s">
        <v>16</v>
      </c>
      <c r="F50" s="264" t="str">
        <f xml:space="preserve"> VLOOKUP($C50,Customers!$A$2:$Z$1010,5,FALSE)</f>
        <v>Home Address - Azimian Residence</v>
      </c>
      <c r="G50" s="264" t="str">
        <f>VLOOKUP($C50,Customers!$A$2:$Z$1010,10,FALSE) &amp; ", " &amp; VLOOKUP($C50,Customers!$A$2:$Z$1010,11,FALSE)</f>
        <v>Maple, ON</v>
      </c>
      <c r="H50" s="264" t="str">
        <f>VLOOKUP($C50,Customers!$A$2:$Z$1010,13,FALSE)</f>
        <v>Canada</v>
      </c>
      <c r="I50" s="264" t="str">
        <f>VLOOKUP($C50,Customers!$A$2:$Z$1010,18,FALSE)</f>
        <v>CC</v>
      </c>
      <c r="J50" s="285" t="s">
        <v>304</v>
      </c>
      <c r="K50" s="266" t="s">
        <v>16</v>
      </c>
      <c r="L50" s="285">
        <v>0</v>
      </c>
      <c r="M50" s="261">
        <v>0</v>
      </c>
      <c r="N50" s="285">
        <v>0</v>
      </c>
      <c r="O50" s="268" t="s">
        <v>16</v>
      </c>
      <c r="P50" s="261">
        <v>0</v>
      </c>
      <c r="Q50" s="268" t="s">
        <v>16</v>
      </c>
      <c r="R50" s="261">
        <v>0</v>
      </c>
      <c r="S50" s="261" t="s">
        <v>2304</v>
      </c>
      <c r="T50" s="286" t="s">
        <v>2889</v>
      </c>
      <c r="U50" s="286" t="s">
        <v>2890</v>
      </c>
      <c r="V50" s="270" t="s">
        <v>16</v>
      </c>
      <c r="W50" s="270" t="s">
        <v>16</v>
      </c>
      <c r="X50" s="270" t="s">
        <v>16</v>
      </c>
      <c r="Y50" s="271">
        <v>60</v>
      </c>
      <c r="Z50" s="287">
        <f>60</f>
        <v>60</v>
      </c>
      <c r="AA50" s="287" t="s">
        <v>308</v>
      </c>
      <c r="AB50" s="273">
        <f t="shared" si="11"/>
        <v>60</v>
      </c>
      <c r="AC50" s="274" t="s">
        <v>304</v>
      </c>
      <c r="AD50" s="654" t="s">
        <v>16</v>
      </c>
      <c r="AE50" s="276" t="s">
        <v>308</v>
      </c>
      <c r="AF50" s="263" t="s">
        <v>308</v>
      </c>
      <c r="AG50" s="296" t="s">
        <v>308</v>
      </c>
      <c r="AH50" s="296" t="s">
        <v>308</v>
      </c>
      <c r="AI50" s="276" t="s">
        <v>304</v>
      </c>
      <c r="AJ50" s="265">
        <v>110877</v>
      </c>
      <c r="AK50" s="276">
        <v>45112</v>
      </c>
      <c r="AL50" s="299" t="s">
        <v>2891</v>
      </c>
    </row>
    <row r="51" spans="1:38" s="236" customFormat="1" ht="66" x14ac:dyDescent="0.3">
      <c r="A51" s="257">
        <v>45082</v>
      </c>
      <c r="B51" s="224" t="s">
        <v>2892</v>
      </c>
      <c r="C51" s="222" t="s">
        <v>2392</v>
      </c>
      <c r="D51" s="222" t="str">
        <f>VLOOKUP($C51,Customers!$A$2:$Z$1010,2,FALSE)</f>
        <v>Amanda Weiler</v>
      </c>
      <c r="E51" s="293" t="s">
        <v>2409</v>
      </c>
      <c r="F51" s="222" t="str">
        <f xml:space="preserve"> VLOOKUP($C51,Customers!$A$2:$Z$1010,5,FALSE)</f>
        <v>Defence Research and Development Canada - Suffield Research Centre</v>
      </c>
      <c r="G51" s="222" t="str">
        <f>VLOOKUP($C51,Customers!$A$2:$Z$1010,10,FALSE) &amp; ", " &amp; VLOOKUP($C51,Customers!$A$2:$Z$1010,11,FALSE)</f>
        <v>Ralston, AB</v>
      </c>
      <c r="H51" s="222" t="str">
        <f>VLOOKUP($C51,Customers!$A$2:$Z$1010,13,FALSE)</f>
        <v>Canada</v>
      </c>
      <c r="I51" s="222" t="str">
        <f>VLOOKUP($C51,Customers!$A$2:$Z$1010,18,FALSE)</f>
        <v>CG</v>
      </c>
      <c r="J51" s="253" t="s">
        <v>304</v>
      </c>
      <c r="K51" s="224">
        <v>632</v>
      </c>
      <c r="L51" s="253">
        <v>1</v>
      </c>
      <c r="M51" s="224">
        <v>100</v>
      </c>
      <c r="N51" s="253">
        <f>2</f>
        <v>2</v>
      </c>
      <c r="O51" s="224" t="s">
        <v>398</v>
      </c>
      <c r="P51" s="224">
        <v>1</v>
      </c>
      <c r="Q51" s="224" t="s">
        <v>327</v>
      </c>
      <c r="R51" s="224">
        <v>1050</v>
      </c>
      <c r="S51" s="224" t="s">
        <v>16</v>
      </c>
      <c r="T51" s="301" t="s">
        <v>2893</v>
      </c>
      <c r="U51" s="301" t="s">
        <v>2894</v>
      </c>
      <c r="V51" s="227">
        <v>230</v>
      </c>
      <c r="W51" s="227">
        <v>65</v>
      </c>
      <c r="X51" s="227">
        <v>180</v>
      </c>
      <c r="Y51" s="228" t="s">
        <v>16</v>
      </c>
      <c r="Z51" s="302">
        <f>230+65+180</f>
        <v>475</v>
      </c>
      <c r="AA51" s="302">
        <v>45</v>
      </c>
      <c r="AB51" s="230">
        <f>SUM(Z51:AA51)</f>
        <v>520</v>
      </c>
      <c r="AC51" s="230" t="s">
        <v>304</v>
      </c>
      <c r="AD51" s="652" t="s">
        <v>16</v>
      </c>
      <c r="AE51" s="231">
        <v>45096</v>
      </c>
      <c r="AF51" s="238" t="s">
        <v>2895</v>
      </c>
      <c r="AG51" s="232">
        <v>34.97</v>
      </c>
      <c r="AH51" s="232">
        <v>38.03</v>
      </c>
      <c r="AI51" s="258" t="s">
        <v>304</v>
      </c>
      <c r="AJ51" s="223">
        <v>110878</v>
      </c>
      <c r="AK51" s="238">
        <v>45135</v>
      </c>
      <c r="AL51" s="252" t="s">
        <v>2896</v>
      </c>
    </row>
    <row r="52" spans="1:38" s="236" customFormat="1" ht="39.6" x14ac:dyDescent="0.3">
      <c r="A52" s="257">
        <v>45083</v>
      </c>
      <c r="B52" s="224" t="s">
        <v>2897</v>
      </c>
      <c r="C52" s="222" t="s">
        <v>2271</v>
      </c>
      <c r="D52" s="222" t="str">
        <f>VLOOKUP($C52,Customers!$A$2:$Z$1010,2,FALSE)</f>
        <v>Michael Paterson</v>
      </c>
      <c r="E52" s="293" t="s">
        <v>2195</v>
      </c>
      <c r="F52" s="222" t="str">
        <f xml:space="preserve"> VLOOKUP($C52,Customers!$A$2:$Z$1010,5,FALSE)</f>
        <v>IISD-Experimental Lakes Area</v>
      </c>
      <c r="G52" s="222" t="str">
        <f>VLOOKUP($C52,Customers!$A$2:$Z$1010,10,FALSE) &amp; ", " &amp; VLOOKUP($C52,Customers!$A$2:$Z$1010,11,FALSE)</f>
        <v>Winnipeg, MB</v>
      </c>
      <c r="H52" s="222" t="str">
        <f>VLOOKUP($C52,Customers!$A$2:$Z$1010,13,FALSE)</f>
        <v>Canada</v>
      </c>
      <c r="I52" s="222" t="str">
        <f>VLOOKUP($C52,Customers!$A$2:$Z$1010,18,FALSE)</f>
        <v>CA</v>
      </c>
      <c r="J52" s="253" t="s">
        <v>304</v>
      </c>
      <c r="K52" s="243" t="s">
        <v>16</v>
      </c>
      <c r="L52" s="253">
        <v>0</v>
      </c>
      <c r="M52" s="224">
        <v>0</v>
      </c>
      <c r="N52" s="253">
        <v>0</v>
      </c>
      <c r="O52" s="224" t="s">
        <v>381</v>
      </c>
      <c r="P52" s="224">
        <v>1</v>
      </c>
      <c r="Q52" s="225" t="s">
        <v>16</v>
      </c>
      <c r="R52" s="224">
        <v>0</v>
      </c>
      <c r="S52" s="224" t="s">
        <v>16</v>
      </c>
      <c r="T52" s="301" t="s">
        <v>2898</v>
      </c>
      <c r="U52" s="301" t="s">
        <v>386</v>
      </c>
      <c r="V52" s="228" t="s">
        <v>16</v>
      </c>
      <c r="W52" s="227">
        <v>65</v>
      </c>
      <c r="X52" s="228" t="s">
        <v>16</v>
      </c>
      <c r="Y52" s="228" t="s">
        <v>16</v>
      </c>
      <c r="Z52" s="302">
        <f>65</f>
        <v>65</v>
      </c>
      <c r="AA52" s="302">
        <v>25</v>
      </c>
      <c r="AB52" s="230">
        <f>SUM(Z52:AA52)</f>
        <v>90</v>
      </c>
      <c r="AC52" s="230" t="s">
        <v>304</v>
      </c>
      <c r="AD52" s="652" t="s">
        <v>16</v>
      </c>
      <c r="AE52" s="231">
        <v>45097</v>
      </c>
      <c r="AF52" s="238" t="s">
        <v>2899</v>
      </c>
      <c r="AG52" s="232">
        <v>14.03</v>
      </c>
      <c r="AH52" s="232">
        <v>13.58</v>
      </c>
      <c r="AI52" s="258" t="s">
        <v>304</v>
      </c>
      <c r="AJ52" s="233">
        <v>106668</v>
      </c>
      <c r="AK52" s="231">
        <v>45135</v>
      </c>
      <c r="AL52" s="252" t="s">
        <v>1569</v>
      </c>
    </row>
    <row r="53" spans="1:38" s="236" customFormat="1" ht="52.95" customHeight="1" x14ac:dyDescent="0.3">
      <c r="A53" s="257">
        <v>45085</v>
      </c>
      <c r="B53" s="218" t="s">
        <v>2900</v>
      </c>
      <c r="C53" s="222" t="s">
        <v>1038</v>
      </c>
      <c r="D53" s="222" t="str">
        <f>VLOOKUP($C53,Customers!$A$2:$Z$1010,2,FALSE)</f>
        <v>Janetta Fraser</v>
      </c>
      <c r="E53" s="583" t="s">
        <v>16</v>
      </c>
      <c r="F53" s="222" t="str">
        <f xml:space="preserve"> VLOOKUP($C53,Customers!$A$2:$Z$1010,5,FALSE)</f>
        <v>Harris Industrial Testing Service Ltd. (HITS)</v>
      </c>
      <c r="G53" s="222" t="str">
        <f>VLOOKUP($C53,Customers!$A$2:$Z$1010,10,FALSE) &amp; ", " &amp; VLOOKUP($C53,Customers!$A$2:$Z$1010,11,FALSE)</f>
        <v>Waverley, NS</v>
      </c>
      <c r="H53" s="222" t="str">
        <f>VLOOKUP($C53,Customers!$A$2:$Z$1010,13,FALSE)</f>
        <v>Canada</v>
      </c>
      <c r="I53" s="222" t="str">
        <f>VLOOKUP($C53,Customers!$A$2:$Z$1010,18,FALSE)</f>
        <v>CC</v>
      </c>
      <c r="J53" s="223" t="s">
        <v>306</v>
      </c>
      <c r="K53" s="243" t="s">
        <v>16</v>
      </c>
      <c r="L53" s="223">
        <v>0</v>
      </c>
      <c r="M53" s="224">
        <v>0</v>
      </c>
      <c r="N53" s="223">
        <v>0</v>
      </c>
      <c r="O53" s="224" t="s">
        <v>393</v>
      </c>
      <c r="P53" s="224">
        <v>1</v>
      </c>
      <c r="Q53" s="224" t="s">
        <v>388</v>
      </c>
      <c r="R53" s="224">
        <v>200</v>
      </c>
      <c r="S53" s="224" t="s">
        <v>16</v>
      </c>
      <c r="T53" s="226" t="s">
        <v>4087</v>
      </c>
      <c r="U53" s="226" t="s">
        <v>2901</v>
      </c>
      <c r="V53" s="228" t="s">
        <v>16</v>
      </c>
      <c r="W53" s="227">
        <v>80</v>
      </c>
      <c r="X53" s="227">
        <v>90</v>
      </c>
      <c r="Y53" s="228" t="s">
        <v>16</v>
      </c>
      <c r="Z53" s="230">
        <f>80+90</f>
        <v>170</v>
      </c>
      <c r="AA53" s="230">
        <v>35</v>
      </c>
      <c r="AB53" s="230">
        <f>SUM(Z53:AA53)</f>
        <v>205</v>
      </c>
      <c r="AC53" s="230" t="s">
        <v>304</v>
      </c>
      <c r="AD53" s="652" t="s">
        <v>16</v>
      </c>
      <c r="AE53" s="231">
        <v>45097</v>
      </c>
      <c r="AF53" s="238" t="s">
        <v>2902</v>
      </c>
      <c r="AG53" s="232">
        <v>29.54</v>
      </c>
      <c r="AH53" s="232">
        <v>26.69</v>
      </c>
      <c r="AI53" s="258" t="s">
        <v>304</v>
      </c>
      <c r="AJ53" s="233">
        <v>103252</v>
      </c>
      <c r="AK53" s="231">
        <v>45135</v>
      </c>
      <c r="AL53" s="255" t="s">
        <v>2865</v>
      </c>
    </row>
    <row r="54" spans="1:38" s="236" customFormat="1" ht="79.5" customHeight="1" x14ac:dyDescent="0.3">
      <c r="A54" s="257">
        <v>45085</v>
      </c>
      <c r="B54" s="224" t="s">
        <v>2903</v>
      </c>
      <c r="C54" s="222" t="s">
        <v>2480</v>
      </c>
      <c r="D54" s="222" t="str">
        <f>VLOOKUP($C54,Customers!$A$2:$Z$1010,2,FALSE)</f>
        <v>Katherina (Gil) Softcheck</v>
      </c>
      <c r="E54" s="583" t="s">
        <v>16</v>
      </c>
      <c r="F54" s="222" t="str">
        <f xml:space="preserve"> VLOOKUP($C54,Customers!$A$2:$Z$1010,5,FALSE)</f>
        <v>Smithers</v>
      </c>
      <c r="G54" s="222" t="str">
        <f>VLOOKUP($C54,Customers!$A$2:$Z$1010,10,FALSE) &amp; ", " &amp; VLOOKUP($C54,Customers!$A$2:$Z$1010,11,FALSE)</f>
        <v>Wareham, MA</v>
      </c>
      <c r="H54" s="222" t="str">
        <f>VLOOKUP($C54,Customers!$A$2:$Z$1010,13,FALSE)</f>
        <v>USA</v>
      </c>
      <c r="I54" s="222" t="str">
        <f>VLOOKUP($C54,Customers!$A$2:$Z$1010,18,FALSE)</f>
        <v>IC</v>
      </c>
      <c r="J54" s="253" t="s">
        <v>306</v>
      </c>
      <c r="K54" s="224">
        <v>310</v>
      </c>
      <c r="L54" s="253">
        <v>1</v>
      </c>
      <c r="M54" s="224">
        <v>50</v>
      </c>
      <c r="N54" s="253">
        <f>2</f>
        <v>2</v>
      </c>
      <c r="O54" s="225" t="s">
        <v>16</v>
      </c>
      <c r="P54" s="224">
        <v>0</v>
      </c>
      <c r="Q54" s="225" t="s">
        <v>16</v>
      </c>
      <c r="R54" s="224">
        <v>0</v>
      </c>
      <c r="S54" s="224" t="s">
        <v>16</v>
      </c>
      <c r="T54" s="292" t="s">
        <v>2904</v>
      </c>
      <c r="U54" s="313" t="s">
        <v>385</v>
      </c>
      <c r="V54" s="314">
        <v>260</v>
      </c>
      <c r="W54" s="228" t="s">
        <v>16</v>
      </c>
      <c r="X54" s="228" t="s">
        <v>16</v>
      </c>
      <c r="Y54" s="228" t="s">
        <v>16</v>
      </c>
      <c r="Z54" s="229">
        <f>260</f>
        <v>260</v>
      </c>
      <c r="AA54" s="229">
        <v>20</v>
      </c>
      <c r="AB54" s="241">
        <f t="shared" ref="AB54" si="12">SUM(Z54:AA54)</f>
        <v>280</v>
      </c>
      <c r="AC54" s="230" t="s">
        <v>304</v>
      </c>
      <c r="AD54" s="242" t="s">
        <v>2905</v>
      </c>
      <c r="AE54" s="231">
        <v>45096</v>
      </c>
      <c r="AF54" s="219" t="s">
        <v>2906</v>
      </c>
      <c r="AG54" s="232">
        <v>0</v>
      </c>
      <c r="AH54" s="232">
        <v>0</v>
      </c>
      <c r="AI54" s="229" t="s">
        <v>304</v>
      </c>
      <c r="AJ54" s="233">
        <v>103645</v>
      </c>
      <c r="AK54" s="231">
        <v>45135</v>
      </c>
      <c r="AL54" s="252" t="s">
        <v>2907</v>
      </c>
    </row>
    <row r="55" spans="1:38" s="236" customFormat="1" ht="39.6" x14ac:dyDescent="0.3">
      <c r="A55" s="257">
        <v>45090</v>
      </c>
      <c r="B55" s="224" t="s">
        <v>2908</v>
      </c>
      <c r="C55" s="222" t="s">
        <v>2453</v>
      </c>
      <c r="D55" s="222" t="str">
        <f>VLOOKUP($C55,Customers!$A$2:$Z$1010,2,FALSE)</f>
        <v>Graham Bell</v>
      </c>
      <c r="E55" s="293" t="s">
        <v>2213</v>
      </c>
      <c r="F55" s="222" t="str">
        <f xml:space="preserve"> VLOOKUP($C55,Customers!$A$2:$Z$1010,5,FALSE)</f>
        <v>McGill University</v>
      </c>
      <c r="G55" s="222" t="str">
        <f>VLOOKUP($C55,Customers!$A$2:$Z$1010,10,FALSE) &amp; ", " &amp; VLOOKUP($C55,Customers!$A$2:$Z$1010,11,FALSE)</f>
        <v>Montreal, QC</v>
      </c>
      <c r="H55" s="222" t="str">
        <f>VLOOKUP($C55,Customers!$A$2:$Z$1010,13,FALSE)</f>
        <v>Canada</v>
      </c>
      <c r="I55" s="222" t="str">
        <f>VLOOKUP($C55,Customers!$A$2:$Z$1010,18,FALSE)</f>
        <v>CA</v>
      </c>
      <c r="J55" s="1125" t="s">
        <v>304</v>
      </c>
      <c r="K55" s="224" t="s">
        <v>4246</v>
      </c>
      <c r="L55" s="253">
        <v>5</v>
      </c>
      <c r="M55" s="224" t="s">
        <v>2909</v>
      </c>
      <c r="N55" s="253">
        <f>1+1+1+1+1</f>
        <v>5</v>
      </c>
      <c r="O55" s="225" t="s">
        <v>16</v>
      </c>
      <c r="P55" s="224">
        <v>0</v>
      </c>
      <c r="Q55" s="225" t="s">
        <v>16</v>
      </c>
      <c r="R55" s="224">
        <v>0</v>
      </c>
      <c r="S55" s="224" t="s">
        <v>16</v>
      </c>
      <c r="T55" s="226" t="s">
        <v>2910</v>
      </c>
      <c r="U55" s="1147" t="s">
        <v>2911</v>
      </c>
      <c r="V55" s="227">
        <f>125*5</f>
        <v>625</v>
      </c>
      <c r="W55" s="228" t="s">
        <v>16</v>
      </c>
      <c r="X55" s="228" t="s">
        <v>16</v>
      </c>
      <c r="Y55" s="228" t="s">
        <v>16</v>
      </c>
      <c r="Z55" s="240">
        <f t="shared" ref="Z55" si="13">SUM(V55:Y55)</f>
        <v>625</v>
      </c>
      <c r="AA55" s="302">
        <v>25</v>
      </c>
      <c r="AB55" s="1121">
        <f>SUM(Z55:AA57)</f>
        <v>1575</v>
      </c>
      <c r="AC55" s="230" t="s">
        <v>304</v>
      </c>
      <c r="AD55" s="1149" t="s">
        <v>2912</v>
      </c>
      <c r="AE55" s="231">
        <v>45111</v>
      </c>
      <c r="AF55" s="238" t="s">
        <v>2913</v>
      </c>
      <c r="AG55" s="232">
        <v>9.23</v>
      </c>
      <c r="AH55" s="232">
        <v>8.94</v>
      </c>
      <c r="AI55" s="1152" t="s">
        <v>304</v>
      </c>
      <c r="AJ55" s="1125">
        <v>103381</v>
      </c>
      <c r="AK55" s="231">
        <v>45198</v>
      </c>
      <c r="AL55" s="1145" t="s">
        <v>2914</v>
      </c>
    </row>
    <row r="56" spans="1:38" s="236" customFormat="1" ht="39.6" x14ac:dyDescent="0.3">
      <c r="A56" s="257">
        <v>45090</v>
      </c>
      <c r="B56" s="224" t="s">
        <v>2915</v>
      </c>
      <c r="C56" s="222" t="s">
        <v>2453</v>
      </c>
      <c r="D56" s="222" t="str">
        <f>VLOOKUP($C56,Customers!$A$2:$Z$1010,2,FALSE)</f>
        <v>Graham Bell</v>
      </c>
      <c r="E56" s="293" t="s">
        <v>2213</v>
      </c>
      <c r="F56" s="222" t="str">
        <f xml:space="preserve"> VLOOKUP($C56,Customers!$A$2:$Z$1010,5,FALSE)</f>
        <v>McGill University</v>
      </c>
      <c r="G56" s="222" t="str">
        <f>VLOOKUP($C56,Customers!$A$2:$Z$1010,10,FALSE) &amp; ", " &amp; VLOOKUP($C56,Customers!$A$2:$Z$1010,11,FALSE)</f>
        <v>Montreal, QC</v>
      </c>
      <c r="H56" s="222" t="str">
        <f>VLOOKUP($C56,Customers!$A$2:$Z$1010,13,FALSE)</f>
        <v>Canada</v>
      </c>
      <c r="I56" s="222" t="str">
        <f>VLOOKUP($C56,Customers!$A$2:$Z$1010,18,FALSE)</f>
        <v>CA</v>
      </c>
      <c r="J56" s="1125"/>
      <c r="K56" s="224" t="s">
        <v>2916</v>
      </c>
      <c r="L56" s="253">
        <v>4</v>
      </c>
      <c r="M56" s="224" t="s">
        <v>2917</v>
      </c>
      <c r="N56" s="253">
        <f>1+1+1+1</f>
        <v>4</v>
      </c>
      <c r="O56" s="225" t="s">
        <v>16</v>
      </c>
      <c r="P56" s="224">
        <v>0</v>
      </c>
      <c r="Q56" s="225" t="s">
        <v>16</v>
      </c>
      <c r="R56" s="224">
        <v>0</v>
      </c>
      <c r="S56" s="224" t="s">
        <v>16</v>
      </c>
      <c r="T56" s="226" t="s">
        <v>2918</v>
      </c>
      <c r="U56" s="1147"/>
      <c r="V56" s="227">
        <f>125*4</f>
        <v>500</v>
      </c>
      <c r="W56" s="228" t="s">
        <v>16</v>
      </c>
      <c r="X56" s="228" t="s">
        <v>16</v>
      </c>
      <c r="Y56" s="228" t="s">
        <v>16</v>
      </c>
      <c r="Z56" s="240">
        <f>125*4</f>
        <v>500</v>
      </c>
      <c r="AA56" s="302">
        <v>25</v>
      </c>
      <c r="AB56" s="1121"/>
      <c r="AC56" s="230" t="s">
        <v>304</v>
      </c>
      <c r="AD56" s="1149"/>
      <c r="AE56" s="231">
        <v>45118</v>
      </c>
      <c r="AF56" s="238" t="s">
        <v>2919</v>
      </c>
      <c r="AG56" s="232">
        <v>6.67</v>
      </c>
      <c r="AH56" s="232">
        <v>7.05</v>
      </c>
      <c r="AI56" s="1152"/>
      <c r="AJ56" s="1125"/>
      <c r="AK56" s="231">
        <v>45198</v>
      </c>
      <c r="AL56" s="1145"/>
    </row>
    <row r="57" spans="1:38" s="236" customFormat="1" ht="35.25" customHeight="1" x14ac:dyDescent="0.3">
      <c r="A57" s="257">
        <v>45090</v>
      </c>
      <c r="B57" s="224" t="s">
        <v>2920</v>
      </c>
      <c r="C57" s="222" t="s">
        <v>2453</v>
      </c>
      <c r="D57" s="222" t="str">
        <f>VLOOKUP($C57,Customers!$A$2:$Z$1010,2,FALSE)</f>
        <v>Graham Bell</v>
      </c>
      <c r="E57" s="293" t="s">
        <v>2213</v>
      </c>
      <c r="F57" s="222" t="str">
        <f xml:space="preserve"> VLOOKUP($C57,Customers!$A$2:$Z$1010,5,FALSE)</f>
        <v>McGill University</v>
      </c>
      <c r="G57" s="222" t="str">
        <f>VLOOKUP($C57,Customers!$A$2:$Z$1010,10,FALSE) &amp; ", " &amp; VLOOKUP($C57,Customers!$A$2:$Z$1010,11,FALSE)</f>
        <v>Montreal, QC</v>
      </c>
      <c r="H57" s="222" t="str">
        <f>VLOOKUP($C57,Customers!$A$2:$Z$1010,13,FALSE)</f>
        <v>Canada</v>
      </c>
      <c r="I57" s="222" t="str">
        <f>VLOOKUP($C57,Customers!$A$2:$Z$1010,18,FALSE)</f>
        <v>CA</v>
      </c>
      <c r="J57" s="1125"/>
      <c r="K57" s="224" t="s">
        <v>2921</v>
      </c>
      <c r="L57" s="253">
        <v>3</v>
      </c>
      <c r="M57" s="224" t="s">
        <v>1982</v>
      </c>
      <c r="N57" s="253">
        <f>1+1+1</f>
        <v>3</v>
      </c>
      <c r="O57" s="225" t="s">
        <v>16</v>
      </c>
      <c r="P57" s="224">
        <v>0</v>
      </c>
      <c r="Q57" s="225" t="s">
        <v>16</v>
      </c>
      <c r="R57" s="224">
        <v>0</v>
      </c>
      <c r="S57" s="224" t="s">
        <v>16</v>
      </c>
      <c r="T57" s="226" t="s">
        <v>2922</v>
      </c>
      <c r="U57" s="1147"/>
      <c r="V57" s="227">
        <f>125*3</f>
        <v>375</v>
      </c>
      <c r="W57" s="228" t="s">
        <v>16</v>
      </c>
      <c r="X57" s="228" t="s">
        <v>16</v>
      </c>
      <c r="Y57" s="228" t="s">
        <v>16</v>
      </c>
      <c r="Z57" s="240">
        <f>125*3</f>
        <v>375</v>
      </c>
      <c r="AA57" s="302">
        <v>25</v>
      </c>
      <c r="AB57" s="1121"/>
      <c r="AC57" s="230" t="s">
        <v>304</v>
      </c>
      <c r="AD57" s="1149"/>
      <c r="AE57" s="231">
        <v>45132</v>
      </c>
      <c r="AF57" s="238" t="s">
        <v>2923</v>
      </c>
      <c r="AG57" s="232">
        <v>6.08</v>
      </c>
      <c r="AH57" s="241">
        <v>5.89</v>
      </c>
      <c r="AI57" s="1152"/>
      <c r="AJ57" s="1125"/>
      <c r="AK57" s="231">
        <v>45198</v>
      </c>
      <c r="AL57" s="1145"/>
    </row>
    <row r="58" spans="1:38" s="236" customFormat="1" ht="39.6" x14ac:dyDescent="0.3">
      <c r="A58" s="257">
        <v>45092</v>
      </c>
      <c r="B58" s="224" t="s">
        <v>2924</v>
      </c>
      <c r="C58" s="283" t="s">
        <v>1036</v>
      </c>
      <c r="D58" s="222" t="str">
        <f>VLOOKUP($C58,Customers!$A$2:$Z$1010,2,FALSE)</f>
        <v>Karyne Plante</v>
      </c>
      <c r="E58" s="583" t="s">
        <v>16</v>
      </c>
      <c r="F58" s="222" t="str">
        <f xml:space="preserve"> VLOOKUP($C58,Customers!$A$2:$Z$1010,5,FALSE)</f>
        <v>Eurofins - EnvironeX</v>
      </c>
      <c r="G58" s="222" t="str">
        <f>VLOOKUP($C58,Customers!$A$2:$Z$1010,10,FALSE) &amp; ", " &amp; VLOOKUP($C58,Customers!$A$2:$Z$1010,11,FALSE)</f>
        <v>Quebec, QC</v>
      </c>
      <c r="H58" s="222" t="str">
        <f>VLOOKUP($C58,Customers!$A$2:$Z$1010,13,FALSE)</f>
        <v>Canada</v>
      </c>
      <c r="I58" s="222" t="str">
        <f>VLOOKUP($C58,Customers!$A$2:$Z$1010,18,FALSE)</f>
        <v>CC</v>
      </c>
      <c r="J58" s="259" t="s">
        <v>306</v>
      </c>
      <c r="K58" s="224" t="s">
        <v>320</v>
      </c>
      <c r="L58" s="259">
        <v>2</v>
      </c>
      <c r="M58" s="224" t="s">
        <v>1977</v>
      </c>
      <c r="N58" s="259">
        <f>1+1</f>
        <v>2</v>
      </c>
      <c r="O58" s="225" t="s">
        <v>16</v>
      </c>
      <c r="P58" s="224">
        <v>0</v>
      </c>
      <c r="Q58" s="225" t="s">
        <v>16</v>
      </c>
      <c r="R58" s="224">
        <v>0</v>
      </c>
      <c r="S58" s="224" t="s">
        <v>16</v>
      </c>
      <c r="T58" s="226" t="s">
        <v>357</v>
      </c>
      <c r="U58" s="316" t="s">
        <v>420</v>
      </c>
      <c r="V58" s="317">
        <f>200*2</f>
        <v>400</v>
      </c>
      <c r="W58" s="228" t="s">
        <v>16</v>
      </c>
      <c r="X58" s="228" t="s">
        <v>16</v>
      </c>
      <c r="Y58" s="228" t="s">
        <v>16</v>
      </c>
      <c r="Z58" s="240">
        <f>200*2</f>
        <v>400</v>
      </c>
      <c r="AA58" s="230">
        <v>25</v>
      </c>
      <c r="AB58" s="240">
        <f t="shared" ref="AB58:AB60" si="14">SUM(Z58:AA58)</f>
        <v>425</v>
      </c>
      <c r="AC58" s="230" t="s">
        <v>304</v>
      </c>
      <c r="AD58" s="318" t="s">
        <v>2925</v>
      </c>
      <c r="AE58" s="231">
        <v>45105</v>
      </c>
      <c r="AF58" s="238" t="s">
        <v>2926</v>
      </c>
      <c r="AG58" s="232">
        <v>4.88</v>
      </c>
      <c r="AH58" s="232">
        <v>5.31</v>
      </c>
      <c r="AI58" s="248" t="s">
        <v>304</v>
      </c>
      <c r="AJ58" s="223">
        <v>104582</v>
      </c>
      <c r="AK58" s="234">
        <v>45167</v>
      </c>
      <c r="AL58" s="255" t="s">
        <v>2927</v>
      </c>
    </row>
    <row r="59" spans="1:38" s="236" customFormat="1" ht="26.4" x14ac:dyDescent="0.3">
      <c r="A59" s="257">
        <v>45099</v>
      </c>
      <c r="B59" s="257" t="s">
        <v>2928</v>
      </c>
      <c r="C59" s="283" t="s">
        <v>1432</v>
      </c>
      <c r="D59" s="222" t="str">
        <f>VLOOKUP($C59,Customers!$A$2:$Z$1010,2,FALSE)</f>
        <v>Ryan Prosser</v>
      </c>
      <c r="E59" s="293" t="s">
        <v>2238</v>
      </c>
      <c r="F59" s="222" t="str">
        <f xml:space="preserve"> VLOOKUP($C59,Customers!$A$2:$Z$1010,5,FALSE)</f>
        <v>University of Guelph</v>
      </c>
      <c r="G59" s="222" t="str">
        <f>VLOOKUP($C59,Customers!$A$2:$Z$1010,10,FALSE) &amp; ", " &amp; VLOOKUP($C59,Customers!$A$2:$Z$1010,11,FALSE)</f>
        <v>Guelph, ON</v>
      </c>
      <c r="H59" s="222" t="str">
        <f>VLOOKUP($C59,Customers!$A$2:$Z$1010,13,FALSE)</f>
        <v>Canada</v>
      </c>
      <c r="I59" s="222" t="str">
        <f>VLOOKUP($C59,Customers!$A$2:$Z$1010,18,FALSE)</f>
        <v>CA</v>
      </c>
      <c r="J59" s="257" t="s">
        <v>306</v>
      </c>
      <c r="K59" s="224" t="s">
        <v>2678</v>
      </c>
      <c r="L59" s="251">
        <v>2</v>
      </c>
      <c r="M59" s="224" t="s">
        <v>1973</v>
      </c>
      <c r="N59" s="251">
        <f>1+1</f>
        <v>2</v>
      </c>
      <c r="O59" s="225" t="s">
        <v>16</v>
      </c>
      <c r="P59" s="224">
        <v>0</v>
      </c>
      <c r="Q59" s="225" t="s">
        <v>16</v>
      </c>
      <c r="R59" s="224">
        <v>0</v>
      </c>
      <c r="S59" s="224" t="s">
        <v>16</v>
      </c>
      <c r="T59" s="226" t="s">
        <v>2929</v>
      </c>
      <c r="U59" s="316" t="s">
        <v>1138</v>
      </c>
      <c r="V59" s="317">
        <f>135*2</f>
        <v>270</v>
      </c>
      <c r="W59" s="228" t="s">
        <v>16</v>
      </c>
      <c r="X59" s="228" t="s">
        <v>16</v>
      </c>
      <c r="Y59" s="228" t="s">
        <v>16</v>
      </c>
      <c r="Z59" s="229">
        <f>135*2</f>
        <v>270</v>
      </c>
      <c r="AA59" s="240" t="s">
        <v>308</v>
      </c>
      <c r="AB59" s="240">
        <f t="shared" si="14"/>
        <v>270</v>
      </c>
      <c r="AC59" s="230" t="s">
        <v>304</v>
      </c>
      <c r="AD59" s="243" t="s">
        <v>2930</v>
      </c>
      <c r="AE59" s="231">
        <v>45111</v>
      </c>
      <c r="AF59" s="238" t="s">
        <v>2931</v>
      </c>
      <c r="AG59" s="241" t="s">
        <v>308</v>
      </c>
      <c r="AH59" s="241" t="s">
        <v>308</v>
      </c>
      <c r="AI59" s="319" t="s">
        <v>304</v>
      </c>
      <c r="AJ59" s="233">
        <v>103794</v>
      </c>
      <c r="AK59" s="234">
        <v>45167</v>
      </c>
      <c r="AL59" s="260" t="s">
        <v>2932</v>
      </c>
    </row>
    <row r="60" spans="1:38" s="281" customFormat="1" ht="53.4" thickBot="1" x14ac:dyDescent="0.35">
      <c r="A60" s="276">
        <v>45106</v>
      </c>
      <c r="B60" s="264" t="s">
        <v>2933</v>
      </c>
      <c r="C60" s="264" t="s">
        <v>2396</v>
      </c>
      <c r="D60" s="264" t="str">
        <f>VLOOKUP($C60,Customers!$A$2:$Z$1010,2,FALSE)</f>
        <v>Andre Simpson</v>
      </c>
      <c r="E60" s="582" t="s">
        <v>2146</v>
      </c>
      <c r="F60" s="264" t="str">
        <f xml:space="preserve"> VLOOKUP($C60,Customers!$A$2:$Z$1010,5,FALSE)</f>
        <v>University of Toronto Scarborough</v>
      </c>
      <c r="G60" s="264" t="str">
        <f>VLOOKUP($C60,Customers!$A$2:$Z$1010,10,FALSE) &amp; ", " &amp; VLOOKUP($C60,Customers!$A$2:$Z$1010,11,FALSE)</f>
        <v>Toronto, ON</v>
      </c>
      <c r="H60" s="264" t="str">
        <f>VLOOKUP($C60,Customers!$A$2:$Z$1010,13,FALSE)</f>
        <v>Canada</v>
      </c>
      <c r="I60" s="264" t="str">
        <f>VLOOKUP($C60,Customers!$A$2:$Z$1010,18,FALSE)</f>
        <v>CA</v>
      </c>
      <c r="J60" s="265" t="s">
        <v>304</v>
      </c>
      <c r="K60" s="261">
        <v>243</v>
      </c>
      <c r="L60" s="267">
        <v>1</v>
      </c>
      <c r="M60" s="261">
        <v>500</v>
      </c>
      <c r="N60" s="267">
        <f>20</f>
        <v>20</v>
      </c>
      <c r="O60" s="268" t="s">
        <v>16</v>
      </c>
      <c r="P60" s="261">
        <v>0</v>
      </c>
      <c r="Q60" s="268" t="s">
        <v>16</v>
      </c>
      <c r="R60" s="261">
        <v>0</v>
      </c>
      <c r="S60" s="261" t="s">
        <v>16</v>
      </c>
      <c r="T60" s="269" t="s">
        <v>2934</v>
      </c>
      <c r="U60" s="269" t="s">
        <v>2935</v>
      </c>
      <c r="V60" s="271">
        <f>320+60</f>
        <v>380</v>
      </c>
      <c r="W60" s="270" t="s">
        <v>16</v>
      </c>
      <c r="X60" s="270" t="s">
        <v>16</v>
      </c>
      <c r="Y60" s="270" t="s">
        <v>16</v>
      </c>
      <c r="Z60" s="272">
        <f>320+60</f>
        <v>380</v>
      </c>
      <c r="AA60" s="274">
        <v>25</v>
      </c>
      <c r="AB60" s="273">
        <f t="shared" si="14"/>
        <v>405</v>
      </c>
      <c r="AC60" s="274" t="s">
        <v>304</v>
      </c>
      <c r="AD60" s="264" t="s">
        <v>2936</v>
      </c>
      <c r="AE60" s="276">
        <v>45147</v>
      </c>
      <c r="AF60" s="320" t="s">
        <v>2937</v>
      </c>
      <c r="AG60" s="277">
        <v>8.42</v>
      </c>
      <c r="AH60" s="277">
        <v>7.7</v>
      </c>
      <c r="AI60" s="265" t="s">
        <v>304</v>
      </c>
      <c r="AJ60" s="321">
        <v>107313</v>
      </c>
      <c r="AK60" s="276">
        <v>45229</v>
      </c>
      <c r="AL60" s="299" t="s">
        <v>2938</v>
      </c>
    </row>
    <row r="61" spans="1:38" s="236" customFormat="1" ht="118.8" x14ac:dyDescent="0.3">
      <c r="A61" s="257">
        <v>45111</v>
      </c>
      <c r="B61" s="218" t="s">
        <v>2939</v>
      </c>
      <c r="C61" s="283" t="s">
        <v>1039</v>
      </c>
      <c r="D61" s="222" t="str">
        <f>VLOOKUP($C61,Customers!$A$2:$Z$1010,2,FALSE)</f>
        <v>Jerome Comte</v>
      </c>
      <c r="E61" s="293" t="s">
        <v>2940</v>
      </c>
      <c r="F61" s="222" t="str">
        <f xml:space="preserve"> VLOOKUP($C61,Customers!$A$2:$Z$1010,5,FALSE)</f>
        <v>Institut National de la Recherche Scientifique (INRS) - Eau Terre Environnement (ETE)</v>
      </c>
      <c r="G61" s="222" t="str">
        <f>VLOOKUP($C61,Customers!$A$2:$Z$1010,10,FALSE) &amp; ", " &amp; VLOOKUP($C61,Customers!$A$2:$Z$1010,11,FALSE)</f>
        <v>Quebec, QC</v>
      </c>
      <c r="H61" s="222" t="str">
        <f>VLOOKUP($C61,Customers!$A$2:$Z$1010,13,FALSE)</f>
        <v>Canada</v>
      </c>
      <c r="I61" s="222" t="str">
        <f>VLOOKUP($C61,Customers!$A$2:$Z$1010,18,FALSE)</f>
        <v>CA</v>
      </c>
      <c r="J61" s="223" t="s">
        <v>304</v>
      </c>
      <c r="K61" s="243" t="s">
        <v>16</v>
      </c>
      <c r="L61" s="259">
        <v>0</v>
      </c>
      <c r="M61" s="224">
        <v>0</v>
      </c>
      <c r="N61" s="259">
        <v>0</v>
      </c>
      <c r="O61" s="225" t="s">
        <v>16</v>
      </c>
      <c r="P61" s="224">
        <v>0</v>
      </c>
      <c r="Q61" s="224" t="s">
        <v>2941</v>
      </c>
      <c r="R61" s="224" t="s">
        <v>2942</v>
      </c>
      <c r="S61" s="224" t="s">
        <v>16</v>
      </c>
      <c r="T61" s="226" t="s">
        <v>2943</v>
      </c>
      <c r="U61" s="226" t="s">
        <v>2944</v>
      </c>
      <c r="V61" s="228" t="s">
        <v>16</v>
      </c>
      <c r="W61" s="228" t="s">
        <v>16</v>
      </c>
      <c r="X61" s="227">
        <f>90+200</f>
        <v>290</v>
      </c>
      <c r="Y61" s="228" t="s">
        <v>16</v>
      </c>
      <c r="Z61" s="240">
        <f>90+(60*3+20)</f>
        <v>290</v>
      </c>
      <c r="AA61" s="302">
        <v>25</v>
      </c>
      <c r="AB61" s="240">
        <f>SUM(Z61:AA61)</f>
        <v>315</v>
      </c>
      <c r="AC61" s="230" t="s">
        <v>304</v>
      </c>
      <c r="AD61" s="243" t="s">
        <v>2945</v>
      </c>
      <c r="AE61" s="231">
        <v>45124</v>
      </c>
      <c r="AF61" s="238" t="s">
        <v>2946</v>
      </c>
      <c r="AG61" s="232">
        <v>5.48</v>
      </c>
      <c r="AH61" s="241">
        <v>5.31</v>
      </c>
      <c r="AI61" s="239" t="s">
        <v>304</v>
      </c>
      <c r="AJ61" s="233">
        <v>104897</v>
      </c>
      <c r="AK61" s="231">
        <v>45167</v>
      </c>
      <c r="AL61" s="252" t="s">
        <v>396</v>
      </c>
    </row>
    <row r="62" spans="1:38" s="236" customFormat="1" ht="92.4" customHeight="1" x14ac:dyDescent="0.3">
      <c r="A62" s="257">
        <v>45111</v>
      </c>
      <c r="B62" s="257" t="s">
        <v>2947</v>
      </c>
      <c r="C62" s="283" t="s">
        <v>2539</v>
      </c>
      <c r="D62" s="222" t="str">
        <f>VLOOKUP($C62,Customers!$A$2:$Z$1010,2,FALSE)</f>
        <v>Sabine Dodard</v>
      </c>
      <c r="E62" s="293" t="s">
        <v>2159</v>
      </c>
      <c r="F62" s="222" t="str">
        <f xml:space="preserve"> VLOOKUP($C62,Customers!$A$2:$Z$1010,5,FALSE)</f>
        <v>Conseil National de Recherches Canada (CNRC)</v>
      </c>
      <c r="G62" s="222" t="str">
        <f>VLOOKUP($C62,Customers!$A$2:$Z$1010,10,FALSE) &amp; ", " &amp; VLOOKUP($C62,Customers!$A$2:$Z$1010,11,FALSE)</f>
        <v>Montreal, QC</v>
      </c>
      <c r="H62" s="222" t="str">
        <f>VLOOKUP($C62,Customers!$A$2:$Z$1010,13,FALSE)</f>
        <v>Canada</v>
      </c>
      <c r="I62" s="222" t="str">
        <f>VLOOKUP($C62,Customers!$A$2:$Z$1010,18,FALSE)</f>
        <v>CG</v>
      </c>
      <c r="J62" s="257" t="s">
        <v>306</v>
      </c>
      <c r="K62" s="224" t="s">
        <v>2948</v>
      </c>
      <c r="L62" s="251">
        <v>3</v>
      </c>
      <c r="M62" s="224" t="s">
        <v>1982</v>
      </c>
      <c r="N62" s="251">
        <f>1+1+1</f>
        <v>3</v>
      </c>
      <c r="O62" s="224" t="s">
        <v>2949</v>
      </c>
      <c r="P62" s="224" t="s">
        <v>1981</v>
      </c>
      <c r="Q62" s="225" t="s">
        <v>16</v>
      </c>
      <c r="R62" s="224">
        <v>0</v>
      </c>
      <c r="S62" s="224" t="s">
        <v>16</v>
      </c>
      <c r="T62" s="226" t="s">
        <v>2950</v>
      </c>
      <c r="U62" s="226" t="s">
        <v>2951</v>
      </c>
      <c r="V62" s="227">
        <f>135*3</f>
        <v>405</v>
      </c>
      <c r="W62" s="227">
        <f>60*12</f>
        <v>720</v>
      </c>
      <c r="X62" s="228" t="s">
        <v>16</v>
      </c>
      <c r="Y62" s="228" t="s">
        <v>16</v>
      </c>
      <c r="Z62" s="229">
        <f>135*3+60*12</f>
        <v>1125</v>
      </c>
      <c r="AA62" s="240">
        <v>25</v>
      </c>
      <c r="AB62" s="240">
        <f t="shared" ref="AB62:AB70" si="15">SUM(Z62:AA62)</f>
        <v>1150</v>
      </c>
      <c r="AC62" s="230" t="s">
        <v>304</v>
      </c>
      <c r="AD62" s="243" t="s">
        <v>16</v>
      </c>
      <c r="AE62" s="231">
        <v>45146</v>
      </c>
      <c r="AF62" s="238" t="s">
        <v>2952</v>
      </c>
      <c r="AG62" s="232">
        <v>17.61</v>
      </c>
      <c r="AH62" s="232">
        <v>17.63</v>
      </c>
      <c r="AI62" s="257" t="s">
        <v>304</v>
      </c>
      <c r="AJ62" s="224">
        <v>107425</v>
      </c>
      <c r="AK62" s="234">
        <v>45321</v>
      </c>
      <c r="AL62" s="252" t="s">
        <v>2953</v>
      </c>
    </row>
    <row r="63" spans="1:38" s="236" customFormat="1" ht="132" x14ac:dyDescent="0.3">
      <c r="A63" s="257">
        <v>45111</v>
      </c>
      <c r="B63" s="224" t="s">
        <v>2954</v>
      </c>
      <c r="C63" s="222" t="s">
        <v>2533</v>
      </c>
      <c r="D63" s="222" t="str">
        <f>VLOOKUP($C63,Customers!$A$2:$Z$1010,2,FALSE)</f>
        <v>Rowan Sage</v>
      </c>
      <c r="E63" s="293" t="s">
        <v>1535</v>
      </c>
      <c r="F63" s="222" t="str">
        <f xml:space="preserve"> VLOOKUP($C63,Customers!$A$2:$Z$1010,5,FALSE)</f>
        <v>University of Toronto</v>
      </c>
      <c r="G63" s="222" t="str">
        <f>VLOOKUP($C63,Customers!$A$2:$Z$1010,10,FALSE) &amp; ", " &amp; VLOOKUP($C63,Customers!$A$2:$Z$1010,11,FALSE)</f>
        <v>Toronto, ON</v>
      </c>
      <c r="H63" s="222" t="str">
        <f>VLOOKUP($C63,Customers!$A$2:$Z$1010,13,FALSE)</f>
        <v>Canada</v>
      </c>
      <c r="I63" s="222" t="str">
        <f>VLOOKUP($C63,Customers!$A$2:$Z$1010,18,FALSE)</f>
        <v>CA</v>
      </c>
      <c r="J63" s="218" t="s">
        <v>306</v>
      </c>
      <c r="K63" s="224" t="s">
        <v>4243</v>
      </c>
      <c r="L63" s="218">
        <v>13</v>
      </c>
      <c r="M63" s="224" t="s">
        <v>4242</v>
      </c>
      <c r="N63" s="218">
        <f>1+3+3+3+3+3+3+3+3+3+3+3+3+3</f>
        <v>40</v>
      </c>
      <c r="O63" s="225" t="s">
        <v>16</v>
      </c>
      <c r="P63" s="224">
        <v>0</v>
      </c>
      <c r="Q63" s="225" t="s">
        <v>16</v>
      </c>
      <c r="R63" s="224">
        <v>0</v>
      </c>
      <c r="S63" s="224" t="s">
        <v>16</v>
      </c>
      <c r="T63" s="301" t="s">
        <v>2955</v>
      </c>
      <c r="U63" s="301" t="s">
        <v>2956</v>
      </c>
      <c r="V63" s="227">
        <f>290+(160*13)</f>
        <v>2370</v>
      </c>
      <c r="W63" s="228" t="s">
        <v>16</v>
      </c>
      <c r="X63" s="228" t="s">
        <v>16</v>
      </c>
      <c r="Y63" s="228" t="s">
        <v>16</v>
      </c>
      <c r="Z63" s="241">
        <f>290+(160*13)</f>
        <v>2370</v>
      </c>
      <c r="AA63" s="241" t="s">
        <v>308</v>
      </c>
      <c r="AB63" s="240">
        <f t="shared" si="15"/>
        <v>2370</v>
      </c>
      <c r="AC63" s="230" t="s">
        <v>304</v>
      </c>
      <c r="AD63" s="243" t="s">
        <v>16</v>
      </c>
      <c r="AE63" s="231">
        <v>45183</v>
      </c>
      <c r="AF63" s="219" t="s">
        <v>1134</v>
      </c>
      <c r="AG63" s="230" t="s">
        <v>308</v>
      </c>
      <c r="AH63" s="230" t="s">
        <v>308</v>
      </c>
      <c r="AI63" s="322" t="s">
        <v>304</v>
      </c>
      <c r="AJ63" s="233">
        <v>103819</v>
      </c>
      <c r="AK63" s="231">
        <v>45258</v>
      </c>
      <c r="AL63" s="323" t="s">
        <v>2957</v>
      </c>
    </row>
    <row r="64" spans="1:38" s="236" customFormat="1" ht="39.6" x14ac:dyDescent="0.3">
      <c r="A64" s="257">
        <v>45112</v>
      </c>
      <c r="B64" s="224" t="s">
        <v>2958</v>
      </c>
      <c r="C64" s="283" t="s">
        <v>2306</v>
      </c>
      <c r="D64" s="222" t="str">
        <f>VLOOKUP($C64,Customers!$A$2:$Z$1010,2,FALSE)</f>
        <v>Megan Bauer</v>
      </c>
      <c r="E64" s="583" t="s">
        <v>16</v>
      </c>
      <c r="F64" s="222" t="str">
        <f xml:space="preserve"> VLOOKUP($C64,Customers!$A$2:$Z$1010,5,FALSE)</f>
        <v>Environment and Climate Change Canada (ECCC) - Atlantic Laboratory for Environmental Testing (ALET)</v>
      </c>
      <c r="G64" s="222" t="str">
        <f>VLOOKUP($C64,Customers!$A$2:$Z$1010,10,FALSE) &amp; ", " &amp; VLOOKUP($C64,Customers!$A$2:$Z$1010,11,FALSE)</f>
        <v>Moncton, NB</v>
      </c>
      <c r="H64" s="222" t="str">
        <f>VLOOKUP($C64,Customers!$A$2:$Z$1010,13,FALSE)</f>
        <v>Canada</v>
      </c>
      <c r="I64" s="222" t="str">
        <f>VLOOKUP($C64,Customers!$A$2:$Z$1010,18,FALSE)</f>
        <v>CG</v>
      </c>
      <c r="J64" s="223" t="s">
        <v>306</v>
      </c>
      <c r="K64" s="224">
        <v>715</v>
      </c>
      <c r="L64" s="259">
        <v>1</v>
      </c>
      <c r="M64" s="224">
        <v>15</v>
      </c>
      <c r="N64" s="259">
        <f>1</f>
        <v>1</v>
      </c>
      <c r="O64" s="225" t="s">
        <v>16</v>
      </c>
      <c r="P64" s="224">
        <v>0</v>
      </c>
      <c r="Q64" s="224" t="s">
        <v>318</v>
      </c>
      <c r="R64" s="224">
        <v>500</v>
      </c>
      <c r="S64" s="224" t="s">
        <v>16</v>
      </c>
      <c r="T64" s="226" t="s">
        <v>1124</v>
      </c>
      <c r="U64" s="226" t="s">
        <v>2959</v>
      </c>
      <c r="V64" s="227">
        <v>135</v>
      </c>
      <c r="W64" s="228" t="s">
        <v>16</v>
      </c>
      <c r="X64" s="227">
        <v>180</v>
      </c>
      <c r="Y64" s="228" t="s">
        <v>16</v>
      </c>
      <c r="Z64" s="240">
        <f t="shared" ref="Z64" si="16">SUM(V64:Y64)</f>
        <v>315</v>
      </c>
      <c r="AA64" s="230">
        <f>35+5</f>
        <v>40</v>
      </c>
      <c r="AB64" s="240">
        <f t="shared" si="15"/>
        <v>355</v>
      </c>
      <c r="AC64" s="230" t="s">
        <v>304</v>
      </c>
      <c r="AD64" s="242" t="s">
        <v>16</v>
      </c>
      <c r="AE64" s="231">
        <v>45125</v>
      </c>
      <c r="AF64" s="219" t="s">
        <v>2960</v>
      </c>
      <c r="AG64" s="232">
        <v>33.57</v>
      </c>
      <c r="AH64" s="232">
        <v>30.33</v>
      </c>
      <c r="AI64" s="230" t="s">
        <v>304</v>
      </c>
      <c r="AJ64" s="218">
        <v>103165</v>
      </c>
      <c r="AK64" s="231">
        <v>45195</v>
      </c>
      <c r="AL64" s="235" t="s">
        <v>1127</v>
      </c>
    </row>
    <row r="65" spans="1:38" s="236" customFormat="1" ht="52.8" x14ac:dyDescent="0.3">
      <c r="A65" s="257">
        <v>45117</v>
      </c>
      <c r="B65" s="224" t="s">
        <v>2961</v>
      </c>
      <c r="C65" s="283" t="s">
        <v>1045</v>
      </c>
      <c r="D65" s="222" t="str">
        <f>VLOOKUP($C65,Customers!$A$2:$Z$1010,2,FALSE)</f>
        <v>Adam Wartman</v>
      </c>
      <c r="E65" s="583" t="s">
        <v>16</v>
      </c>
      <c r="F65" s="222" t="str">
        <f xml:space="preserve"> VLOOKUP($C65,Customers!$A$2:$Z$1010,5,FALSE)</f>
        <v>Nautilus Environmental Company Inc. - Guelph</v>
      </c>
      <c r="G65" s="222" t="str">
        <f>VLOOKUP($C65,Customers!$A$2:$Z$1010,10,FALSE) &amp; ", " &amp; VLOOKUP($C65,Customers!$A$2:$Z$1010,11,FALSE)</f>
        <v>Puslinch, ON</v>
      </c>
      <c r="H65" s="222" t="str">
        <f>VLOOKUP($C65,Customers!$A$2:$Z$1010,13,FALSE)</f>
        <v>Canada</v>
      </c>
      <c r="I65" s="222" t="str">
        <f>VLOOKUP($C65,Customers!$A$2:$Z$1010,18,FALSE)</f>
        <v>CC</v>
      </c>
      <c r="J65" s="223" t="s">
        <v>306</v>
      </c>
      <c r="K65" s="243" t="s">
        <v>16</v>
      </c>
      <c r="L65" s="251">
        <v>0</v>
      </c>
      <c r="M65" s="224">
        <v>0</v>
      </c>
      <c r="N65" s="251">
        <v>0</v>
      </c>
      <c r="O65" s="225" t="s">
        <v>16</v>
      </c>
      <c r="P65" s="224">
        <v>0</v>
      </c>
      <c r="Q65" s="224" t="s">
        <v>318</v>
      </c>
      <c r="R65" s="224">
        <v>1000</v>
      </c>
      <c r="S65" s="224" t="s">
        <v>16</v>
      </c>
      <c r="T65" s="226" t="s">
        <v>2722</v>
      </c>
      <c r="U65" s="226" t="s">
        <v>2723</v>
      </c>
      <c r="V65" s="228" t="s">
        <v>16</v>
      </c>
      <c r="W65" s="228" t="s">
        <v>16</v>
      </c>
      <c r="X65" s="227">
        <f>365+10</f>
        <v>375</v>
      </c>
      <c r="Y65" s="228" t="s">
        <v>16</v>
      </c>
      <c r="Z65" s="229">
        <f>365+10</f>
        <v>375</v>
      </c>
      <c r="AA65" s="240">
        <v>25</v>
      </c>
      <c r="AB65" s="240">
        <f t="shared" si="15"/>
        <v>400</v>
      </c>
      <c r="AC65" s="230" t="s">
        <v>304</v>
      </c>
      <c r="AD65" s="242" t="s">
        <v>16</v>
      </c>
      <c r="AE65" s="231">
        <v>45124</v>
      </c>
      <c r="AF65" s="219" t="s">
        <v>2962</v>
      </c>
      <c r="AG65" s="232">
        <v>5.9</v>
      </c>
      <c r="AH65" s="241">
        <v>5.4</v>
      </c>
      <c r="AI65" s="239" t="s">
        <v>304</v>
      </c>
      <c r="AJ65" s="233">
        <v>102886</v>
      </c>
      <c r="AK65" s="231">
        <v>45167</v>
      </c>
      <c r="AL65" s="235" t="s">
        <v>2887</v>
      </c>
    </row>
    <row r="66" spans="1:38" s="236" customFormat="1" ht="66" x14ac:dyDescent="0.3">
      <c r="A66" s="257">
        <v>45119</v>
      </c>
      <c r="B66" s="224" t="s">
        <v>2963</v>
      </c>
      <c r="C66" s="283" t="s">
        <v>1032</v>
      </c>
      <c r="D66" s="222" t="str">
        <f>VLOOKUP($C66,Customers!$A$2:$Z$1010,2,FALSE)</f>
        <v>Michael (Mike) Chanov</v>
      </c>
      <c r="E66" s="583" t="s">
        <v>16</v>
      </c>
      <c r="F66" s="222" t="str">
        <f xml:space="preserve"> VLOOKUP($C66,Customers!$A$2:$Z$1010,5,FALSE)</f>
        <v>EA Engineering, Science, and Technology, Inc.</v>
      </c>
      <c r="G66" s="222" t="str">
        <f>VLOOKUP($C66,Customers!$A$2:$Z$1010,10,FALSE) &amp; ", " &amp; VLOOKUP($C66,Customers!$A$2:$Z$1010,11,FALSE)</f>
        <v>Hunt Valley, MD</v>
      </c>
      <c r="H66" s="222" t="str">
        <f>VLOOKUP($C66,Customers!$A$2:$Z$1010,13,FALSE)</f>
        <v>USA</v>
      </c>
      <c r="I66" s="222" t="str">
        <f>VLOOKUP($C66,Customers!$A$2:$Z$1010,18,FALSE)</f>
        <v>IC</v>
      </c>
      <c r="J66" s="253" t="s">
        <v>306</v>
      </c>
      <c r="K66" s="224">
        <v>37</v>
      </c>
      <c r="L66" s="251">
        <v>1</v>
      </c>
      <c r="M66" s="224">
        <v>90</v>
      </c>
      <c r="N66" s="251">
        <f>2</f>
        <v>2</v>
      </c>
      <c r="O66" s="225" t="s">
        <v>16</v>
      </c>
      <c r="P66" s="224">
        <v>0</v>
      </c>
      <c r="Q66" s="225" t="s">
        <v>16</v>
      </c>
      <c r="R66" s="224">
        <v>0</v>
      </c>
      <c r="S66" s="224" t="s">
        <v>16</v>
      </c>
      <c r="T66" s="226" t="s">
        <v>2692</v>
      </c>
      <c r="U66" s="226" t="s">
        <v>2693</v>
      </c>
      <c r="V66" s="227">
        <v>340</v>
      </c>
      <c r="W66" s="228" t="s">
        <v>16</v>
      </c>
      <c r="X66" s="228" t="s">
        <v>16</v>
      </c>
      <c r="Y66" s="228" t="s">
        <v>16</v>
      </c>
      <c r="Z66" s="254">
        <f>340</f>
        <v>340</v>
      </c>
      <c r="AA66" s="240">
        <v>80</v>
      </c>
      <c r="AB66" s="240">
        <f t="shared" si="15"/>
        <v>420</v>
      </c>
      <c r="AC66" s="230" t="s">
        <v>304</v>
      </c>
      <c r="AD66" s="242" t="s">
        <v>16</v>
      </c>
      <c r="AE66" s="231">
        <v>45132</v>
      </c>
      <c r="AF66" s="219" t="s">
        <v>2964</v>
      </c>
      <c r="AG66" s="232">
        <v>59.59</v>
      </c>
      <c r="AH66" s="232">
        <v>53.79</v>
      </c>
      <c r="AI66" s="245" t="s">
        <v>304</v>
      </c>
      <c r="AJ66" s="223">
        <v>103127</v>
      </c>
      <c r="AK66" s="231">
        <v>45229</v>
      </c>
      <c r="AL66" s="255" t="s">
        <v>2853</v>
      </c>
    </row>
    <row r="67" spans="1:38" s="236" customFormat="1" ht="26.4" x14ac:dyDescent="0.3">
      <c r="A67" s="257">
        <v>45120</v>
      </c>
      <c r="B67" s="218" t="s">
        <v>2965</v>
      </c>
      <c r="C67" s="283" t="s">
        <v>1026</v>
      </c>
      <c r="D67" s="222" t="str">
        <f>VLOOKUP($C67,Customers!$A$2:$Z$1010,2,FALSE)</f>
        <v>Sandra Trochei</v>
      </c>
      <c r="E67" s="583" t="s">
        <v>16</v>
      </c>
      <c r="F67" s="222" t="str">
        <f xml:space="preserve"> VLOOKUP($C67,Customers!$A$2:$Z$1010,5,FALSE)</f>
        <v>Cambridge Isotope Laboratories (CIL) Canada</v>
      </c>
      <c r="G67" s="222" t="str">
        <f>VLOOKUP($C67,Customers!$A$2:$Z$1010,10,FALSE) &amp; ", " &amp; VLOOKUP($C67,Customers!$A$2:$Z$1010,11,FALSE)</f>
        <v>St-Laurent, QC</v>
      </c>
      <c r="H67" s="222" t="str">
        <f>VLOOKUP($C67,Customers!$A$2:$Z$1010,13,FALSE)</f>
        <v>Canada</v>
      </c>
      <c r="I67" s="222" t="str">
        <f>VLOOKUP($C67,Customers!$A$2:$Z$1010,18,FALSE)</f>
        <v>CC</v>
      </c>
      <c r="J67" s="218" t="s">
        <v>306</v>
      </c>
      <c r="K67" s="243" t="s">
        <v>16</v>
      </c>
      <c r="L67" s="218">
        <v>0</v>
      </c>
      <c r="M67" s="224">
        <v>0</v>
      </c>
      <c r="N67" s="218">
        <v>0</v>
      </c>
      <c r="O67" s="225" t="s">
        <v>16</v>
      </c>
      <c r="P67" s="224">
        <v>0</v>
      </c>
      <c r="Q67" s="225" t="s">
        <v>16</v>
      </c>
      <c r="R67" s="224">
        <v>0</v>
      </c>
      <c r="S67" s="224" t="s">
        <v>2966</v>
      </c>
      <c r="T67" s="324" t="s">
        <v>2349</v>
      </c>
      <c r="U67" s="301" t="s">
        <v>2350</v>
      </c>
      <c r="V67" s="228" t="s">
        <v>16</v>
      </c>
      <c r="W67" s="228" t="s">
        <v>16</v>
      </c>
      <c r="X67" s="228" t="s">
        <v>16</v>
      </c>
      <c r="Y67" s="227">
        <f>49*15</f>
        <v>735</v>
      </c>
      <c r="Z67" s="241">
        <f>49*15</f>
        <v>735</v>
      </c>
      <c r="AA67" s="241" t="s">
        <v>308</v>
      </c>
      <c r="AB67" s="240">
        <f t="shared" si="15"/>
        <v>735</v>
      </c>
      <c r="AC67" s="241" t="s">
        <v>308</v>
      </c>
      <c r="AD67" s="243" t="s">
        <v>2967</v>
      </c>
      <c r="AE67" s="257" t="s">
        <v>308</v>
      </c>
      <c r="AF67" s="218" t="s">
        <v>308</v>
      </c>
      <c r="AG67" s="241" t="s">
        <v>308</v>
      </c>
      <c r="AH67" s="241" t="s">
        <v>308</v>
      </c>
      <c r="AI67" s="319" t="s">
        <v>304</v>
      </c>
      <c r="AJ67" s="218">
        <v>103194</v>
      </c>
      <c r="AK67" s="231">
        <v>45135</v>
      </c>
      <c r="AL67" s="323" t="s">
        <v>2968</v>
      </c>
    </row>
    <row r="68" spans="1:38" s="236" customFormat="1" ht="52.8" x14ac:dyDescent="0.3">
      <c r="A68" s="257">
        <v>45120</v>
      </c>
      <c r="B68" s="224" t="s">
        <v>2969</v>
      </c>
      <c r="C68" s="325" t="s">
        <v>2270</v>
      </c>
      <c r="D68" s="222" t="str">
        <f>VLOOKUP($C68,Customers!$A$2:$Z$1010,2,FALSE)</f>
        <v>Leila Azimian</v>
      </c>
      <c r="E68" s="583" t="s">
        <v>16</v>
      </c>
      <c r="F68" s="222" t="str">
        <f xml:space="preserve"> VLOOKUP($C68,Customers!$A$2:$Z$1010,5,FALSE)</f>
        <v>Home Address - Azimian Residence</v>
      </c>
      <c r="G68" s="222" t="str">
        <f>VLOOKUP($C68,Customers!$A$2:$Z$1010,10,FALSE) &amp; ", " &amp; VLOOKUP($C68,Customers!$A$2:$Z$1010,11,FALSE)</f>
        <v>Maple, ON</v>
      </c>
      <c r="H68" s="222" t="str">
        <f>VLOOKUP($C68,Customers!$A$2:$Z$1010,13,FALSE)</f>
        <v>Canada</v>
      </c>
      <c r="I68" s="222" t="str">
        <f>VLOOKUP($C68,Customers!$A$2:$Z$1010,18,FALSE)</f>
        <v>CC</v>
      </c>
      <c r="J68" s="253" t="s">
        <v>306</v>
      </c>
      <c r="K68" s="224" t="s">
        <v>2970</v>
      </c>
      <c r="L68" s="253">
        <v>2</v>
      </c>
      <c r="M68" s="224" t="s">
        <v>1979</v>
      </c>
      <c r="N68" s="253">
        <f>1+1</f>
        <v>2</v>
      </c>
      <c r="O68" s="225" t="s">
        <v>16</v>
      </c>
      <c r="P68" s="224">
        <v>0</v>
      </c>
      <c r="Q68" s="225" t="s">
        <v>16</v>
      </c>
      <c r="R68" s="224">
        <v>0</v>
      </c>
      <c r="S68" s="224" t="s">
        <v>16</v>
      </c>
      <c r="T68" s="301" t="s">
        <v>4072</v>
      </c>
      <c r="U68" s="301" t="s">
        <v>2971</v>
      </c>
      <c r="V68" s="227">
        <v>115</v>
      </c>
      <c r="W68" s="228" t="s">
        <v>16</v>
      </c>
      <c r="X68" s="228" t="s">
        <v>16</v>
      </c>
      <c r="Y68" s="228" t="s">
        <v>16</v>
      </c>
      <c r="Z68" s="240">
        <f t="shared" ref="Z68" si="17">SUM(V68:Y68)</f>
        <v>115</v>
      </c>
      <c r="AA68" s="302">
        <v>25</v>
      </c>
      <c r="AB68" s="240">
        <f t="shared" si="15"/>
        <v>140</v>
      </c>
      <c r="AC68" s="230" t="s">
        <v>304</v>
      </c>
      <c r="AD68" s="242" t="s">
        <v>16</v>
      </c>
      <c r="AE68" s="231">
        <v>45124</v>
      </c>
      <c r="AF68" s="219" t="s">
        <v>2972</v>
      </c>
      <c r="AG68" s="232">
        <v>5.84</v>
      </c>
      <c r="AH68" s="241">
        <v>5.34</v>
      </c>
      <c r="AI68" s="231" t="s">
        <v>304</v>
      </c>
      <c r="AJ68" s="223">
        <v>110877</v>
      </c>
      <c r="AK68" s="231">
        <v>45195</v>
      </c>
      <c r="AL68" s="252" t="s">
        <v>2891</v>
      </c>
    </row>
    <row r="69" spans="1:38" s="236" customFormat="1" ht="52.8" x14ac:dyDescent="0.3">
      <c r="A69" s="257">
        <v>45125</v>
      </c>
      <c r="B69" s="218" t="s">
        <v>2973</v>
      </c>
      <c r="C69" s="222" t="s">
        <v>2528</v>
      </c>
      <c r="D69" s="222" t="str">
        <f>VLOOKUP($C69,Customers!$A$2:$Z$1010,2,FALSE)</f>
        <v>Nicolas Tromas</v>
      </c>
      <c r="E69" s="583" t="s">
        <v>16</v>
      </c>
      <c r="F69" s="222" t="str">
        <f xml:space="preserve"> VLOOKUP($C69,Customers!$A$2:$Z$1010,5,FALSE)</f>
        <v>McGill University</v>
      </c>
      <c r="G69" s="222" t="str">
        <f>VLOOKUP($C69,Customers!$A$2:$Z$1010,10,FALSE) &amp; ", " &amp; VLOOKUP($C69,Customers!$A$2:$Z$1010,11,FALSE)</f>
        <v xml:space="preserve"> Montreal, QC</v>
      </c>
      <c r="H69" s="222" t="str">
        <f>VLOOKUP($C69,Customers!$A$2:$Z$1010,13,FALSE)</f>
        <v>Canada</v>
      </c>
      <c r="I69" s="222" t="str">
        <f>VLOOKUP($C69,Customers!$A$2:$Z$1010,18,FALSE)</f>
        <v>CA</v>
      </c>
      <c r="J69" s="218" t="s">
        <v>304</v>
      </c>
      <c r="K69" s="224" t="s">
        <v>2974</v>
      </c>
      <c r="L69" s="218">
        <v>2</v>
      </c>
      <c r="M69" s="224" t="s">
        <v>1973</v>
      </c>
      <c r="N69" s="218">
        <f>1+1</f>
        <v>2</v>
      </c>
      <c r="O69" s="225" t="s">
        <v>16</v>
      </c>
      <c r="P69" s="224">
        <v>0</v>
      </c>
      <c r="Q69" s="224" t="s">
        <v>330</v>
      </c>
      <c r="R69" s="224">
        <v>51</v>
      </c>
      <c r="S69" s="224" t="s">
        <v>16</v>
      </c>
      <c r="T69" s="301" t="s">
        <v>2975</v>
      </c>
      <c r="U69" s="301" t="s">
        <v>2976</v>
      </c>
      <c r="V69" s="227">
        <f>135*2</f>
        <v>270</v>
      </c>
      <c r="W69" s="228" t="s">
        <v>16</v>
      </c>
      <c r="X69" s="228">
        <v>0</v>
      </c>
      <c r="Y69" s="228" t="s">
        <v>16</v>
      </c>
      <c r="Z69" s="241">
        <f>135*2+0</f>
        <v>270</v>
      </c>
      <c r="AA69" s="302">
        <v>25</v>
      </c>
      <c r="AB69" s="241">
        <f t="shared" si="15"/>
        <v>295</v>
      </c>
      <c r="AC69" s="230" t="s">
        <v>304</v>
      </c>
      <c r="AD69" s="224" t="s">
        <v>2977</v>
      </c>
      <c r="AE69" s="231">
        <v>45153</v>
      </c>
      <c r="AF69" s="238" t="s">
        <v>2978</v>
      </c>
      <c r="AG69" s="232">
        <v>8.6300000000000008</v>
      </c>
      <c r="AH69" s="232">
        <v>8.36</v>
      </c>
      <c r="AI69" s="322" t="s">
        <v>304</v>
      </c>
      <c r="AJ69" s="233">
        <v>103381</v>
      </c>
      <c r="AK69" s="231">
        <v>45229</v>
      </c>
      <c r="AL69" s="252" t="s">
        <v>2979</v>
      </c>
    </row>
    <row r="70" spans="1:38" s="236" customFormat="1" ht="39.6" x14ac:dyDescent="0.3">
      <c r="A70" s="250">
        <v>45125</v>
      </c>
      <c r="B70" s="218" t="s">
        <v>2980</v>
      </c>
      <c r="C70" s="222" t="s">
        <v>1054</v>
      </c>
      <c r="D70" s="222" t="str">
        <f>VLOOKUP($C70,Customers!$A$2:$Z$1010,2,FALSE)</f>
        <v>Carlos Cruz</v>
      </c>
      <c r="E70" s="293" t="s">
        <v>427</v>
      </c>
      <c r="F70" s="222" t="str">
        <f xml:space="preserve"> VLOOKUP($C70,Customers!$A$2:$Z$1010,5,FALSE)</f>
        <v>University of Toronto</v>
      </c>
      <c r="G70" s="222" t="str">
        <f>VLOOKUP($C70,Customers!$A$2:$Z$1010,10,FALSE) &amp; ", " &amp; VLOOKUP($C70,Customers!$A$2:$Z$1010,11,FALSE)</f>
        <v>Toronto, ON</v>
      </c>
      <c r="H70" s="222" t="str">
        <f>VLOOKUP($C70,Customers!$A$2:$Z$1010,13,FALSE)</f>
        <v>Canada</v>
      </c>
      <c r="I70" s="222" t="str">
        <f>VLOOKUP($C70,Customers!$A$2:$Z$1010,18,FALSE)</f>
        <v>CA</v>
      </c>
      <c r="J70" s="223" t="s">
        <v>304</v>
      </c>
      <c r="K70" s="224" t="s">
        <v>2981</v>
      </c>
      <c r="L70" s="259">
        <v>4</v>
      </c>
      <c r="M70" s="224" t="s">
        <v>2982</v>
      </c>
      <c r="N70" s="259">
        <f>1+1+1+1</f>
        <v>4</v>
      </c>
      <c r="O70" s="225" t="s">
        <v>16</v>
      </c>
      <c r="P70" s="224">
        <v>0</v>
      </c>
      <c r="Q70" s="225" t="s">
        <v>16</v>
      </c>
      <c r="R70" s="224">
        <v>0</v>
      </c>
      <c r="S70" s="224" t="s">
        <v>16</v>
      </c>
      <c r="T70" s="226" t="s">
        <v>2983</v>
      </c>
      <c r="U70" s="226" t="s">
        <v>2984</v>
      </c>
      <c r="V70" s="227">
        <f>175*4</f>
        <v>700</v>
      </c>
      <c r="W70" s="228" t="s">
        <v>16</v>
      </c>
      <c r="X70" s="228" t="s">
        <v>16</v>
      </c>
      <c r="Y70" s="228" t="s">
        <v>16</v>
      </c>
      <c r="Z70" s="240">
        <f>175*4</f>
        <v>700</v>
      </c>
      <c r="AA70" s="240" t="s">
        <v>308</v>
      </c>
      <c r="AB70" s="241">
        <f t="shared" si="15"/>
        <v>700</v>
      </c>
      <c r="AC70" s="230" t="s">
        <v>304</v>
      </c>
      <c r="AD70" s="222" t="s">
        <v>16</v>
      </c>
      <c r="AE70" s="231" t="s">
        <v>2985</v>
      </c>
      <c r="AF70" s="219" t="s">
        <v>1134</v>
      </c>
      <c r="AG70" s="230" t="s">
        <v>308</v>
      </c>
      <c r="AH70" s="230" t="s">
        <v>308</v>
      </c>
      <c r="AI70" s="326" t="s">
        <v>304</v>
      </c>
      <c r="AJ70" s="233">
        <v>103819</v>
      </c>
      <c r="AK70" s="231">
        <v>45230</v>
      </c>
      <c r="AL70" s="327" t="s">
        <v>2986</v>
      </c>
    </row>
    <row r="71" spans="1:38" s="236" customFormat="1" ht="52.95" customHeight="1" x14ac:dyDescent="0.3">
      <c r="A71" s="257">
        <v>45127</v>
      </c>
      <c r="B71" s="224" t="s">
        <v>2987</v>
      </c>
      <c r="C71" s="283" t="s">
        <v>1020</v>
      </c>
      <c r="D71" s="222" t="str">
        <f>VLOOKUP($C71,Customers!$A$2:$Z$1010,2,FALSE)</f>
        <v>Kathryn (Katie) Thomas</v>
      </c>
      <c r="E71" s="293" t="s">
        <v>736</v>
      </c>
      <c r="F71" s="222" t="str">
        <f xml:space="preserve"> VLOOKUP($C71,Customers!$A$2:$Z$1010,5,FALSE)</f>
        <v>Blue Lion Labs</v>
      </c>
      <c r="G71" s="222" t="str">
        <f>VLOOKUP($C71,Customers!$A$2:$Z$1010,10,FALSE) &amp; ", " &amp; VLOOKUP($C71,Customers!$A$2:$Z$1010,11,FALSE)</f>
        <v>Waterloo, ON</v>
      </c>
      <c r="H71" s="222" t="str">
        <f>VLOOKUP($C71,Customers!$A$2:$Z$1010,13,FALSE)</f>
        <v>Canada</v>
      </c>
      <c r="I71" s="222" t="str">
        <f>VLOOKUP($C71,Customers!$A$2:$Z$1010,18,FALSE)</f>
        <v>CC</v>
      </c>
      <c r="J71" s="218" t="s">
        <v>306</v>
      </c>
      <c r="K71" s="243" t="s">
        <v>16</v>
      </c>
      <c r="L71" s="218">
        <v>0</v>
      </c>
      <c r="M71" s="224">
        <v>0</v>
      </c>
      <c r="N71" s="218">
        <v>0</v>
      </c>
      <c r="O71" s="225" t="s">
        <v>16</v>
      </c>
      <c r="P71" s="224">
        <v>0</v>
      </c>
      <c r="Q71" s="225" t="s">
        <v>16</v>
      </c>
      <c r="R71" s="224">
        <v>0</v>
      </c>
      <c r="S71" s="224" t="s">
        <v>2304</v>
      </c>
      <c r="T71" s="301" t="s">
        <v>2988</v>
      </c>
      <c r="U71" s="301" t="s">
        <v>2989</v>
      </c>
      <c r="V71" s="228" t="s">
        <v>16</v>
      </c>
      <c r="W71" s="228" t="s">
        <v>16</v>
      </c>
      <c r="X71" s="228" t="s">
        <v>16</v>
      </c>
      <c r="Y71" s="227">
        <v>60</v>
      </c>
      <c r="Z71" s="241">
        <f>(60*0.5)+(60*0.5)</f>
        <v>60</v>
      </c>
      <c r="AA71" s="241" t="s">
        <v>308</v>
      </c>
      <c r="AB71" s="240">
        <f>SUM(Z71:AA71)</f>
        <v>60</v>
      </c>
      <c r="AC71" s="230" t="s">
        <v>304</v>
      </c>
      <c r="AD71" s="243" t="s">
        <v>16</v>
      </c>
      <c r="AE71" s="250" t="s">
        <v>2990</v>
      </c>
      <c r="AF71" s="250" t="s">
        <v>2991</v>
      </c>
      <c r="AG71" s="241" t="s">
        <v>308</v>
      </c>
      <c r="AH71" s="241" t="s">
        <v>308</v>
      </c>
      <c r="AI71" s="322" t="s">
        <v>304</v>
      </c>
      <c r="AJ71" s="224">
        <v>109424</v>
      </c>
      <c r="AK71" s="234">
        <v>45338</v>
      </c>
      <c r="AL71" s="323" t="s">
        <v>2992</v>
      </c>
    </row>
    <row r="72" spans="1:38" s="236" customFormat="1" ht="105.75" customHeight="1" x14ac:dyDescent="0.3">
      <c r="A72" s="231">
        <v>45128</v>
      </c>
      <c r="B72" s="222" t="s">
        <v>2993</v>
      </c>
      <c r="C72" s="222" t="s">
        <v>1030</v>
      </c>
      <c r="D72" s="222" t="str">
        <f>VLOOKUP($C72,Customers!$A$2:$Z$1010,2,FALSE)</f>
        <v>Devin Hughes</v>
      </c>
      <c r="E72" s="293" t="s">
        <v>16</v>
      </c>
      <c r="F72" s="222" t="str">
        <f xml:space="preserve"> VLOOKUP($C72,Customers!$A$2:$Z$1010,5,FALSE)</f>
        <v>Concordia University of Edmonton</v>
      </c>
      <c r="G72" s="222" t="str">
        <f>VLOOKUP($C72,Customers!$A$2:$Z$1010,10,FALSE) &amp; ", " &amp; VLOOKUP($C72,Customers!$A$2:$Z$1010,11,FALSE)</f>
        <v>Edmonton, AB</v>
      </c>
      <c r="H72" s="222" t="str">
        <f>VLOOKUP($C72,Customers!$A$2:$Z$1010,13,FALSE)</f>
        <v>Canada</v>
      </c>
      <c r="I72" s="222" t="str">
        <f>VLOOKUP($C72,Customers!$A$2:$Z$1010,18,FALSE)</f>
        <v>CA</v>
      </c>
      <c r="J72" s="1156" t="s">
        <v>306</v>
      </c>
      <c r="K72" s="224" t="s">
        <v>2994</v>
      </c>
      <c r="L72" s="251">
        <v>4</v>
      </c>
      <c r="M72" s="224" t="s">
        <v>2917</v>
      </c>
      <c r="N72" s="251">
        <f>1+1+1+1</f>
        <v>4</v>
      </c>
      <c r="O72" s="225" t="s">
        <v>16</v>
      </c>
      <c r="P72" s="224">
        <v>0</v>
      </c>
      <c r="Q72" s="224" t="s">
        <v>2995</v>
      </c>
      <c r="R72" s="224" t="s">
        <v>2996</v>
      </c>
      <c r="S72" s="224" t="s">
        <v>16</v>
      </c>
      <c r="T72" s="226" t="s">
        <v>2997</v>
      </c>
      <c r="U72" s="226" t="s">
        <v>2998</v>
      </c>
      <c r="V72" s="227">
        <f>135*4</f>
        <v>540</v>
      </c>
      <c r="W72" s="228" t="s">
        <v>16</v>
      </c>
      <c r="X72" s="227">
        <f>90+60+60</f>
        <v>210</v>
      </c>
      <c r="Y72" s="228" t="s">
        <v>16</v>
      </c>
      <c r="Z72" s="229">
        <f>135*4+90+60+60</f>
        <v>750</v>
      </c>
      <c r="AA72" s="229">
        <v>35</v>
      </c>
      <c r="AB72" s="1140">
        <f>SUM(Z72:AA73)</f>
        <v>1225</v>
      </c>
      <c r="AC72" s="230" t="s">
        <v>304</v>
      </c>
      <c r="AD72" s="222" t="s">
        <v>16</v>
      </c>
      <c r="AE72" s="231">
        <v>45146</v>
      </c>
      <c r="AF72" s="238" t="s">
        <v>2999</v>
      </c>
      <c r="AG72" s="232">
        <v>22.02</v>
      </c>
      <c r="AH72" s="232">
        <v>25.5</v>
      </c>
      <c r="AI72" s="1152" t="s">
        <v>304</v>
      </c>
      <c r="AJ72" s="1167">
        <v>103059</v>
      </c>
      <c r="AK72" s="709">
        <v>45244</v>
      </c>
      <c r="AL72" s="1145" t="s">
        <v>3000</v>
      </c>
    </row>
    <row r="73" spans="1:38" s="236" customFormat="1" ht="39.6" x14ac:dyDescent="0.3">
      <c r="A73" s="231">
        <v>45128</v>
      </c>
      <c r="B73" s="222" t="s">
        <v>3956</v>
      </c>
      <c r="C73" s="222" t="s">
        <v>1030</v>
      </c>
      <c r="D73" s="222" t="str">
        <f>VLOOKUP($C73,Customers!$A$2:$Z$1010,2,FALSE)</f>
        <v>Devin Hughes</v>
      </c>
      <c r="E73" s="293" t="s">
        <v>16</v>
      </c>
      <c r="F73" s="222" t="str">
        <f xml:space="preserve"> VLOOKUP($C73,Customers!$A$2:$Z$1010,5,FALSE)</f>
        <v>Concordia University of Edmonton</v>
      </c>
      <c r="G73" s="222" t="str">
        <f>VLOOKUP($C73,Customers!$A$2:$Z$1010,10,FALSE) &amp; ", " &amp; VLOOKUP($C73,Customers!$A$2:$Z$1010,11,FALSE)</f>
        <v>Edmonton, AB</v>
      </c>
      <c r="H73" s="222" t="str">
        <f>VLOOKUP($C73,Customers!$A$2:$Z$1010,13,FALSE)</f>
        <v>Canada</v>
      </c>
      <c r="I73" s="222" t="str">
        <f>VLOOKUP($C73,Customers!$A$2:$Z$1010,18,FALSE)</f>
        <v>CA</v>
      </c>
      <c r="J73" s="1156"/>
      <c r="K73" s="224" t="s">
        <v>3001</v>
      </c>
      <c r="L73" s="251">
        <v>3</v>
      </c>
      <c r="M73" s="224" t="s">
        <v>1982</v>
      </c>
      <c r="N73" s="251">
        <f>1+1+1</f>
        <v>3</v>
      </c>
      <c r="O73" s="225" t="s">
        <v>16</v>
      </c>
      <c r="P73" s="224">
        <v>0</v>
      </c>
      <c r="Q73" s="243" t="s">
        <v>16</v>
      </c>
      <c r="R73" s="243" t="s">
        <v>16</v>
      </c>
      <c r="S73" s="224" t="s">
        <v>16</v>
      </c>
      <c r="T73" s="226" t="s">
        <v>3002</v>
      </c>
      <c r="U73" s="226" t="s">
        <v>3003</v>
      </c>
      <c r="V73" s="227">
        <f>135*3</f>
        <v>405</v>
      </c>
      <c r="W73" s="228" t="s">
        <v>16</v>
      </c>
      <c r="X73" s="228" t="s">
        <v>16</v>
      </c>
      <c r="Y73" s="228" t="s">
        <v>16</v>
      </c>
      <c r="Z73" s="229">
        <f>135*3</f>
        <v>405</v>
      </c>
      <c r="AA73" s="229">
        <v>35</v>
      </c>
      <c r="AB73" s="1140"/>
      <c r="AC73" s="230" t="s">
        <v>304</v>
      </c>
      <c r="AD73" s="222" t="s">
        <v>16</v>
      </c>
      <c r="AE73" s="231">
        <v>45159</v>
      </c>
      <c r="AF73" s="238" t="s">
        <v>3004</v>
      </c>
      <c r="AG73" s="232">
        <v>26.33</v>
      </c>
      <c r="AH73" s="232">
        <v>25.49</v>
      </c>
      <c r="AI73" s="1152"/>
      <c r="AJ73" s="1167"/>
      <c r="AK73" s="709">
        <v>45244</v>
      </c>
      <c r="AL73" s="1145"/>
    </row>
    <row r="74" spans="1:38" s="236" customFormat="1" ht="26.4" x14ac:dyDescent="0.3">
      <c r="A74" s="257">
        <v>45132</v>
      </c>
      <c r="B74" s="224" t="s">
        <v>3005</v>
      </c>
      <c r="C74" s="283" t="s">
        <v>2487</v>
      </c>
      <c r="D74" s="222" t="str">
        <f>VLOOKUP($C74,Customers!$A$2:$Z$1010,2,FALSE)</f>
        <v>Kim Cuddington</v>
      </c>
      <c r="E74" s="293" t="s">
        <v>2058</v>
      </c>
      <c r="F74" s="222" t="str">
        <f xml:space="preserve"> VLOOKUP($C74,Customers!$A$2:$Z$1010,5,FALSE)</f>
        <v>University of Waterloo</v>
      </c>
      <c r="G74" s="222" t="str">
        <f>VLOOKUP($C74,Customers!$A$2:$Z$1010,10,FALSE) &amp; ", " &amp; VLOOKUP($C74,Customers!$A$2:$Z$1010,11,FALSE)</f>
        <v>Waterloo, ON</v>
      </c>
      <c r="H74" s="222" t="str">
        <f>VLOOKUP($C74,Customers!$A$2:$Z$1010,13,FALSE)</f>
        <v>Canada</v>
      </c>
      <c r="I74" s="222" t="str">
        <f>VLOOKUP($C74,Customers!$A$2:$Z$1010,18,FALSE)</f>
        <v>CA</v>
      </c>
      <c r="J74" s="223" t="s">
        <v>306</v>
      </c>
      <c r="K74" s="243" t="s">
        <v>16</v>
      </c>
      <c r="L74" s="251">
        <v>0</v>
      </c>
      <c r="M74" s="224">
        <v>0</v>
      </c>
      <c r="N74" s="251">
        <v>0</v>
      </c>
      <c r="O74" s="224" t="s">
        <v>371</v>
      </c>
      <c r="P74" s="224">
        <v>4</v>
      </c>
      <c r="Q74" s="225" t="s">
        <v>16</v>
      </c>
      <c r="R74" s="224">
        <v>0</v>
      </c>
      <c r="S74" s="224" t="s">
        <v>16</v>
      </c>
      <c r="T74" s="226" t="s">
        <v>422</v>
      </c>
      <c r="U74" s="226" t="s">
        <v>339</v>
      </c>
      <c r="V74" s="228" t="s">
        <v>16</v>
      </c>
      <c r="W74" s="227">
        <f>50*4</f>
        <v>200</v>
      </c>
      <c r="X74" s="228" t="s">
        <v>16</v>
      </c>
      <c r="Y74" s="228" t="s">
        <v>16</v>
      </c>
      <c r="Z74" s="240">
        <f t="shared" ref="Z74" si="18">SUM(V74:Y74)</f>
        <v>200</v>
      </c>
      <c r="AA74" s="230" t="s">
        <v>308</v>
      </c>
      <c r="AB74" s="240">
        <f t="shared" ref="AB74:AB75" si="19">SUM(Z74:AA74)</f>
        <v>200</v>
      </c>
      <c r="AC74" s="230" t="s">
        <v>304</v>
      </c>
      <c r="AD74" s="242" t="s">
        <v>16</v>
      </c>
      <c r="AE74" s="231">
        <v>45149</v>
      </c>
      <c r="AF74" s="256" t="s">
        <v>423</v>
      </c>
      <c r="AG74" s="232" t="s">
        <v>308</v>
      </c>
      <c r="AH74" s="232" t="s">
        <v>308</v>
      </c>
      <c r="AI74" s="223" t="s">
        <v>308</v>
      </c>
      <c r="AJ74" s="218" t="s">
        <v>308</v>
      </c>
      <c r="AK74" s="257">
        <v>45195</v>
      </c>
      <c r="AL74" s="252" t="s">
        <v>3006</v>
      </c>
    </row>
    <row r="75" spans="1:38" s="236" customFormat="1" ht="39.6" x14ac:dyDescent="0.3">
      <c r="A75" s="257">
        <v>45133</v>
      </c>
      <c r="B75" s="224" t="s">
        <v>3007</v>
      </c>
      <c r="C75" s="283" t="s">
        <v>2306</v>
      </c>
      <c r="D75" s="222" t="str">
        <f>VLOOKUP($C75,Customers!$A$2:$Z$1010,2,FALSE)</f>
        <v>Megan Bauer</v>
      </c>
      <c r="E75" s="583" t="s">
        <v>16</v>
      </c>
      <c r="F75" s="222" t="str">
        <f xml:space="preserve"> VLOOKUP($C75,Customers!$A$2:$Z$1010,5,FALSE)</f>
        <v>Environment and Climate Change Canada (ECCC) - Atlantic Laboratory for Environmental Testing (ALET)</v>
      </c>
      <c r="G75" s="222" t="str">
        <f>VLOOKUP($C75,Customers!$A$2:$Z$1010,10,FALSE) &amp; ", " &amp; VLOOKUP($C75,Customers!$A$2:$Z$1010,11,FALSE)</f>
        <v>Moncton, NB</v>
      </c>
      <c r="H75" s="222" t="str">
        <f>VLOOKUP($C75,Customers!$A$2:$Z$1010,13,FALSE)</f>
        <v>Canada</v>
      </c>
      <c r="I75" s="222" t="str">
        <f>VLOOKUP($C75,Customers!$A$2:$Z$1010,18,FALSE)</f>
        <v>CG</v>
      </c>
      <c r="J75" s="223" t="s">
        <v>306</v>
      </c>
      <c r="K75" s="224" t="s">
        <v>3008</v>
      </c>
      <c r="L75" s="259">
        <v>2</v>
      </c>
      <c r="M75" s="224" t="s">
        <v>1978</v>
      </c>
      <c r="N75" s="259">
        <f>2+2</f>
        <v>4</v>
      </c>
      <c r="O75" s="225" t="s">
        <v>16</v>
      </c>
      <c r="P75" s="224">
        <v>0</v>
      </c>
      <c r="Q75" s="225" t="s">
        <v>16</v>
      </c>
      <c r="R75" s="224">
        <v>0</v>
      </c>
      <c r="S75" s="224" t="s">
        <v>16</v>
      </c>
      <c r="T75" s="226" t="s">
        <v>3009</v>
      </c>
      <c r="U75" s="226" t="s">
        <v>1198</v>
      </c>
      <c r="V75" s="227">
        <f>175*2</f>
        <v>350</v>
      </c>
      <c r="W75" s="228" t="s">
        <v>16</v>
      </c>
      <c r="X75" s="228" t="s">
        <v>16</v>
      </c>
      <c r="Y75" s="228" t="s">
        <v>16</v>
      </c>
      <c r="Z75" s="229">
        <f>175*2</f>
        <v>350</v>
      </c>
      <c r="AA75" s="230">
        <v>25</v>
      </c>
      <c r="AB75" s="240">
        <f t="shared" si="19"/>
        <v>375</v>
      </c>
      <c r="AC75" s="230" t="s">
        <v>304</v>
      </c>
      <c r="AD75" s="242" t="s">
        <v>16</v>
      </c>
      <c r="AE75" s="231">
        <v>45139</v>
      </c>
      <c r="AF75" s="238" t="s">
        <v>3010</v>
      </c>
      <c r="AG75" s="232">
        <v>19.39</v>
      </c>
      <c r="AH75" s="232">
        <v>17.52</v>
      </c>
      <c r="AI75" s="230" t="s">
        <v>304</v>
      </c>
      <c r="AJ75" s="218">
        <v>103165</v>
      </c>
      <c r="AK75" s="231">
        <v>45229</v>
      </c>
      <c r="AL75" s="235" t="s">
        <v>1170</v>
      </c>
    </row>
    <row r="76" spans="1:38" s="236" customFormat="1" ht="79.5" customHeight="1" x14ac:dyDescent="0.3">
      <c r="A76" s="231">
        <v>45133</v>
      </c>
      <c r="B76" s="222" t="s">
        <v>3011</v>
      </c>
      <c r="C76" s="283" t="s">
        <v>1045</v>
      </c>
      <c r="D76" s="222" t="str">
        <f>VLOOKUP($C76,Customers!$A$2:$Z$1010,2,FALSE)</f>
        <v>Adam Wartman</v>
      </c>
      <c r="E76" s="293" t="s">
        <v>2313</v>
      </c>
      <c r="F76" s="222" t="str">
        <f xml:space="preserve"> VLOOKUP($C76,Customers!$A$2:$Z$1010,5,FALSE)</f>
        <v>Nautilus Environmental Company Inc. - Guelph</v>
      </c>
      <c r="G76" s="222" t="str">
        <f>VLOOKUP($C76,Customers!$A$2:$Z$1010,10,FALSE) &amp; ", " &amp; VLOOKUP($C76,Customers!$A$2:$Z$1010,11,FALSE)</f>
        <v>Puslinch, ON</v>
      </c>
      <c r="H76" s="222" t="str">
        <f>VLOOKUP($C76,Customers!$A$2:$Z$1010,13,FALSE)</f>
        <v>Canada</v>
      </c>
      <c r="I76" s="222" t="str">
        <f>VLOOKUP($C76,Customers!$A$2:$Z$1010,18,FALSE)</f>
        <v>CC</v>
      </c>
      <c r="J76" s="223" t="s">
        <v>306</v>
      </c>
      <c r="K76" s="224">
        <v>715</v>
      </c>
      <c r="L76" s="251">
        <v>1</v>
      </c>
      <c r="M76" s="224">
        <v>15</v>
      </c>
      <c r="N76" s="251">
        <f>1</f>
        <v>1</v>
      </c>
      <c r="O76" s="225" t="s">
        <v>16</v>
      </c>
      <c r="P76" s="224">
        <v>0</v>
      </c>
      <c r="Q76" s="224" t="s">
        <v>318</v>
      </c>
      <c r="R76" s="224">
        <v>1000</v>
      </c>
      <c r="S76" s="224" t="s">
        <v>16</v>
      </c>
      <c r="T76" s="226" t="s">
        <v>3012</v>
      </c>
      <c r="U76" s="226" t="s">
        <v>3013</v>
      </c>
      <c r="V76" s="227">
        <v>200</v>
      </c>
      <c r="W76" s="228" t="s">
        <v>16</v>
      </c>
      <c r="X76" s="227">
        <f>365+10</f>
        <v>375</v>
      </c>
      <c r="Y76" s="228" t="s">
        <v>16</v>
      </c>
      <c r="Z76" s="240">
        <f t="shared" ref="Z76" si="20">SUM(V76:Y76)</f>
        <v>575</v>
      </c>
      <c r="AA76" s="230" t="s">
        <v>308</v>
      </c>
      <c r="AB76" s="229">
        <f>SUM(Z76:AA76)</f>
        <v>575</v>
      </c>
      <c r="AC76" s="230" t="s">
        <v>304</v>
      </c>
      <c r="AD76" s="242" t="s">
        <v>16</v>
      </c>
      <c r="AE76" s="231">
        <v>45141</v>
      </c>
      <c r="AF76" s="238" t="s">
        <v>3014</v>
      </c>
      <c r="AG76" s="241" t="s">
        <v>308</v>
      </c>
      <c r="AH76" s="241" t="s">
        <v>308</v>
      </c>
      <c r="AI76" s="239" t="s">
        <v>304</v>
      </c>
      <c r="AJ76" s="233">
        <v>102886</v>
      </c>
      <c r="AK76" s="231">
        <v>45195</v>
      </c>
      <c r="AL76" s="235" t="s">
        <v>3015</v>
      </c>
    </row>
    <row r="77" spans="1:38" s="236" customFormat="1" ht="52.8" x14ac:dyDescent="0.3">
      <c r="A77" s="231">
        <v>45134</v>
      </c>
      <c r="B77" s="222" t="s">
        <v>3016</v>
      </c>
      <c r="C77" s="283" t="s">
        <v>1051</v>
      </c>
      <c r="D77" s="222" t="str">
        <f>VLOOKUP($C77,Customers!$A$2:$Z$1010,2,FALSE)</f>
        <v>Andreas Heyland</v>
      </c>
      <c r="E77" s="329" t="s">
        <v>2044</v>
      </c>
      <c r="F77" s="222" t="str">
        <f xml:space="preserve"> VLOOKUP($C77,Customers!$A$2:$Z$1010,5,FALSE)</f>
        <v>University of Guelph</v>
      </c>
      <c r="G77" s="222" t="str">
        <f>VLOOKUP($C77,Customers!$A$2:$Z$1010,10,FALSE) &amp; ", " &amp; VLOOKUP($C77,Customers!$A$2:$Z$1010,11,FALSE)</f>
        <v>Guelph, ON</v>
      </c>
      <c r="H77" s="222" t="str">
        <f>VLOOKUP($C77,Customers!$A$2:$Z$1010,13,FALSE)</f>
        <v>Canada</v>
      </c>
      <c r="I77" s="222" t="str">
        <f>VLOOKUP($C77,Customers!$A$2:$Z$1010,18,FALSE)</f>
        <v>CA</v>
      </c>
      <c r="J77" s="223" t="s">
        <v>306</v>
      </c>
      <c r="K77" s="243" t="s">
        <v>16</v>
      </c>
      <c r="L77" s="251">
        <v>0</v>
      </c>
      <c r="M77" s="224">
        <v>0</v>
      </c>
      <c r="N77" s="251">
        <v>0</v>
      </c>
      <c r="O77" s="225" t="s">
        <v>16</v>
      </c>
      <c r="P77" s="224">
        <v>0</v>
      </c>
      <c r="Q77" s="224" t="s">
        <v>330</v>
      </c>
      <c r="R77" s="224">
        <v>1020</v>
      </c>
      <c r="S77" s="224" t="s">
        <v>16</v>
      </c>
      <c r="T77" s="226" t="s">
        <v>3017</v>
      </c>
      <c r="U77" s="226" t="s">
        <v>3018</v>
      </c>
      <c r="V77" s="228" t="s">
        <v>16</v>
      </c>
      <c r="W77" s="228" t="s">
        <v>16</v>
      </c>
      <c r="X77" s="227">
        <v>125</v>
      </c>
      <c r="Y77" s="228" t="s">
        <v>16</v>
      </c>
      <c r="Z77" s="240">
        <f t="shared" ref="Z77" si="21">SUM(V77:Y77)</f>
        <v>125</v>
      </c>
      <c r="AA77" s="230">
        <v>10</v>
      </c>
      <c r="AB77" s="240">
        <f t="shared" ref="AB77:AB81" si="22">SUM(Z77:AA77)</f>
        <v>135</v>
      </c>
      <c r="AC77" s="230" t="s">
        <v>304</v>
      </c>
      <c r="AD77" s="708" t="s">
        <v>3957</v>
      </c>
      <c r="AE77" s="231">
        <v>45141</v>
      </c>
      <c r="AF77" s="256" t="s">
        <v>370</v>
      </c>
      <c r="AG77" s="241" t="s">
        <v>308</v>
      </c>
      <c r="AH77" s="241" t="s">
        <v>308</v>
      </c>
      <c r="AI77" s="330" t="s">
        <v>304</v>
      </c>
      <c r="AJ77" s="233">
        <v>103794</v>
      </c>
      <c r="AK77" s="231">
        <v>45195</v>
      </c>
      <c r="AL77" s="252" t="s">
        <v>3019</v>
      </c>
    </row>
    <row r="78" spans="1:38" s="236" customFormat="1" ht="39.6" x14ac:dyDescent="0.3">
      <c r="A78" s="257">
        <v>45135</v>
      </c>
      <c r="B78" s="218" t="s">
        <v>3020</v>
      </c>
      <c r="C78" s="283" t="s">
        <v>1053</v>
      </c>
      <c r="D78" s="222" t="str">
        <f>VLOOKUP($C78,Customers!$A$2:$Z$1010,2,FALSE)</f>
        <v>Katherine Raes</v>
      </c>
      <c r="E78" s="583" t="s">
        <v>16</v>
      </c>
      <c r="F78" s="222" t="str">
        <f xml:space="preserve"> VLOOKUP($C78,Customers!$A$2:$Z$1010,5,FALSE)</f>
        <v>University of Saskatchewan</v>
      </c>
      <c r="G78" s="222" t="str">
        <f>VLOOKUP($C78,Customers!$A$2:$Z$1010,10,FALSE) &amp; ", " &amp; VLOOKUP($C78,Customers!$A$2:$Z$1010,11,FALSE)</f>
        <v>Saskatoon, SK</v>
      </c>
      <c r="H78" s="222" t="str">
        <f>VLOOKUP($C78,Customers!$A$2:$Z$1010,13,FALSE)</f>
        <v>Canada</v>
      </c>
      <c r="I78" s="222" t="str">
        <f>VLOOKUP($C78,Customers!$A$2:$Z$1010,18,FALSE)</f>
        <v>CA</v>
      </c>
      <c r="J78" s="253" t="s">
        <v>306</v>
      </c>
      <c r="K78" s="224" t="s">
        <v>2726</v>
      </c>
      <c r="L78" s="253">
        <v>2</v>
      </c>
      <c r="M78" s="224" t="s">
        <v>1973</v>
      </c>
      <c r="N78" s="253">
        <f>1+1</f>
        <v>2</v>
      </c>
      <c r="O78" s="225" t="s">
        <v>16</v>
      </c>
      <c r="P78" s="224">
        <v>0</v>
      </c>
      <c r="Q78" s="225" t="s">
        <v>16</v>
      </c>
      <c r="R78" s="224">
        <v>0</v>
      </c>
      <c r="S78" s="224" t="s">
        <v>16</v>
      </c>
      <c r="T78" s="226" t="s">
        <v>2727</v>
      </c>
      <c r="U78" s="226" t="s">
        <v>1138</v>
      </c>
      <c r="V78" s="227">
        <f>135*2</f>
        <v>270</v>
      </c>
      <c r="W78" s="228" t="s">
        <v>16</v>
      </c>
      <c r="X78" s="228" t="s">
        <v>16</v>
      </c>
      <c r="Y78" s="228" t="s">
        <v>16</v>
      </c>
      <c r="Z78" s="240">
        <f>135*2</f>
        <v>270</v>
      </c>
      <c r="AA78" s="240">
        <v>35</v>
      </c>
      <c r="AB78" s="240">
        <f t="shared" si="22"/>
        <v>305</v>
      </c>
      <c r="AC78" s="230" t="s">
        <v>304</v>
      </c>
      <c r="AD78" s="242" t="s">
        <v>16</v>
      </c>
      <c r="AE78" s="231">
        <v>45159</v>
      </c>
      <c r="AF78" s="238" t="s">
        <v>3021</v>
      </c>
      <c r="AG78" s="232">
        <v>26.33</v>
      </c>
      <c r="AH78" s="232">
        <v>25.49</v>
      </c>
      <c r="AI78" s="245" t="s">
        <v>304</v>
      </c>
      <c r="AJ78" s="223">
        <v>103813</v>
      </c>
      <c r="AK78" s="231">
        <v>45244</v>
      </c>
      <c r="AL78" s="255" t="s">
        <v>3022</v>
      </c>
    </row>
    <row r="79" spans="1:38" s="281" customFormat="1" ht="40.200000000000003" thickBot="1" x14ac:dyDescent="0.35">
      <c r="A79" s="297">
        <v>45138</v>
      </c>
      <c r="B79" s="297" t="s">
        <v>3023</v>
      </c>
      <c r="C79" s="284" t="s">
        <v>1046</v>
      </c>
      <c r="D79" s="264" t="str">
        <f>VLOOKUP($C79,Customers!$A$2:$Z$1010,2,FALSE)</f>
        <v>Edyta Pasiak</v>
      </c>
      <c r="E79" s="584" t="s">
        <v>16</v>
      </c>
      <c r="F79" s="264" t="str">
        <f xml:space="preserve"> VLOOKUP($C79,Customers!$A$2:$Z$1010,5,FALSE)</f>
        <v>Nautilus Environmental Company Inc. - Point Edward</v>
      </c>
      <c r="G79" s="264" t="str">
        <f>VLOOKUP($C79,Customers!$A$2:$Z$1010,10,FALSE) &amp; ", " &amp; VLOOKUP($C79,Customers!$A$2:$Z$1010,11,FALSE)</f>
        <v>Point Edward, ON</v>
      </c>
      <c r="H79" s="264" t="str">
        <f>VLOOKUP($C79,Customers!$A$2:$Z$1010,13,FALSE)</f>
        <v>Canada</v>
      </c>
      <c r="I79" s="264" t="str">
        <f>VLOOKUP($C79,Customers!$A$2:$Z$1010,18,FALSE)</f>
        <v>CC</v>
      </c>
      <c r="J79" s="267" t="s">
        <v>306</v>
      </c>
      <c r="K79" s="261">
        <v>89</v>
      </c>
      <c r="L79" s="267">
        <v>1</v>
      </c>
      <c r="M79" s="261">
        <v>15</v>
      </c>
      <c r="N79" s="267">
        <f>1</f>
        <v>1</v>
      </c>
      <c r="O79" s="268" t="s">
        <v>16</v>
      </c>
      <c r="P79" s="261">
        <v>0</v>
      </c>
      <c r="Q79" s="268" t="s">
        <v>16</v>
      </c>
      <c r="R79" s="261">
        <v>0</v>
      </c>
      <c r="S79" s="261" t="s">
        <v>16</v>
      </c>
      <c r="T79" s="269" t="s">
        <v>3024</v>
      </c>
      <c r="U79" s="269" t="s">
        <v>417</v>
      </c>
      <c r="V79" s="271">
        <v>200</v>
      </c>
      <c r="W79" s="270" t="s">
        <v>16</v>
      </c>
      <c r="X79" s="270" t="s">
        <v>16</v>
      </c>
      <c r="Y79" s="270" t="s">
        <v>16</v>
      </c>
      <c r="Z79" s="272">
        <f>200</f>
        <v>200</v>
      </c>
      <c r="AA79" s="272">
        <v>25</v>
      </c>
      <c r="AB79" s="296">
        <f t="shared" si="22"/>
        <v>225</v>
      </c>
      <c r="AC79" s="274" t="s">
        <v>304</v>
      </c>
      <c r="AD79" s="654" t="s">
        <v>3025</v>
      </c>
      <c r="AE79" s="276">
        <v>45152</v>
      </c>
      <c r="AF79" s="320" t="s">
        <v>3026</v>
      </c>
      <c r="AG79" s="277">
        <v>5.9</v>
      </c>
      <c r="AH79" s="277">
        <v>5.4</v>
      </c>
      <c r="AI79" s="278" t="s">
        <v>304</v>
      </c>
      <c r="AJ79" s="279">
        <v>103547</v>
      </c>
      <c r="AK79" s="276">
        <v>45230</v>
      </c>
      <c r="AL79" s="331" t="s">
        <v>2879</v>
      </c>
    </row>
    <row r="80" spans="1:38" s="236" customFormat="1" ht="52.95" customHeight="1" x14ac:dyDescent="0.3">
      <c r="A80" s="257">
        <v>45139</v>
      </c>
      <c r="B80" s="224" t="s">
        <v>3027</v>
      </c>
      <c r="C80" s="283" t="s">
        <v>1018</v>
      </c>
      <c r="D80" s="222" t="str">
        <f>VLOOKUP($C80,Customers!$A$2:$Z$1010,2,FALSE)</f>
        <v>Caroline Leblanc-Houde</v>
      </c>
      <c r="E80" s="585" t="s">
        <v>394</v>
      </c>
      <c r="F80" s="222" t="str">
        <f xml:space="preserve"> VLOOKUP($C80,Customers!$A$2:$Z$1010,5,FALSE)</f>
        <v>Agat Laboratories</v>
      </c>
      <c r="G80" s="222" t="str">
        <f>VLOOKUP($C80,Customers!$A$2:$Z$1010,10,FALSE) &amp; ", " &amp; VLOOKUP($C80,Customers!$A$2:$Z$1010,11,FALSE)</f>
        <v>Saint-Laurent, QC</v>
      </c>
      <c r="H80" s="222" t="str">
        <f>VLOOKUP($C80,Customers!$A$2:$Z$1010,13,FALSE)</f>
        <v>Canada</v>
      </c>
      <c r="I80" s="222" t="str">
        <f>VLOOKUP($C80,Customers!$A$2:$Z$1010,18,FALSE)</f>
        <v>CC</v>
      </c>
      <c r="J80" s="223" t="s">
        <v>306</v>
      </c>
      <c r="K80" s="224">
        <v>490</v>
      </c>
      <c r="L80" s="251">
        <v>1</v>
      </c>
      <c r="M80" s="224">
        <v>75</v>
      </c>
      <c r="N80" s="251">
        <f>3</f>
        <v>3</v>
      </c>
      <c r="O80" s="225" t="s">
        <v>16</v>
      </c>
      <c r="P80" s="224">
        <v>0</v>
      </c>
      <c r="Q80" s="225" t="s">
        <v>16</v>
      </c>
      <c r="R80" s="224">
        <v>0</v>
      </c>
      <c r="S80" s="224" t="s">
        <v>16</v>
      </c>
      <c r="T80" s="226" t="s">
        <v>3028</v>
      </c>
      <c r="U80" s="226" t="s">
        <v>419</v>
      </c>
      <c r="V80" s="227">
        <v>290</v>
      </c>
      <c r="W80" s="228" t="s">
        <v>16</v>
      </c>
      <c r="X80" s="228" t="s">
        <v>16</v>
      </c>
      <c r="Y80" s="228" t="s">
        <v>16</v>
      </c>
      <c r="Z80" s="229">
        <f>290</f>
        <v>290</v>
      </c>
      <c r="AA80" s="240">
        <v>25</v>
      </c>
      <c r="AB80" s="241">
        <f t="shared" si="22"/>
        <v>315</v>
      </c>
      <c r="AC80" s="230" t="s">
        <v>304</v>
      </c>
      <c r="AD80" s="242" t="s">
        <v>3029</v>
      </c>
      <c r="AE80" s="231">
        <v>45152</v>
      </c>
      <c r="AF80" s="219" t="s">
        <v>3030</v>
      </c>
      <c r="AG80" s="232">
        <v>8.6300000000000008</v>
      </c>
      <c r="AH80" s="232">
        <v>8.36</v>
      </c>
      <c r="AI80" s="239" t="s">
        <v>304</v>
      </c>
      <c r="AJ80" s="218">
        <v>102856</v>
      </c>
      <c r="AK80" s="231">
        <v>45229</v>
      </c>
      <c r="AL80" s="252" t="s">
        <v>3031</v>
      </c>
    </row>
    <row r="81" spans="1:38" s="236" customFormat="1" ht="52.95" customHeight="1" x14ac:dyDescent="0.3">
      <c r="A81" s="238">
        <v>45142</v>
      </c>
      <c r="B81" s="222" t="s">
        <v>3032</v>
      </c>
      <c r="C81" s="283" t="s">
        <v>1025</v>
      </c>
      <c r="D81" s="222" t="str">
        <f>VLOOKUP($C81,Customers!$A$2:$Z$1010,2,FALSE)</f>
        <v>Chelsea Blake</v>
      </c>
      <c r="E81" s="583" t="s">
        <v>16</v>
      </c>
      <c r="F81" s="222" t="str">
        <f xml:space="preserve"> VLOOKUP($C81,Customers!$A$2:$Z$1010,5,FALSE)</f>
        <v>Bureau Veritas Laboratories - Quebec</v>
      </c>
      <c r="G81" s="222" t="str">
        <f>VLOOKUP($C81,Customers!$A$2:$Z$1010,10,FALSE) &amp; ", " &amp; VLOOKUP($C81,Customers!$A$2:$Z$1010,11,FALSE)</f>
        <v>Quebec, QC</v>
      </c>
      <c r="H81" s="222" t="str">
        <f>VLOOKUP($C81,Customers!$A$2:$Z$1010,13,FALSE)</f>
        <v>Canada</v>
      </c>
      <c r="I81" s="222" t="str">
        <f>VLOOKUP($C81,Customers!$A$2:$Z$1010,18,FALSE)</f>
        <v>CC</v>
      </c>
      <c r="J81" s="223" t="s">
        <v>306</v>
      </c>
      <c r="K81" s="224">
        <v>37</v>
      </c>
      <c r="L81" s="223">
        <v>1</v>
      </c>
      <c r="M81" s="224">
        <v>30</v>
      </c>
      <c r="N81" s="223">
        <f>2</f>
        <v>2</v>
      </c>
      <c r="O81" s="225" t="s">
        <v>16</v>
      </c>
      <c r="P81" s="224">
        <v>0</v>
      </c>
      <c r="Q81" s="225" t="s">
        <v>16</v>
      </c>
      <c r="R81" s="224">
        <v>0</v>
      </c>
      <c r="S81" s="224" t="s">
        <v>16</v>
      </c>
      <c r="T81" s="292" t="s">
        <v>415</v>
      </c>
      <c r="U81" s="226" t="s">
        <v>385</v>
      </c>
      <c r="V81" s="227">
        <v>260</v>
      </c>
      <c r="W81" s="228" t="s">
        <v>16</v>
      </c>
      <c r="X81" s="228" t="s">
        <v>16</v>
      </c>
      <c r="Y81" s="228" t="s">
        <v>16</v>
      </c>
      <c r="Z81" s="230">
        <f>260</f>
        <v>260</v>
      </c>
      <c r="AA81" s="240">
        <v>25</v>
      </c>
      <c r="AB81" s="230">
        <f t="shared" si="22"/>
        <v>285</v>
      </c>
      <c r="AC81" s="230" t="s">
        <v>304</v>
      </c>
      <c r="AD81" s="222" t="s">
        <v>3033</v>
      </c>
      <c r="AE81" s="231">
        <v>45152</v>
      </c>
      <c r="AF81" s="219" t="s">
        <v>3034</v>
      </c>
      <c r="AG81" s="232">
        <v>8.6300000000000008</v>
      </c>
      <c r="AH81" s="232">
        <v>8.36</v>
      </c>
      <c r="AI81" s="230" t="s">
        <v>304</v>
      </c>
      <c r="AJ81" s="233">
        <v>103380</v>
      </c>
      <c r="AK81" s="231">
        <v>45268</v>
      </c>
      <c r="AL81" s="252" t="s">
        <v>3035</v>
      </c>
    </row>
    <row r="82" spans="1:38" s="236" customFormat="1" ht="26.4" x14ac:dyDescent="0.3">
      <c r="A82" s="257">
        <v>45142</v>
      </c>
      <c r="B82" s="224" t="s">
        <v>3036</v>
      </c>
      <c r="C82" s="283" t="s">
        <v>2523</v>
      </c>
      <c r="D82" s="222" t="str">
        <f>VLOOKUP($C82,Customers!$A$2:$Z$1010,2,FALSE)</f>
        <v>Mohamad T. Araji</v>
      </c>
      <c r="E82" s="293" t="s">
        <v>1491</v>
      </c>
      <c r="F82" s="222" t="str">
        <f xml:space="preserve"> VLOOKUP($C82,Customers!$A$2:$Z$1010,5,FALSE)</f>
        <v>University of Waterloo</v>
      </c>
      <c r="G82" s="222" t="str">
        <f>VLOOKUP($C82,Customers!$A$2:$Z$1010,10,FALSE) &amp; ", " &amp; VLOOKUP($C82,Customers!$A$2:$Z$1010,11,FALSE)</f>
        <v>Waterloo, ON</v>
      </c>
      <c r="H82" s="222" t="str">
        <f>VLOOKUP($C82,Customers!$A$2:$Z$1010,13,FALSE)</f>
        <v>Canada</v>
      </c>
      <c r="I82" s="222" t="str">
        <f>VLOOKUP($C82,Customers!$A$2:$Z$1010,18,FALSE)</f>
        <v>CA</v>
      </c>
      <c r="J82" s="1151" t="s">
        <v>304</v>
      </c>
      <c r="K82" s="224">
        <v>90</v>
      </c>
      <c r="L82" s="253">
        <v>1</v>
      </c>
      <c r="M82" s="224">
        <v>15</v>
      </c>
      <c r="N82" s="253">
        <f>1</f>
        <v>1</v>
      </c>
      <c r="O82" s="225" t="s">
        <v>16</v>
      </c>
      <c r="P82" s="1154">
        <v>0</v>
      </c>
      <c r="Q82" s="225" t="s">
        <v>16</v>
      </c>
      <c r="R82" s="1154">
        <v>0</v>
      </c>
      <c r="S82" s="224" t="s">
        <v>16</v>
      </c>
      <c r="T82" s="301" t="s">
        <v>3037</v>
      </c>
      <c r="U82" s="301" t="s">
        <v>3038</v>
      </c>
      <c r="V82" s="227">
        <v>60</v>
      </c>
      <c r="W82" s="228" t="s">
        <v>16</v>
      </c>
      <c r="X82" s="228" t="s">
        <v>16</v>
      </c>
      <c r="Y82" s="228" t="s">
        <v>16</v>
      </c>
      <c r="Z82" s="302">
        <f>60</f>
        <v>60</v>
      </c>
      <c r="AA82" s="240" t="s">
        <v>308</v>
      </c>
      <c r="AB82" s="1146">
        <f>SUM(Z82:AA83)</f>
        <v>160</v>
      </c>
      <c r="AC82" s="1146" t="s">
        <v>304</v>
      </c>
      <c r="AD82" s="1149" t="s">
        <v>16</v>
      </c>
      <c r="AE82" s="231">
        <v>45146</v>
      </c>
      <c r="AF82" s="219" t="s">
        <v>3039</v>
      </c>
      <c r="AG82" s="1121" t="s">
        <v>308</v>
      </c>
      <c r="AH82" s="1121" t="s">
        <v>308</v>
      </c>
      <c r="AI82" s="1124" t="s">
        <v>304</v>
      </c>
      <c r="AJ82" s="1125">
        <v>110959</v>
      </c>
      <c r="AK82" s="344">
        <v>45317</v>
      </c>
      <c r="AL82" s="1145" t="s">
        <v>3040</v>
      </c>
    </row>
    <row r="83" spans="1:38" s="236" customFormat="1" ht="26.4" x14ac:dyDescent="0.3">
      <c r="A83" s="257">
        <v>45142</v>
      </c>
      <c r="B83" s="224" t="s">
        <v>3041</v>
      </c>
      <c r="C83" s="283" t="s">
        <v>2523</v>
      </c>
      <c r="D83" s="222" t="str">
        <f>VLOOKUP($C83,Customers!$A$2:$Z$1010,2,FALSE)</f>
        <v>Mohamad T. Araji</v>
      </c>
      <c r="E83" s="293" t="s">
        <v>1491</v>
      </c>
      <c r="F83" s="222" t="str">
        <f xml:space="preserve"> VLOOKUP($C83,Customers!$A$2:$Z$1010,5,FALSE)</f>
        <v>University of Waterloo</v>
      </c>
      <c r="G83" s="222" t="str">
        <f>VLOOKUP($C83,Customers!$A$2:$Z$1010,10,FALSE) &amp; ", " &amp; VLOOKUP($C83,Customers!$A$2:$Z$1010,11,FALSE)</f>
        <v>Waterloo, ON</v>
      </c>
      <c r="H83" s="222" t="str">
        <f>VLOOKUP($C83,Customers!$A$2:$Z$1010,13,FALSE)</f>
        <v>Canada</v>
      </c>
      <c r="I83" s="222" t="str">
        <f>VLOOKUP($C83,Customers!$A$2:$Z$1010,18,FALSE)</f>
        <v>CA</v>
      </c>
      <c r="J83" s="1151"/>
      <c r="K83" s="243" t="s">
        <v>16</v>
      </c>
      <c r="L83" s="253">
        <v>0</v>
      </c>
      <c r="M83" s="224">
        <v>0</v>
      </c>
      <c r="N83" s="253">
        <v>0</v>
      </c>
      <c r="O83" s="225" t="s">
        <v>16</v>
      </c>
      <c r="P83" s="1154"/>
      <c r="Q83" s="225" t="s">
        <v>16</v>
      </c>
      <c r="R83" s="1154"/>
      <c r="S83" s="224" t="s">
        <v>2304</v>
      </c>
      <c r="T83" s="301" t="s">
        <v>3042</v>
      </c>
      <c r="U83" s="301" t="s">
        <v>3043</v>
      </c>
      <c r="V83" s="228" t="s">
        <v>16</v>
      </c>
      <c r="W83" s="228" t="s">
        <v>16</v>
      </c>
      <c r="X83" s="228" t="s">
        <v>16</v>
      </c>
      <c r="Y83" s="227">
        <v>100</v>
      </c>
      <c r="Z83" s="302">
        <f>50*2</f>
        <v>100</v>
      </c>
      <c r="AA83" s="240" t="s">
        <v>308</v>
      </c>
      <c r="AB83" s="1146"/>
      <c r="AC83" s="1146"/>
      <c r="AD83" s="1149"/>
      <c r="AE83" s="231">
        <v>45232</v>
      </c>
      <c r="AF83" s="219" t="s">
        <v>308</v>
      </c>
      <c r="AG83" s="1121"/>
      <c r="AH83" s="1121"/>
      <c r="AI83" s="1124"/>
      <c r="AJ83" s="1125"/>
      <c r="AK83" s="344">
        <v>45317</v>
      </c>
      <c r="AL83" s="1145"/>
    </row>
    <row r="84" spans="1:38" s="236" customFormat="1" ht="39.6" x14ac:dyDescent="0.3">
      <c r="A84" s="257">
        <v>45148</v>
      </c>
      <c r="B84" s="224" t="s">
        <v>3044</v>
      </c>
      <c r="C84" s="283" t="s">
        <v>2306</v>
      </c>
      <c r="D84" s="222" t="str">
        <f>VLOOKUP($C84,Customers!$A$2:$Z$1010,2,FALSE)</f>
        <v>Megan Bauer</v>
      </c>
      <c r="E84" s="583" t="s">
        <v>16</v>
      </c>
      <c r="F84" s="222" t="str">
        <f xml:space="preserve"> VLOOKUP($C84,Customers!$A$2:$Z$1010,5,FALSE)</f>
        <v>Environment and Climate Change Canada (ECCC) - Atlantic Laboratory for Environmental Testing (ALET)</v>
      </c>
      <c r="G84" s="222" t="str">
        <f>VLOOKUP($C84,Customers!$A$2:$Z$1010,10,FALSE) &amp; ", " &amp; VLOOKUP($C84,Customers!$A$2:$Z$1010,11,FALSE)</f>
        <v>Moncton, NB</v>
      </c>
      <c r="H84" s="222" t="str">
        <f>VLOOKUP($C84,Customers!$A$2:$Z$1010,13,FALSE)</f>
        <v>Canada</v>
      </c>
      <c r="I84" s="222" t="str">
        <f>VLOOKUP($C84,Customers!$A$2:$Z$1010,18,FALSE)</f>
        <v>CG</v>
      </c>
      <c r="J84" s="223" t="s">
        <v>306</v>
      </c>
      <c r="K84" s="243" t="s">
        <v>16</v>
      </c>
      <c r="L84" s="259">
        <v>0</v>
      </c>
      <c r="M84" s="224">
        <v>0</v>
      </c>
      <c r="N84" s="259">
        <v>0</v>
      </c>
      <c r="O84" s="225" t="s">
        <v>16</v>
      </c>
      <c r="P84" s="224">
        <v>0</v>
      </c>
      <c r="Q84" s="224" t="s">
        <v>318</v>
      </c>
      <c r="R84" s="224">
        <v>500</v>
      </c>
      <c r="S84" s="224" t="s">
        <v>16</v>
      </c>
      <c r="T84" s="226" t="s">
        <v>3045</v>
      </c>
      <c r="U84" s="226" t="s">
        <v>3046</v>
      </c>
      <c r="V84" s="228" t="s">
        <v>16</v>
      </c>
      <c r="W84" s="228" t="s">
        <v>16</v>
      </c>
      <c r="X84" s="227">
        <v>180</v>
      </c>
      <c r="Y84" s="228" t="s">
        <v>16</v>
      </c>
      <c r="Z84" s="229">
        <f>180</f>
        <v>180</v>
      </c>
      <c r="AA84" s="230">
        <v>25</v>
      </c>
      <c r="AB84" s="240">
        <f t="shared" ref="AB84" si="23">SUM(Z84:AA84)</f>
        <v>205</v>
      </c>
      <c r="AC84" s="230" t="s">
        <v>304</v>
      </c>
      <c r="AD84" s="242" t="s">
        <v>16</v>
      </c>
      <c r="AE84" s="231">
        <v>45152</v>
      </c>
      <c r="AF84" s="219" t="s">
        <v>3047</v>
      </c>
      <c r="AG84" s="232">
        <v>19.39</v>
      </c>
      <c r="AH84" s="232">
        <v>17.52</v>
      </c>
      <c r="AI84" s="230" t="s">
        <v>304</v>
      </c>
      <c r="AJ84" s="218">
        <v>103165</v>
      </c>
      <c r="AK84" s="231">
        <v>45230</v>
      </c>
      <c r="AL84" s="235" t="s">
        <v>1127</v>
      </c>
    </row>
    <row r="85" spans="1:38" s="236" customFormat="1" ht="39.6" x14ac:dyDescent="0.3">
      <c r="A85" s="257">
        <v>45148</v>
      </c>
      <c r="B85" s="224" t="s">
        <v>3048</v>
      </c>
      <c r="C85" s="222" t="s">
        <v>2530</v>
      </c>
      <c r="D85" s="222" t="str">
        <f>VLOOKUP($C85,Customers!$A$2:$Z$1010,2,FALSE)</f>
        <v>Patrick J McGinn</v>
      </c>
      <c r="E85" s="219" t="s">
        <v>2220</v>
      </c>
      <c r="F85" s="222" t="str">
        <f xml:space="preserve"> VLOOKUP($C85,Customers!$A$2:$Z$1010,5,FALSE)</f>
        <v>National Research Council Canada - Ketch Harbour</v>
      </c>
      <c r="G85" s="222" t="str">
        <f>VLOOKUP($C85,Customers!$A$2:$Z$1010,10,FALSE) &amp; ", " &amp; VLOOKUP($C85,Customers!$A$2:$Z$1010,11,FALSE)</f>
        <v>Ketch Harbour, NS</v>
      </c>
      <c r="H85" s="222" t="str">
        <f>VLOOKUP($C85,Customers!$A$2:$Z$1010,13,FALSE)</f>
        <v>Canada</v>
      </c>
      <c r="I85" s="222" t="str">
        <f>VLOOKUP($C85,Customers!$A$2:$Z$1010,18,FALSE)</f>
        <v>CG</v>
      </c>
      <c r="J85" s="223" t="s">
        <v>306</v>
      </c>
      <c r="K85" s="224">
        <v>124</v>
      </c>
      <c r="L85" s="251">
        <v>1</v>
      </c>
      <c r="M85" s="224">
        <v>15</v>
      </c>
      <c r="N85" s="251">
        <f>1</f>
        <v>1</v>
      </c>
      <c r="O85" s="225" t="s">
        <v>16</v>
      </c>
      <c r="P85" s="224">
        <v>0</v>
      </c>
      <c r="Q85" s="225" t="s">
        <v>16</v>
      </c>
      <c r="R85" s="224">
        <v>0</v>
      </c>
      <c r="S85" s="224" t="s">
        <v>16</v>
      </c>
      <c r="T85" s="226" t="s">
        <v>3049</v>
      </c>
      <c r="U85" s="226" t="s">
        <v>1202</v>
      </c>
      <c r="V85" s="228">
        <v>135</v>
      </c>
      <c r="W85" s="228" t="s">
        <v>16</v>
      </c>
      <c r="X85" s="228" t="s">
        <v>16</v>
      </c>
      <c r="Y85" s="228" t="s">
        <v>16</v>
      </c>
      <c r="Z85" s="229">
        <f>135</f>
        <v>135</v>
      </c>
      <c r="AA85" s="230">
        <v>25</v>
      </c>
      <c r="AB85" s="240">
        <f>SUM(Z85:AA85)</f>
        <v>160</v>
      </c>
      <c r="AC85" s="230" t="s">
        <v>304</v>
      </c>
      <c r="AD85" s="242" t="s">
        <v>16</v>
      </c>
      <c r="AE85" s="231">
        <v>45160</v>
      </c>
      <c r="AF85" s="219" t="s">
        <v>3050</v>
      </c>
      <c r="AG85" s="232">
        <v>20.09</v>
      </c>
      <c r="AH85" s="232">
        <v>18.149999999999999</v>
      </c>
      <c r="AI85" s="230" t="s">
        <v>304</v>
      </c>
      <c r="AJ85" s="233">
        <v>103482</v>
      </c>
      <c r="AK85" s="231">
        <v>45268</v>
      </c>
      <c r="AL85" s="235" t="s">
        <v>1829</v>
      </c>
    </row>
    <row r="86" spans="1:38" s="236" customFormat="1" ht="39.6" x14ac:dyDescent="0.3">
      <c r="A86" s="257">
        <v>45149</v>
      </c>
      <c r="B86" s="224" t="s">
        <v>3051</v>
      </c>
      <c r="C86" s="283" t="s">
        <v>1040</v>
      </c>
      <c r="D86" s="222" t="str">
        <f>VLOOKUP($C86,Customers!$A$2:$Z$1010,2,FALSE)</f>
        <v>Huy Dang</v>
      </c>
      <c r="E86" s="583" t="s">
        <v>16</v>
      </c>
      <c r="F86" s="222" t="str">
        <f xml:space="preserve"> VLOOKUP($C86,Customers!$A$2:$Z$1010,5,FALSE)</f>
        <v>Trent University</v>
      </c>
      <c r="G86" s="222" t="str">
        <f>VLOOKUP($C86,Customers!$A$2:$Z$1010,10,FALSE) &amp; ", " &amp; VLOOKUP($C86,Customers!$A$2:$Z$1010,11,FALSE)</f>
        <v>Peterborough, ON</v>
      </c>
      <c r="H86" s="222" t="str">
        <f>VLOOKUP($C86,Customers!$A$2:$Z$1010,13,FALSE)</f>
        <v>Canada</v>
      </c>
      <c r="I86" s="222" t="str">
        <f>VLOOKUP($C86,Customers!$A$2:$Z$1010,18,FALSE)</f>
        <v>CA</v>
      </c>
      <c r="J86" s="1151" t="s">
        <v>306</v>
      </c>
      <c r="K86" s="224">
        <v>11</v>
      </c>
      <c r="L86" s="253">
        <v>1</v>
      </c>
      <c r="M86" s="224">
        <v>30</v>
      </c>
      <c r="N86" s="253">
        <f>2</f>
        <v>2</v>
      </c>
      <c r="O86" s="225" t="s">
        <v>16</v>
      </c>
      <c r="P86" s="1154">
        <v>0</v>
      </c>
      <c r="Q86" s="225" t="s">
        <v>16</v>
      </c>
      <c r="R86" s="1154">
        <v>0</v>
      </c>
      <c r="S86" s="224" t="s">
        <v>16</v>
      </c>
      <c r="T86" s="301" t="s">
        <v>1321</v>
      </c>
      <c r="U86" s="301" t="s">
        <v>3052</v>
      </c>
      <c r="V86" s="228">
        <v>175</v>
      </c>
      <c r="W86" s="228" t="s">
        <v>16</v>
      </c>
      <c r="X86" s="228" t="s">
        <v>16</v>
      </c>
      <c r="Y86" s="228" t="s">
        <v>16</v>
      </c>
      <c r="Z86" s="229">
        <f>175</f>
        <v>175</v>
      </c>
      <c r="AA86" s="240">
        <v>25</v>
      </c>
      <c r="AB86" s="1140">
        <f>SUM(Z86:AA87)</f>
        <v>400</v>
      </c>
      <c r="AC86" s="230" t="s">
        <v>304</v>
      </c>
      <c r="AD86" s="242" t="s">
        <v>16</v>
      </c>
      <c r="AE86" s="231">
        <v>45181</v>
      </c>
      <c r="AF86" s="219" t="s">
        <v>3053</v>
      </c>
      <c r="AG86" s="232">
        <v>5.25</v>
      </c>
      <c r="AH86" s="232">
        <v>5.4</v>
      </c>
      <c r="AI86" s="1146" t="s">
        <v>304</v>
      </c>
      <c r="AJ86" s="1144">
        <v>103748</v>
      </c>
      <c r="AK86" s="709">
        <v>45345</v>
      </c>
      <c r="AL86" s="1145" t="s">
        <v>528</v>
      </c>
    </row>
    <row r="87" spans="1:38" s="236" customFormat="1" ht="39.6" x14ac:dyDescent="0.3">
      <c r="A87" s="257">
        <v>45149</v>
      </c>
      <c r="B87" s="224" t="s">
        <v>3054</v>
      </c>
      <c r="C87" s="283" t="s">
        <v>1040</v>
      </c>
      <c r="D87" s="222" t="str">
        <f>VLOOKUP($C87,Customers!$A$2:$Z$1010,2,FALSE)</f>
        <v>Huy Dang</v>
      </c>
      <c r="E87" s="583" t="s">
        <v>16</v>
      </c>
      <c r="F87" s="222" t="str">
        <f xml:space="preserve"> VLOOKUP($C87,Customers!$A$2:$Z$1010,5,FALSE)</f>
        <v>Trent University</v>
      </c>
      <c r="G87" s="222" t="str">
        <f>VLOOKUP($C87,Customers!$A$2:$Z$1010,10,FALSE) &amp; ", " &amp; VLOOKUP($C87,Customers!$A$2:$Z$1010,11,FALSE)</f>
        <v>Peterborough, ON</v>
      </c>
      <c r="H87" s="222" t="str">
        <f>VLOOKUP($C87,Customers!$A$2:$Z$1010,13,FALSE)</f>
        <v>Canada</v>
      </c>
      <c r="I87" s="222" t="str">
        <f>VLOOKUP($C87,Customers!$A$2:$Z$1010,18,FALSE)</f>
        <v>CA</v>
      </c>
      <c r="J87" s="1151"/>
      <c r="K87" s="224">
        <v>11</v>
      </c>
      <c r="L87" s="253">
        <v>1</v>
      </c>
      <c r="M87" s="224">
        <v>30</v>
      </c>
      <c r="N87" s="253">
        <f>2</f>
        <v>2</v>
      </c>
      <c r="O87" s="225" t="s">
        <v>16</v>
      </c>
      <c r="P87" s="1154"/>
      <c r="Q87" s="225" t="s">
        <v>16</v>
      </c>
      <c r="R87" s="1154"/>
      <c r="S87" s="224" t="s">
        <v>16</v>
      </c>
      <c r="T87" s="301" t="s">
        <v>1321</v>
      </c>
      <c r="U87" s="301" t="s">
        <v>3052</v>
      </c>
      <c r="V87" s="228">
        <v>175</v>
      </c>
      <c r="W87" s="228" t="s">
        <v>16</v>
      </c>
      <c r="X87" s="228" t="s">
        <v>16</v>
      </c>
      <c r="Y87" s="228" t="s">
        <v>16</v>
      </c>
      <c r="Z87" s="229">
        <f>175</f>
        <v>175</v>
      </c>
      <c r="AA87" s="240">
        <v>25</v>
      </c>
      <c r="AB87" s="1140"/>
      <c r="AC87" s="230" t="s">
        <v>304</v>
      </c>
      <c r="AD87" s="242" t="s">
        <v>16</v>
      </c>
      <c r="AE87" s="231">
        <v>45293</v>
      </c>
      <c r="AF87" s="219" t="s">
        <v>3055</v>
      </c>
      <c r="AG87" s="232">
        <v>5.9</v>
      </c>
      <c r="AH87" s="232">
        <v>5.4</v>
      </c>
      <c r="AI87" s="1146"/>
      <c r="AJ87" s="1144"/>
      <c r="AK87" s="709">
        <v>45345</v>
      </c>
      <c r="AL87" s="1145"/>
    </row>
    <row r="88" spans="1:38" s="236" customFormat="1" ht="39.6" x14ac:dyDescent="0.3">
      <c r="A88" s="257">
        <v>45152</v>
      </c>
      <c r="B88" s="218" t="s">
        <v>3056</v>
      </c>
      <c r="C88" s="222" t="s">
        <v>2452</v>
      </c>
      <c r="D88" s="222" t="str">
        <f>VLOOKUP($C88,Customers!$A$2:$Z$1010,2,FALSE)</f>
        <v>Frederic Ors</v>
      </c>
      <c r="E88" s="583" t="s">
        <v>16</v>
      </c>
      <c r="F88" s="222" t="str">
        <f xml:space="preserve"> VLOOKUP($C88,Customers!$A$2:$Z$1010,5,FALSE)</f>
        <v>Home Address - Ors Residence</v>
      </c>
      <c r="G88" s="222" t="str">
        <f>VLOOKUP($C88,Customers!$A$2:$Z$1010,10,FALSE) &amp; ", " &amp; VLOOKUP($C88,Customers!$A$2:$Z$1010,11,FALSE)</f>
        <v>Quebec, QC</v>
      </c>
      <c r="H88" s="222" t="str">
        <f>VLOOKUP($C88,Customers!$A$2:$Z$1010,13,FALSE)</f>
        <v>Canada</v>
      </c>
      <c r="I88" s="222" t="str">
        <f>VLOOKUP($C88,Customers!$A$2:$Z$1010,18,FALSE)</f>
        <v>CA</v>
      </c>
      <c r="J88" s="223" t="s">
        <v>306</v>
      </c>
      <c r="K88" s="243" t="s">
        <v>16</v>
      </c>
      <c r="L88" s="259">
        <v>0</v>
      </c>
      <c r="M88" s="224">
        <v>0</v>
      </c>
      <c r="N88" s="259">
        <v>0</v>
      </c>
      <c r="O88" s="225" t="s">
        <v>16</v>
      </c>
      <c r="P88" s="224">
        <v>0</v>
      </c>
      <c r="Q88" s="224" t="s">
        <v>401</v>
      </c>
      <c r="R88" s="224">
        <v>5000</v>
      </c>
      <c r="S88" s="224" t="s">
        <v>16</v>
      </c>
      <c r="T88" s="226" t="s">
        <v>3057</v>
      </c>
      <c r="U88" s="226" t="s">
        <v>3058</v>
      </c>
      <c r="V88" s="228" t="s">
        <v>16</v>
      </c>
      <c r="W88" s="228" t="s">
        <v>16</v>
      </c>
      <c r="X88" s="227">
        <v>140</v>
      </c>
      <c r="Y88" s="228" t="s">
        <v>16</v>
      </c>
      <c r="Z88" s="240">
        <f>140</f>
        <v>140</v>
      </c>
      <c r="AA88" s="240">
        <v>25</v>
      </c>
      <c r="AB88" s="240">
        <f t="shared" ref="AB88" si="24">SUM(Z88:AA88)</f>
        <v>165</v>
      </c>
      <c r="AC88" s="230" t="s">
        <v>304</v>
      </c>
      <c r="AD88" s="242" t="s">
        <v>16</v>
      </c>
      <c r="AE88" s="231">
        <v>45160</v>
      </c>
      <c r="AF88" s="219" t="s">
        <v>3059</v>
      </c>
      <c r="AG88" s="232">
        <v>11.03</v>
      </c>
      <c r="AH88" s="232">
        <v>10.67</v>
      </c>
      <c r="AI88" s="239" t="s">
        <v>304</v>
      </c>
      <c r="AJ88" s="233">
        <v>110457</v>
      </c>
      <c r="AK88" s="231">
        <v>45229</v>
      </c>
      <c r="AL88" s="255" t="s">
        <v>3060</v>
      </c>
    </row>
    <row r="89" spans="1:38" s="236" customFormat="1" ht="52.8" x14ac:dyDescent="0.3">
      <c r="A89" s="257">
        <v>45152</v>
      </c>
      <c r="B89" s="218" t="s">
        <v>3061</v>
      </c>
      <c r="C89" s="283" t="s">
        <v>1049</v>
      </c>
      <c r="D89" s="222" t="str">
        <f>VLOOKUP($C89,Customers!$A$2:$Z$1010,2,FALSE)</f>
        <v>Katheryn Klajman</v>
      </c>
      <c r="E89" s="583" t="s">
        <v>16</v>
      </c>
      <c r="F89" s="222" t="str">
        <f xml:space="preserve"> VLOOKUP($C89,Customers!$A$2:$Z$1010,5,FALSE)</f>
        <v>Testmark Laboratories Ltd.</v>
      </c>
      <c r="G89" s="222" t="str">
        <f>VLOOKUP($C89,Customers!$A$2:$Z$1010,10,FALSE) &amp; ", " &amp; VLOOKUP($C89,Customers!$A$2:$Z$1010,11,FALSE)</f>
        <v>Garson, ON</v>
      </c>
      <c r="H89" s="222" t="str">
        <f>VLOOKUP($C89,Customers!$A$2:$Z$1010,13,FALSE)</f>
        <v>Canada</v>
      </c>
      <c r="I89" s="222" t="str">
        <f>VLOOKUP($C89,Customers!$A$2:$Z$1010,18,FALSE)</f>
        <v>CC</v>
      </c>
      <c r="J89" s="223" t="s">
        <v>306</v>
      </c>
      <c r="K89" s="224">
        <v>492</v>
      </c>
      <c r="L89" s="251">
        <v>1</v>
      </c>
      <c r="M89" s="224">
        <v>75</v>
      </c>
      <c r="N89" s="251">
        <f>3</f>
        <v>3</v>
      </c>
      <c r="O89" s="225" t="s">
        <v>16</v>
      </c>
      <c r="P89" s="224">
        <v>0</v>
      </c>
      <c r="Q89" s="225" t="s">
        <v>16</v>
      </c>
      <c r="R89" s="224">
        <v>0</v>
      </c>
      <c r="S89" s="224" t="s">
        <v>16</v>
      </c>
      <c r="T89" s="292" t="s">
        <v>3062</v>
      </c>
      <c r="U89" s="313" t="s">
        <v>3063</v>
      </c>
      <c r="V89" s="314">
        <v>290</v>
      </c>
      <c r="W89" s="228" t="s">
        <v>16</v>
      </c>
      <c r="X89" s="228" t="s">
        <v>16</v>
      </c>
      <c r="Y89" s="228" t="s">
        <v>16</v>
      </c>
      <c r="Z89" s="229">
        <f>290</f>
        <v>290</v>
      </c>
      <c r="AA89" s="240">
        <v>25</v>
      </c>
      <c r="AB89" s="282">
        <f>SUM(Z89:AA89)</f>
        <v>315</v>
      </c>
      <c r="AC89" s="230" t="s">
        <v>304</v>
      </c>
      <c r="AD89" s="341" t="s">
        <v>3064</v>
      </c>
      <c r="AE89" s="231">
        <v>45167</v>
      </c>
      <c r="AF89" s="219" t="s">
        <v>3065</v>
      </c>
      <c r="AG89" s="232">
        <v>6.29</v>
      </c>
      <c r="AH89" s="232">
        <v>5.76</v>
      </c>
      <c r="AI89" s="230" t="s">
        <v>304</v>
      </c>
      <c r="AJ89" s="223">
        <v>103703</v>
      </c>
      <c r="AK89" s="231">
        <v>45229</v>
      </c>
      <c r="AL89" s="252" t="s">
        <v>3066</v>
      </c>
    </row>
    <row r="90" spans="1:38" s="236" customFormat="1" ht="39.6" x14ac:dyDescent="0.3">
      <c r="A90" s="257">
        <v>45155</v>
      </c>
      <c r="B90" s="218" t="s">
        <v>3067</v>
      </c>
      <c r="C90" s="222" t="s">
        <v>2540</v>
      </c>
      <c r="D90" s="222" t="str">
        <f>VLOOKUP($C90,Customers!$A$2:$Z$1010,2,FALSE)</f>
        <v>Saji George</v>
      </c>
      <c r="E90" s="293" t="s">
        <v>2208</v>
      </c>
      <c r="F90" s="222" t="str">
        <f xml:space="preserve"> VLOOKUP($C90,Customers!$A$2:$Z$1010,5,FALSE)</f>
        <v>McGill University</v>
      </c>
      <c r="G90" s="222" t="str">
        <f>VLOOKUP($C90,Customers!$A$2:$Z$1010,10,FALSE) &amp; ", " &amp; VLOOKUP($C90,Customers!$A$2:$Z$1010,11,FALSE)</f>
        <v>Sainte-Anne-de-Bellevue, QC</v>
      </c>
      <c r="H90" s="222" t="str">
        <f>VLOOKUP($C90,Customers!$A$2:$Z$1010,13,FALSE)</f>
        <v>Canada</v>
      </c>
      <c r="I90" s="222" t="str">
        <f>VLOOKUP($C90,Customers!$A$2:$Z$1010,18,FALSE)</f>
        <v>CA</v>
      </c>
      <c r="J90" s="218" t="s">
        <v>306</v>
      </c>
      <c r="K90" s="243" t="s">
        <v>16</v>
      </c>
      <c r="L90" s="218">
        <v>0</v>
      </c>
      <c r="M90" s="224">
        <v>0</v>
      </c>
      <c r="N90" s="218">
        <v>0</v>
      </c>
      <c r="O90" s="225" t="s">
        <v>16</v>
      </c>
      <c r="P90" s="224">
        <v>0</v>
      </c>
      <c r="Q90" s="224" t="s">
        <v>323</v>
      </c>
      <c r="R90" s="224">
        <v>55</v>
      </c>
      <c r="S90" s="224" t="s">
        <v>16</v>
      </c>
      <c r="T90" s="301" t="s">
        <v>3068</v>
      </c>
      <c r="U90" s="301" t="s">
        <v>4090</v>
      </c>
      <c r="V90" s="228" t="s">
        <v>16</v>
      </c>
      <c r="W90" s="228" t="s">
        <v>16</v>
      </c>
      <c r="X90" s="227">
        <v>60</v>
      </c>
      <c r="Y90" s="228" t="s">
        <v>16</v>
      </c>
      <c r="Z90" s="241">
        <f>60</f>
        <v>60</v>
      </c>
      <c r="AA90" s="240">
        <v>25</v>
      </c>
      <c r="AB90" s="241">
        <f t="shared" ref="AB90:AB93" si="25">SUM(Z90:AA90)</f>
        <v>85</v>
      </c>
      <c r="AC90" s="230" t="s">
        <v>304</v>
      </c>
      <c r="AD90" s="224" t="s">
        <v>3069</v>
      </c>
      <c r="AE90" s="231">
        <v>45160</v>
      </c>
      <c r="AF90" s="219" t="s">
        <v>3070</v>
      </c>
      <c r="AG90" s="232">
        <v>5.48</v>
      </c>
      <c r="AH90" s="232">
        <v>5.31</v>
      </c>
      <c r="AI90" s="322" t="s">
        <v>304</v>
      </c>
      <c r="AJ90" s="233">
        <v>103381</v>
      </c>
      <c r="AK90" s="231">
        <v>45268</v>
      </c>
      <c r="AL90" s="252" t="s">
        <v>3071</v>
      </c>
    </row>
    <row r="91" spans="1:38" s="236" customFormat="1" ht="66" x14ac:dyDescent="0.3">
      <c r="A91" s="257">
        <v>45156</v>
      </c>
      <c r="B91" s="224" t="s">
        <v>3072</v>
      </c>
      <c r="C91" s="283" t="s">
        <v>1032</v>
      </c>
      <c r="D91" s="222" t="str">
        <f>VLOOKUP($C91,Customers!$A$2:$Z$1010,2,FALSE)</f>
        <v>Michael (Mike) Chanov</v>
      </c>
      <c r="E91" s="583" t="s">
        <v>16</v>
      </c>
      <c r="F91" s="222" t="str">
        <f xml:space="preserve"> VLOOKUP($C91,Customers!$A$2:$Z$1010,5,FALSE)</f>
        <v>EA Engineering, Science, and Technology, Inc.</v>
      </c>
      <c r="G91" s="222" t="str">
        <f>VLOOKUP($C91,Customers!$A$2:$Z$1010,10,FALSE) &amp; ", " &amp; VLOOKUP($C91,Customers!$A$2:$Z$1010,11,FALSE)</f>
        <v>Hunt Valley, MD</v>
      </c>
      <c r="H91" s="222" t="str">
        <f>VLOOKUP($C91,Customers!$A$2:$Z$1010,13,FALSE)</f>
        <v>USA</v>
      </c>
      <c r="I91" s="222" t="str">
        <f>VLOOKUP($C91,Customers!$A$2:$Z$1010,18,FALSE)</f>
        <v>IC</v>
      </c>
      <c r="J91" s="253" t="s">
        <v>306</v>
      </c>
      <c r="K91" s="224">
        <v>37</v>
      </c>
      <c r="L91" s="251">
        <v>1</v>
      </c>
      <c r="M91" s="224">
        <v>90</v>
      </c>
      <c r="N91" s="251">
        <f>2</f>
        <v>2</v>
      </c>
      <c r="O91" s="225" t="s">
        <v>16</v>
      </c>
      <c r="P91" s="224">
        <v>0</v>
      </c>
      <c r="Q91" s="225" t="s">
        <v>16</v>
      </c>
      <c r="R91" s="224">
        <v>0</v>
      </c>
      <c r="S91" s="224" t="s">
        <v>16</v>
      </c>
      <c r="T91" s="226" t="s">
        <v>2692</v>
      </c>
      <c r="U91" s="226" t="s">
        <v>2693</v>
      </c>
      <c r="V91" s="227">
        <v>340</v>
      </c>
      <c r="W91" s="228" t="s">
        <v>16</v>
      </c>
      <c r="X91" s="228" t="s">
        <v>16</v>
      </c>
      <c r="Y91" s="228" t="s">
        <v>16</v>
      </c>
      <c r="Z91" s="254">
        <f>340</f>
        <v>340</v>
      </c>
      <c r="AA91" s="240">
        <f>60+25</f>
        <v>85</v>
      </c>
      <c r="AB91" s="240">
        <f t="shared" si="25"/>
        <v>425</v>
      </c>
      <c r="AC91" s="230" t="s">
        <v>304</v>
      </c>
      <c r="AD91" s="242" t="s">
        <v>16</v>
      </c>
      <c r="AE91" s="231">
        <v>45174</v>
      </c>
      <c r="AF91" s="219" t="s">
        <v>3073</v>
      </c>
      <c r="AG91" s="232">
        <v>61.75</v>
      </c>
      <c r="AH91" s="232">
        <v>55.74</v>
      </c>
      <c r="AI91" s="245" t="s">
        <v>304</v>
      </c>
      <c r="AJ91" s="223">
        <v>103127</v>
      </c>
      <c r="AK91" s="231">
        <v>45230</v>
      </c>
      <c r="AL91" s="255" t="s">
        <v>2853</v>
      </c>
    </row>
    <row r="92" spans="1:38" s="236" customFormat="1" ht="52.8" x14ac:dyDescent="0.3">
      <c r="A92" s="231">
        <v>45160</v>
      </c>
      <c r="B92" s="222" t="s">
        <v>3074</v>
      </c>
      <c r="C92" s="222" t="s">
        <v>2532</v>
      </c>
      <c r="D92" s="222" t="str">
        <f>VLOOKUP($C92,Customers!$A$2:$Z$1010,2,FALSE)</f>
        <v>Raymond Kwong</v>
      </c>
      <c r="E92" s="293" t="s">
        <v>2217</v>
      </c>
      <c r="F92" s="222" t="str">
        <f xml:space="preserve"> VLOOKUP($C92,Customers!$A$2:$Z$1010,5,FALSE)</f>
        <v>York University</v>
      </c>
      <c r="G92" s="222" t="str">
        <f>VLOOKUP($C92,Customers!$A$2:$Z$1010,10,FALSE) &amp; ", " &amp; VLOOKUP($C92,Customers!$A$2:$Z$1010,11,FALSE)</f>
        <v>North York, ON</v>
      </c>
      <c r="H92" s="222" t="str">
        <f>VLOOKUP($C92,Customers!$A$2:$Z$1010,13,FALSE)</f>
        <v>Canada</v>
      </c>
      <c r="I92" s="222" t="str">
        <f>VLOOKUP($C92,Customers!$A$2:$Z$1010,18,FALSE)</f>
        <v>CA</v>
      </c>
      <c r="J92" s="223" t="s">
        <v>304</v>
      </c>
      <c r="K92" s="224">
        <v>90</v>
      </c>
      <c r="L92" s="251">
        <v>1</v>
      </c>
      <c r="M92" s="224">
        <v>45</v>
      </c>
      <c r="N92" s="251">
        <f>1</f>
        <v>1</v>
      </c>
      <c r="O92" s="225" t="s">
        <v>16</v>
      </c>
      <c r="P92" s="224">
        <v>0</v>
      </c>
      <c r="Q92" s="224" t="s">
        <v>323</v>
      </c>
      <c r="R92" s="224">
        <v>550</v>
      </c>
      <c r="S92" s="224" t="s">
        <v>16</v>
      </c>
      <c r="T92" s="226" t="s">
        <v>3075</v>
      </c>
      <c r="U92" s="226" t="s">
        <v>3076</v>
      </c>
      <c r="V92" s="227">
        <v>180</v>
      </c>
      <c r="W92" s="228" t="s">
        <v>16</v>
      </c>
      <c r="X92" s="227">
        <v>165</v>
      </c>
      <c r="Y92" s="228" t="s">
        <v>16</v>
      </c>
      <c r="Z92" s="229">
        <f>180+165</f>
        <v>345</v>
      </c>
      <c r="AA92" s="240">
        <v>25</v>
      </c>
      <c r="AB92" s="241">
        <f t="shared" si="25"/>
        <v>370</v>
      </c>
      <c r="AC92" s="230" t="s">
        <v>304</v>
      </c>
      <c r="AD92" s="242" t="s">
        <v>16</v>
      </c>
      <c r="AE92" s="231">
        <v>45167</v>
      </c>
      <c r="AF92" s="219" t="s">
        <v>3077</v>
      </c>
      <c r="AG92" s="232">
        <v>7.13</v>
      </c>
      <c r="AH92" s="232">
        <v>6.52</v>
      </c>
      <c r="AI92" s="223" t="s">
        <v>308</v>
      </c>
      <c r="AJ92" s="223">
        <v>110319</v>
      </c>
      <c r="AK92" s="231">
        <v>45272</v>
      </c>
      <c r="AL92" s="252" t="s">
        <v>3078</v>
      </c>
    </row>
    <row r="93" spans="1:38" s="236" customFormat="1" ht="39.6" x14ac:dyDescent="0.3">
      <c r="A93" s="257">
        <v>45160</v>
      </c>
      <c r="B93" s="218" t="s">
        <v>3079</v>
      </c>
      <c r="C93" s="222" t="s">
        <v>2423</v>
      </c>
      <c r="D93" s="222" t="str">
        <f>VLOOKUP($C93,Customers!$A$2:$Z$1010,2,FALSE)</f>
        <v>Claude Fortin</v>
      </c>
      <c r="E93" s="293" t="s">
        <v>3080</v>
      </c>
      <c r="F93" s="222" t="str">
        <f xml:space="preserve"> VLOOKUP($C93,Customers!$A$2:$Z$1010,5,FALSE)</f>
        <v>Institut National de la Recherche Scientifique (INRS) - Eau Terre Environnement (ETE)</v>
      </c>
      <c r="G93" s="222" t="str">
        <f>VLOOKUP($C93,Customers!$A$2:$Z$1010,10,FALSE) &amp; ", " &amp; VLOOKUP($C93,Customers!$A$2:$Z$1010,11,FALSE)</f>
        <v>Quebec, QC</v>
      </c>
      <c r="H93" s="222" t="str">
        <f>VLOOKUP($C93,Customers!$A$2:$Z$1010,13,FALSE)</f>
        <v>Canada</v>
      </c>
      <c r="I93" s="222" t="str">
        <f>VLOOKUP($C93,Customers!$A$2:$Z$1010,18,FALSE)</f>
        <v>CA</v>
      </c>
      <c r="J93" s="223" t="s">
        <v>306</v>
      </c>
      <c r="K93" s="224" t="s">
        <v>3081</v>
      </c>
      <c r="L93" s="259">
        <v>2</v>
      </c>
      <c r="M93" s="224" t="s">
        <v>1973</v>
      </c>
      <c r="N93" s="259">
        <f>1+1</f>
        <v>2</v>
      </c>
      <c r="O93" s="225" t="s">
        <v>16</v>
      </c>
      <c r="P93" s="224">
        <v>0</v>
      </c>
      <c r="Q93" s="225" t="s">
        <v>16</v>
      </c>
      <c r="R93" s="224">
        <v>0</v>
      </c>
      <c r="S93" s="224" t="s">
        <v>16</v>
      </c>
      <c r="T93" s="226" t="s">
        <v>3082</v>
      </c>
      <c r="U93" s="226" t="s">
        <v>1138</v>
      </c>
      <c r="V93" s="227">
        <f>135*2</f>
        <v>270</v>
      </c>
      <c r="W93" s="228" t="s">
        <v>16</v>
      </c>
      <c r="X93" s="228" t="s">
        <v>16</v>
      </c>
      <c r="Y93" s="228" t="s">
        <v>16</v>
      </c>
      <c r="Z93" s="240">
        <f>135*2</f>
        <v>270</v>
      </c>
      <c r="AA93" s="240">
        <v>25</v>
      </c>
      <c r="AB93" s="241">
        <f t="shared" si="25"/>
        <v>295</v>
      </c>
      <c r="AC93" s="230" t="s">
        <v>304</v>
      </c>
      <c r="AD93" s="242" t="s">
        <v>3083</v>
      </c>
      <c r="AE93" s="231">
        <v>45188</v>
      </c>
      <c r="AF93" s="219" t="s">
        <v>3084</v>
      </c>
      <c r="AG93" s="232">
        <v>8.6300000000000008</v>
      </c>
      <c r="AH93" s="232">
        <v>8.36</v>
      </c>
      <c r="AI93" s="245" t="s">
        <v>304</v>
      </c>
      <c r="AJ93" s="233">
        <v>104897</v>
      </c>
      <c r="AK93" s="231">
        <v>45279</v>
      </c>
      <c r="AL93" s="255" t="s">
        <v>3085</v>
      </c>
    </row>
    <row r="94" spans="1:38" s="236" customFormat="1" ht="52.8" x14ac:dyDescent="0.3">
      <c r="A94" s="231">
        <v>45161</v>
      </c>
      <c r="B94" s="222" t="s">
        <v>3086</v>
      </c>
      <c r="C94" s="283" t="s">
        <v>1045</v>
      </c>
      <c r="D94" s="222" t="str">
        <f>VLOOKUP($C94,Customers!$A$2:$Z$1010,2,FALSE)</f>
        <v>Adam Wartman</v>
      </c>
      <c r="E94" s="293" t="s">
        <v>2313</v>
      </c>
      <c r="F94" s="222" t="str">
        <f xml:space="preserve"> VLOOKUP($C94,Customers!$A$2:$Z$1010,5,FALSE)</f>
        <v>Nautilus Environmental Company Inc. - Guelph</v>
      </c>
      <c r="G94" s="222" t="str">
        <f>VLOOKUP($C94,Customers!$A$2:$Z$1010,10,FALSE) &amp; ", " &amp; VLOOKUP($C94,Customers!$A$2:$Z$1010,11,FALSE)</f>
        <v>Puslinch, ON</v>
      </c>
      <c r="H94" s="222" t="str">
        <f>VLOOKUP($C94,Customers!$A$2:$Z$1010,13,FALSE)</f>
        <v>Canada</v>
      </c>
      <c r="I94" s="222" t="str">
        <f>VLOOKUP($C94,Customers!$A$2:$Z$1010,18,FALSE)</f>
        <v>CC</v>
      </c>
      <c r="J94" s="223" t="s">
        <v>306</v>
      </c>
      <c r="K94" s="243" t="s">
        <v>16</v>
      </c>
      <c r="L94" s="251">
        <v>0</v>
      </c>
      <c r="M94" s="224">
        <v>0</v>
      </c>
      <c r="N94" s="251">
        <v>0</v>
      </c>
      <c r="O94" s="225" t="s">
        <v>16</v>
      </c>
      <c r="P94" s="224">
        <v>0</v>
      </c>
      <c r="Q94" s="224" t="s">
        <v>318</v>
      </c>
      <c r="R94" s="224">
        <v>1000</v>
      </c>
      <c r="S94" s="224" t="s">
        <v>16</v>
      </c>
      <c r="T94" s="226" t="s">
        <v>2722</v>
      </c>
      <c r="U94" s="226" t="s">
        <v>2723</v>
      </c>
      <c r="V94" s="228" t="s">
        <v>16</v>
      </c>
      <c r="W94" s="228" t="s">
        <v>16</v>
      </c>
      <c r="X94" s="227">
        <f>365+10</f>
        <v>375</v>
      </c>
      <c r="Y94" s="228" t="s">
        <v>16</v>
      </c>
      <c r="Z94" s="230">
        <f>365+10</f>
        <v>375</v>
      </c>
      <c r="AA94" s="230">
        <v>25</v>
      </c>
      <c r="AB94" s="229">
        <f>SUM(Z94:AA94)</f>
        <v>400</v>
      </c>
      <c r="AC94" s="230" t="s">
        <v>304</v>
      </c>
      <c r="AD94" s="242" t="s">
        <v>16</v>
      </c>
      <c r="AE94" s="231">
        <v>45168</v>
      </c>
      <c r="AF94" s="219" t="s">
        <v>3087</v>
      </c>
      <c r="AG94" s="232">
        <v>5.9</v>
      </c>
      <c r="AH94" s="232">
        <v>5.4</v>
      </c>
      <c r="AI94" s="239" t="s">
        <v>304</v>
      </c>
      <c r="AJ94" s="233">
        <v>102886</v>
      </c>
      <c r="AK94" s="231">
        <v>45230</v>
      </c>
      <c r="AL94" s="235" t="s">
        <v>3088</v>
      </c>
    </row>
    <row r="95" spans="1:38" s="236" customFormat="1" ht="39.6" x14ac:dyDescent="0.3">
      <c r="A95" s="257">
        <v>45167</v>
      </c>
      <c r="B95" s="224" t="s">
        <v>3089</v>
      </c>
      <c r="C95" s="283" t="s">
        <v>1038</v>
      </c>
      <c r="D95" s="222" t="str">
        <f>VLOOKUP($C95,Customers!$A$2:$Z$1010,2,FALSE)</f>
        <v>Janetta Fraser</v>
      </c>
      <c r="E95" s="583" t="s">
        <v>16</v>
      </c>
      <c r="F95" s="222" t="str">
        <f xml:space="preserve"> VLOOKUP($C95,Customers!$A$2:$Z$1010,5,FALSE)</f>
        <v>Harris Industrial Testing Service Ltd. (HITS)</v>
      </c>
      <c r="G95" s="222" t="str">
        <f>VLOOKUP($C95,Customers!$A$2:$Z$1010,10,FALSE) &amp; ", " &amp; VLOOKUP($C95,Customers!$A$2:$Z$1010,11,FALSE)</f>
        <v>Waverley, NS</v>
      </c>
      <c r="H95" s="222" t="str">
        <f>VLOOKUP($C95,Customers!$A$2:$Z$1010,13,FALSE)</f>
        <v>Canada</v>
      </c>
      <c r="I95" s="222" t="str">
        <f>VLOOKUP($C95,Customers!$A$2:$Z$1010,18,FALSE)</f>
        <v>CC</v>
      </c>
      <c r="J95" s="223" t="s">
        <v>306</v>
      </c>
      <c r="K95" s="224">
        <v>266</v>
      </c>
      <c r="L95" s="223">
        <v>1</v>
      </c>
      <c r="M95" s="224">
        <v>15</v>
      </c>
      <c r="N95" s="223">
        <f>1</f>
        <v>1</v>
      </c>
      <c r="O95" s="225" t="s">
        <v>16</v>
      </c>
      <c r="P95" s="224">
        <v>0</v>
      </c>
      <c r="Q95" s="225" t="s">
        <v>16</v>
      </c>
      <c r="R95" s="224">
        <v>0</v>
      </c>
      <c r="S95" s="224" t="s">
        <v>16</v>
      </c>
      <c r="T95" s="226" t="s">
        <v>391</v>
      </c>
      <c r="U95" s="226" t="s">
        <v>417</v>
      </c>
      <c r="V95" s="227">
        <v>200</v>
      </c>
      <c r="W95" s="228" t="s">
        <v>16</v>
      </c>
      <c r="X95" s="228" t="s">
        <v>16</v>
      </c>
      <c r="Y95" s="228" t="s">
        <v>16</v>
      </c>
      <c r="Z95" s="230">
        <f>200</f>
        <v>200</v>
      </c>
      <c r="AA95" s="230">
        <v>25</v>
      </c>
      <c r="AB95" s="230">
        <f>SUM(Z95:AA95)</f>
        <v>225</v>
      </c>
      <c r="AC95" s="230" t="s">
        <v>304</v>
      </c>
      <c r="AD95" s="652" t="s">
        <v>16</v>
      </c>
      <c r="AE95" s="231">
        <v>45181</v>
      </c>
      <c r="AF95" s="219" t="s">
        <v>3090</v>
      </c>
      <c r="AG95" s="232">
        <v>15.36</v>
      </c>
      <c r="AH95" s="232">
        <v>18.16</v>
      </c>
      <c r="AI95" s="258" t="s">
        <v>304</v>
      </c>
      <c r="AJ95" s="233">
        <v>103252</v>
      </c>
      <c r="AK95" s="231">
        <v>45268</v>
      </c>
      <c r="AL95" s="255" t="s">
        <v>2865</v>
      </c>
    </row>
    <row r="96" spans="1:38" s="236" customFormat="1" ht="39.6" x14ac:dyDescent="0.3">
      <c r="A96" s="257">
        <v>45168</v>
      </c>
      <c r="B96" s="224" t="s">
        <v>3091</v>
      </c>
      <c r="C96" s="283" t="s">
        <v>1036</v>
      </c>
      <c r="D96" s="222" t="str">
        <f>VLOOKUP($C96,Customers!$A$2:$Z$1010,2,FALSE)</f>
        <v>Karyne Plante</v>
      </c>
      <c r="E96" s="583" t="s">
        <v>16</v>
      </c>
      <c r="F96" s="222" t="str">
        <f xml:space="preserve"> VLOOKUP($C96,Customers!$A$2:$Z$1010,5,FALSE)</f>
        <v>Eurofins - EnvironeX</v>
      </c>
      <c r="G96" s="222" t="str">
        <f>VLOOKUP($C96,Customers!$A$2:$Z$1010,10,FALSE) &amp; ", " &amp; VLOOKUP($C96,Customers!$A$2:$Z$1010,11,FALSE)</f>
        <v>Quebec, QC</v>
      </c>
      <c r="H96" s="222" t="str">
        <f>VLOOKUP($C96,Customers!$A$2:$Z$1010,13,FALSE)</f>
        <v>Canada</v>
      </c>
      <c r="I96" s="222" t="str">
        <f>VLOOKUP($C96,Customers!$A$2:$Z$1010,18,FALSE)</f>
        <v>CC</v>
      </c>
      <c r="J96" s="259" t="s">
        <v>306</v>
      </c>
      <c r="K96" s="224">
        <v>37</v>
      </c>
      <c r="L96" s="259">
        <v>1</v>
      </c>
      <c r="M96" s="224">
        <v>15</v>
      </c>
      <c r="N96" s="259">
        <f>1</f>
        <v>1</v>
      </c>
      <c r="O96" s="225" t="s">
        <v>16</v>
      </c>
      <c r="P96" s="224">
        <v>0</v>
      </c>
      <c r="Q96" s="225" t="s">
        <v>16</v>
      </c>
      <c r="R96" s="224">
        <v>0</v>
      </c>
      <c r="S96" s="224" t="s">
        <v>16</v>
      </c>
      <c r="T96" s="226" t="s">
        <v>3092</v>
      </c>
      <c r="U96" s="316" t="s">
        <v>417</v>
      </c>
      <c r="V96" s="317">
        <v>200</v>
      </c>
      <c r="W96" s="228" t="s">
        <v>16</v>
      </c>
      <c r="X96" s="228" t="s">
        <v>16</v>
      </c>
      <c r="Y96" s="228" t="s">
        <v>16</v>
      </c>
      <c r="Z96" s="240">
        <f>200</f>
        <v>200</v>
      </c>
      <c r="AA96" s="230">
        <v>25</v>
      </c>
      <c r="AB96" s="240">
        <f t="shared" ref="AB96:AB98" si="26">SUM(Z96:AA96)</f>
        <v>225</v>
      </c>
      <c r="AC96" s="230" t="s">
        <v>304</v>
      </c>
      <c r="AD96" s="318" t="s">
        <v>3093</v>
      </c>
      <c r="AE96" s="231">
        <v>45180</v>
      </c>
      <c r="AF96" s="219" t="s">
        <v>3094</v>
      </c>
      <c r="AG96" s="232">
        <v>8.6300000000000008</v>
      </c>
      <c r="AH96" s="232">
        <v>8.36</v>
      </c>
      <c r="AI96" s="248" t="s">
        <v>304</v>
      </c>
      <c r="AJ96" s="223">
        <v>104582</v>
      </c>
      <c r="AK96" s="231">
        <v>45268</v>
      </c>
      <c r="AL96" s="255" t="s">
        <v>3095</v>
      </c>
    </row>
    <row r="97" spans="1:38" s="236" customFormat="1" ht="39.6" x14ac:dyDescent="0.3">
      <c r="A97" s="257">
        <v>45169</v>
      </c>
      <c r="B97" s="245" t="s">
        <v>3096</v>
      </c>
      <c r="C97" s="283" t="s">
        <v>1349</v>
      </c>
      <c r="D97" s="222" t="str">
        <f>VLOOKUP($C97,Customers!$A$2:$Z$1010,2,FALSE)</f>
        <v>Hélène Loranger</v>
      </c>
      <c r="E97" s="583" t="s">
        <v>16</v>
      </c>
      <c r="F97" s="222" t="str">
        <f xml:space="preserve"> VLOOKUP($C97,Customers!$A$2:$Z$1010,5,FALSE)</f>
        <v>Centre d'Expertise en Analyse Environnementale du Quebec (CEAEQ)</v>
      </c>
      <c r="G97" s="222" t="str">
        <f>VLOOKUP($C97,Customers!$A$2:$Z$1010,10,FALSE) &amp; ", " &amp; VLOOKUP($C97,Customers!$A$2:$Z$1010,11,FALSE)</f>
        <v>Quebec, QC</v>
      </c>
      <c r="H97" s="222" t="str">
        <f>VLOOKUP($C97,Customers!$A$2:$Z$1010,13,FALSE)</f>
        <v>Canada</v>
      </c>
      <c r="I97" s="222" t="str">
        <f>VLOOKUP($C97,Customers!$A$2:$Z$1010,18,FALSE)</f>
        <v>CG</v>
      </c>
      <c r="J97" s="223" t="s">
        <v>306</v>
      </c>
      <c r="K97" s="224">
        <v>37</v>
      </c>
      <c r="L97" s="259">
        <v>1</v>
      </c>
      <c r="M97" s="224">
        <v>15</v>
      </c>
      <c r="N97" s="259">
        <f>1</f>
        <v>1</v>
      </c>
      <c r="O97" s="225" t="s">
        <v>16</v>
      </c>
      <c r="P97" s="224">
        <v>0</v>
      </c>
      <c r="Q97" s="225" t="s">
        <v>16</v>
      </c>
      <c r="R97" s="224">
        <v>0</v>
      </c>
      <c r="S97" s="224" t="s">
        <v>16</v>
      </c>
      <c r="T97" s="226" t="s">
        <v>360</v>
      </c>
      <c r="U97" s="226" t="s">
        <v>1202</v>
      </c>
      <c r="V97" s="227">
        <v>135</v>
      </c>
      <c r="W97" s="228" t="s">
        <v>16</v>
      </c>
      <c r="X97" s="228" t="s">
        <v>16</v>
      </c>
      <c r="Y97" s="228" t="s">
        <v>16</v>
      </c>
      <c r="Z97" s="240">
        <f>135</f>
        <v>135</v>
      </c>
      <c r="AA97" s="229">
        <v>25</v>
      </c>
      <c r="AB97" s="240">
        <f t="shared" si="26"/>
        <v>160</v>
      </c>
      <c r="AC97" s="230" t="s">
        <v>304</v>
      </c>
      <c r="AD97" s="242" t="s">
        <v>3097</v>
      </c>
      <c r="AE97" s="231">
        <v>45180</v>
      </c>
      <c r="AF97" s="219" t="s">
        <v>3098</v>
      </c>
      <c r="AG97" s="232">
        <v>8.6300000000000008</v>
      </c>
      <c r="AH97" s="232">
        <v>8.36</v>
      </c>
      <c r="AI97" s="256" t="s">
        <v>304</v>
      </c>
      <c r="AJ97" s="223">
        <v>100033</v>
      </c>
      <c r="AK97" s="231">
        <v>45268</v>
      </c>
      <c r="AL97" s="255" t="s">
        <v>3099</v>
      </c>
    </row>
    <row r="98" spans="1:38" s="236" customFormat="1" ht="52.8" x14ac:dyDescent="0.3">
      <c r="A98" s="257">
        <v>45169</v>
      </c>
      <c r="B98" s="218" t="s">
        <v>3100</v>
      </c>
      <c r="C98" s="283" t="s">
        <v>1019</v>
      </c>
      <c r="D98" s="222" t="str">
        <f>VLOOKUP($C98,Customers!$A$2:$Z$1010,2,FALSE)</f>
        <v>Jeremy Byrnes</v>
      </c>
      <c r="E98" s="583" t="s">
        <v>16</v>
      </c>
      <c r="F98" s="222" t="str">
        <f xml:space="preserve"> VLOOKUP($C98,Customers!$A$2:$Z$1010,5,FALSE)</f>
        <v>ALS Environmental - Winnipeg</v>
      </c>
      <c r="G98" s="222" t="str">
        <f>VLOOKUP($C98,Customers!$A$2:$Z$1010,10,FALSE) &amp; ", " &amp; VLOOKUP($C98,Customers!$A$2:$Z$1010,11,FALSE)</f>
        <v>Winnipeg, MB</v>
      </c>
      <c r="H98" s="222" t="str">
        <f>VLOOKUP($C98,Customers!$A$2:$Z$1010,13,FALSE)</f>
        <v>Canada</v>
      </c>
      <c r="I98" s="222" t="str">
        <f>VLOOKUP($C98,Customers!$A$2:$Z$1010,18,FALSE)</f>
        <v>CC</v>
      </c>
      <c r="J98" s="218" t="s">
        <v>306</v>
      </c>
      <c r="K98" s="224" t="s">
        <v>3101</v>
      </c>
      <c r="L98" s="259">
        <v>2</v>
      </c>
      <c r="M98" s="224" t="s">
        <v>3102</v>
      </c>
      <c r="N98" s="259">
        <f>6+6</f>
        <v>12</v>
      </c>
      <c r="O98" s="225" t="s">
        <v>16</v>
      </c>
      <c r="P98" s="224">
        <v>0</v>
      </c>
      <c r="Q98" s="225" t="s">
        <v>16</v>
      </c>
      <c r="R98" s="224">
        <v>0</v>
      </c>
      <c r="S98" s="224" t="s">
        <v>16</v>
      </c>
      <c r="T98" s="226" t="s">
        <v>3103</v>
      </c>
      <c r="U98" s="226" t="s">
        <v>3104</v>
      </c>
      <c r="V98" s="227">
        <f>(200*2)+(50*10)</f>
        <v>900</v>
      </c>
      <c r="W98" s="228" t="s">
        <v>16</v>
      </c>
      <c r="X98" s="228" t="s">
        <v>16</v>
      </c>
      <c r="Y98" s="228" t="s">
        <v>16</v>
      </c>
      <c r="Z98" s="240">
        <f>200*2+50*10</f>
        <v>900</v>
      </c>
      <c r="AA98" s="230">
        <v>35</v>
      </c>
      <c r="AB98" s="240">
        <f t="shared" si="26"/>
        <v>935</v>
      </c>
      <c r="AC98" s="230" t="s">
        <v>304</v>
      </c>
      <c r="AD98" s="242" t="s">
        <v>3105</v>
      </c>
      <c r="AE98" s="231">
        <v>45188</v>
      </c>
      <c r="AF98" s="219" t="s">
        <v>3106</v>
      </c>
      <c r="AG98" s="232">
        <v>26.97</v>
      </c>
      <c r="AH98" s="232">
        <v>26.11</v>
      </c>
      <c r="AI98" s="239" t="s">
        <v>304</v>
      </c>
      <c r="AJ98" s="223">
        <v>102875</v>
      </c>
      <c r="AK98" s="231">
        <v>45268</v>
      </c>
      <c r="AL98" s="255" t="s">
        <v>3107</v>
      </c>
    </row>
    <row r="99" spans="1:38" s="236" customFormat="1" ht="39.6" x14ac:dyDescent="0.3">
      <c r="A99" s="257">
        <v>45169</v>
      </c>
      <c r="B99" s="224" t="s">
        <v>3108</v>
      </c>
      <c r="C99" s="283" t="s">
        <v>2391</v>
      </c>
      <c r="D99" s="222" t="str">
        <f>VLOOKUP($C99,Customers!$A$2:$Z$1010,2,FALSE)</f>
        <v>Alexei Guerra</v>
      </c>
      <c r="E99" s="293" t="s">
        <v>2184</v>
      </c>
      <c r="F99" s="222" t="str">
        <f xml:space="preserve"> VLOOKUP($C99,Customers!$A$2:$Z$1010,5,FALSE)</f>
        <v>Universite de Montreal</v>
      </c>
      <c r="G99" s="659" t="str">
        <f>VLOOKUP($C99,Customers!$A$2:$Z$1010,10,FALSE) &amp; ", " &amp; VLOOKUP($C99,Customers!$A$2:$Z$1010,11,FALSE)</f>
        <v>Outremont, QC</v>
      </c>
      <c r="H99" s="222" t="str">
        <f>VLOOKUP($C99,Customers!$A$2:$Z$1010,13,FALSE)</f>
        <v>Canada</v>
      </c>
      <c r="I99" s="222" t="str">
        <f>VLOOKUP($C99,Customers!$A$2:$Z$1010,18,FALSE)</f>
        <v>CA</v>
      </c>
      <c r="J99" s="1125" t="s">
        <v>304</v>
      </c>
      <c r="K99" s="224" t="s">
        <v>3109</v>
      </c>
      <c r="L99" s="259">
        <v>2</v>
      </c>
      <c r="M99" s="224" t="s">
        <v>1973</v>
      </c>
      <c r="N99" s="705">
        <f>2+2</f>
        <v>4</v>
      </c>
      <c r="O99" s="225" t="s">
        <v>16</v>
      </c>
      <c r="P99" s="224">
        <v>0</v>
      </c>
      <c r="Q99" s="225" t="s">
        <v>16</v>
      </c>
      <c r="R99" s="224">
        <v>0</v>
      </c>
      <c r="S99" s="224" t="s">
        <v>16</v>
      </c>
      <c r="T99" s="226" t="s">
        <v>3110</v>
      </c>
      <c r="U99" s="1147" t="s">
        <v>3111</v>
      </c>
      <c r="V99" s="227">
        <f>125*2</f>
        <v>250</v>
      </c>
      <c r="W99" s="228" t="s">
        <v>16</v>
      </c>
      <c r="X99" s="228" t="s">
        <v>16</v>
      </c>
      <c r="Y99" s="228" t="s">
        <v>16</v>
      </c>
      <c r="Z99" s="240">
        <f>125*2</f>
        <v>250</v>
      </c>
      <c r="AA99" s="302">
        <v>25</v>
      </c>
      <c r="AB99" s="1121">
        <f>SUM(Z99:AA102)</f>
        <v>1725</v>
      </c>
      <c r="AC99" s="230" t="s">
        <v>304</v>
      </c>
      <c r="AD99" s="1149" t="s">
        <v>16</v>
      </c>
      <c r="AE99" s="231">
        <v>45175</v>
      </c>
      <c r="AF99" s="219" t="s">
        <v>3112</v>
      </c>
      <c r="AG99" s="232">
        <v>9.83</v>
      </c>
      <c r="AH99" s="232">
        <v>9.52</v>
      </c>
      <c r="AI99" s="1152" t="s">
        <v>304</v>
      </c>
      <c r="AJ99" s="1125">
        <v>111055</v>
      </c>
      <c r="AK99" s="709">
        <v>45272</v>
      </c>
      <c r="AL99" s="1145" t="s">
        <v>3113</v>
      </c>
    </row>
    <row r="100" spans="1:38" s="236" customFormat="1" ht="66" x14ac:dyDescent="0.3">
      <c r="A100" s="257">
        <v>45169</v>
      </c>
      <c r="B100" s="224" t="s">
        <v>3114</v>
      </c>
      <c r="C100" s="283" t="s">
        <v>2391</v>
      </c>
      <c r="D100" s="222" t="str">
        <f>VLOOKUP($C100,Customers!$A$2:$Z$1010,2,FALSE)</f>
        <v>Alexei Guerra</v>
      </c>
      <c r="E100" s="293" t="s">
        <v>2184</v>
      </c>
      <c r="F100" s="222" t="str">
        <f xml:space="preserve"> VLOOKUP($C100,Customers!$A$2:$Z$1010,5,FALSE)</f>
        <v>Universite de Montreal</v>
      </c>
      <c r="G100" s="659" t="str">
        <f>VLOOKUP($C100,Customers!$A$2:$Z$1010,10,FALSE) &amp; ", " &amp; VLOOKUP($C100,Customers!$A$2:$Z$1010,11,FALSE)</f>
        <v>Outremont, QC</v>
      </c>
      <c r="H100" s="222" t="str">
        <f>VLOOKUP($C100,Customers!$A$2:$Z$1010,13,FALSE)</f>
        <v>Canada</v>
      </c>
      <c r="I100" s="222" t="str">
        <f>VLOOKUP($C100,Customers!$A$2:$Z$1010,18,FALSE)</f>
        <v>CA</v>
      </c>
      <c r="J100" s="1125"/>
      <c r="K100" s="662" t="s">
        <v>3959</v>
      </c>
      <c r="L100" s="646">
        <v>5</v>
      </c>
      <c r="M100" s="224" t="s">
        <v>3559</v>
      </c>
      <c r="N100" s="705">
        <f>4+2+2+2+2</f>
        <v>12</v>
      </c>
      <c r="O100" s="225" t="s">
        <v>16</v>
      </c>
      <c r="P100" s="224">
        <v>0</v>
      </c>
      <c r="Q100" s="225" t="s">
        <v>16</v>
      </c>
      <c r="R100" s="224">
        <v>0</v>
      </c>
      <c r="S100" s="224" t="s">
        <v>16</v>
      </c>
      <c r="T100" s="661" t="s">
        <v>3960</v>
      </c>
      <c r="U100" s="1147"/>
      <c r="V100" s="227">
        <f>125*5</f>
        <v>625</v>
      </c>
      <c r="W100" s="228" t="s">
        <v>16</v>
      </c>
      <c r="X100" s="228" t="s">
        <v>16</v>
      </c>
      <c r="Y100" s="228" t="s">
        <v>16</v>
      </c>
      <c r="Z100" s="240">
        <f>125*5</f>
        <v>625</v>
      </c>
      <c r="AA100" s="302">
        <v>25</v>
      </c>
      <c r="AB100" s="1121"/>
      <c r="AC100" s="230" t="s">
        <v>304</v>
      </c>
      <c r="AD100" s="1149"/>
      <c r="AE100" s="231">
        <v>45182</v>
      </c>
      <c r="AF100" s="219" t="s">
        <v>3115</v>
      </c>
      <c r="AG100" s="232">
        <v>9.83</v>
      </c>
      <c r="AH100" s="232">
        <v>9.52</v>
      </c>
      <c r="AI100" s="1152"/>
      <c r="AJ100" s="1125"/>
      <c r="AK100" s="709">
        <v>45272</v>
      </c>
      <c r="AL100" s="1145"/>
    </row>
    <row r="101" spans="1:38" s="236" customFormat="1" ht="39.6" x14ac:dyDescent="0.3">
      <c r="A101" s="257">
        <v>45169</v>
      </c>
      <c r="B101" s="224" t="s">
        <v>3116</v>
      </c>
      <c r="C101" s="283" t="s">
        <v>2391</v>
      </c>
      <c r="D101" s="222" t="str">
        <f>VLOOKUP($C101,Customers!$A$2:$Z$1010,2,FALSE)</f>
        <v>Alexei Guerra</v>
      </c>
      <c r="E101" s="293" t="s">
        <v>2184</v>
      </c>
      <c r="F101" s="222" t="str">
        <f xml:space="preserve"> VLOOKUP($C101,Customers!$A$2:$Z$1010,5,FALSE)</f>
        <v>Universite de Montreal</v>
      </c>
      <c r="G101" s="659" t="str">
        <f>VLOOKUP($C101,Customers!$A$2:$Z$1010,10,FALSE) &amp; ", " &amp; VLOOKUP($C101,Customers!$A$2:$Z$1010,11,FALSE)</f>
        <v>Outremont, QC</v>
      </c>
      <c r="H101" s="222" t="str">
        <f>VLOOKUP($C101,Customers!$A$2:$Z$1010,13,FALSE)</f>
        <v>Canada</v>
      </c>
      <c r="I101" s="222" t="str">
        <f>VLOOKUP($C101,Customers!$A$2:$Z$1010,18,FALSE)</f>
        <v>CA</v>
      </c>
      <c r="J101" s="1125"/>
      <c r="K101" s="224" t="s">
        <v>4249</v>
      </c>
      <c r="L101" s="259">
        <v>4</v>
      </c>
      <c r="M101" s="224" t="s">
        <v>2917</v>
      </c>
      <c r="N101" s="705">
        <f>2+2+2+2</f>
        <v>8</v>
      </c>
      <c r="O101" s="225" t="s">
        <v>16</v>
      </c>
      <c r="P101" s="224">
        <v>0</v>
      </c>
      <c r="Q101" s="225" t="s">
        <v>16</v>
      </c>
      <c r="R101" s="224">
        <v>0</v>
      </c>
      <c r="S101" s="224" t="s">
        <v>16</v>
      </c>
      <c r="T101" s="226" t="s">
        <v>3117</v>
      </c>
      <c r="U101" s="1147"/>
      <c r="V101" s="227">
        <f>125*4</f>
        <v>500</v>
      </c>
      <c r="W101" s="228" t="s">
        <v>16</v>
      </c>
      <c r="X101" s="228" t="s">
        <v>16</v>
      </c>
      <c r="Y101" s="228" t="s">
        <v>16</v>
      </c>
      <c r="Z101" s="240">
        <f>125*4</f>
        <v>500</v>
      </c>
      <c r="AA101" s="302">
        <v>25</v>
      </c>
      <c r="AB101" s="1121"/>
      <c r="AC101" s="230" t="s">
        <v>304</v>
      </c>
      <c r="AD101" s="1149"/>
      <c r="AE101" s="231">
        <v>45189</v>
      </c>
      <c r="AF101" s="219" t="s">
        <v>3118</v>
      </c>
      <c r="AG101" s="232">
        <v>10.43</v>
      </c>
      <c r="AH101" s="232">
        <v>10.1</v>
      </c>
      <c r="AI101" s="1152"/>
      <c r="AJ101" s="1125"/>
      <c r="AK101" s="709">
        <v>45272</v>
      </c>
      <c r="AL101" s="1145"/>
    </row>
    <row r="102" spans="1:38" s="281" customFormat="1" ht="40.200000000000003" thickBot="1" x14ac:dyDescent="0.35">
      <c r="A102" s="297">
        <v>45169</v>
      </c>
      <c r="B102" s="261" t="s">
        <v>3119</v>
      </c>
      <c r="C102" s="284" t="s">
        <v>2391</v>
      </c>
      <c r="D102" s="264" t="str">
        <f>VLOOKUP($C102,Customers!$A$2:$Z$1010,2,FALSE)</f>
        <v>Alexei Guerra</v>
      </c>
      <c r="E102" s="582" t="s">
        <v>2184</v>
      </c>
      <c r="F102" s="264" t="str">
        <f xml:space="preserve"> VLOOKUP($C102,Customers!$A$2:$Z$1010,5,FALSE)</f>
        <v>Universite de Montreal</v>
      </c>
      <c r="G102" s="660" t="str">
        <f>VLOOKUP($C102,Customers!$A$2:$Z$1010,10,FALSE) &amp; ", " &amp; VLOOKUP($C102,Customers!$A$2:$Z$1010,11,FALSE)</f>
        <v>Outremont, QC</v>
      </c>
      <c r="H102" s="264" t="str">
        <f>VLOOKUP($C102,Customers!$A$2:$Z$1010,13,FALSE)</f>
        <v>Canada</v>
      </c>
      <c r="I102" s="264" t="str">
        <f>VLOOKUP($C102,Customers!$A$2:$Z$1010,18,FALSE)</f>
        <v>CA</v>
      </c>
      <c r="J102" s="1164"/>
      <c r="K102" s="261" t="s">
        <v>3120</v>
      </c>
      <c r="L102" s="332">
        <v>2</v>
      </c>
      <c r="M102" s="261" t="s">
        <v>1973</v>
      </c>
      <c r="N102" s="706">
        <f>2+2</f>
        <v>4</v>
      </c>
      <c r="O102" s="268" t="s">
        <v>16</v>
      </c>
      <c r="P102" s="261">
        <v>0</v>
      </c>
      <c r="Q102" s="268" t="s">
        <v>16</v>
      </c>
      <c r="R102" s="261">
        <v>0</v>
      </c>
      <c r="S102" s="261" t="s">
        <v>16</v>
      </c>
      <c r="T102" s="269" t="s">
        <v>3121</v>
      </c>
      <c r="U102" s="1166"/>
      <c r="V102" s="271">
        <f>125*2</f>
        <v>250</v>
      </c>
      <c r="W102" s="270" t="s">
        <v>16</v>
      </c>
      <c r="X102" s="270" t="s">
        <v>16</v>
      </c>
      <c r="Y102" s="270" t="s">
        <v>16</v>
      </c>
      <c r="Z102" s="273">
        <f>125*2</f>
        <v>250</v>
      </c>
      <c r="AA102" s="287">
        <v>25</v>
      </c>
      <c r="AB102" s="1161"/>
      <c r="AC102" s="274" t="s">
        <v>304</v>
      </c>
      <c r="AD102" s="1162"/>
      <c r="AE102" s="276">
        <v>45196</v>
      </c>
      <c r="AF102" s="263" t="s">
        <v>3122</v>
      </c>
      <c r="AG102" s="277">
        <v>8.6300000000000008</v>
      </c>
      <c r="AH102" s="277">
        <v>8.36</v>
      </c>
      <c r="AI102" s="1163"/>
      <c r="AJ102" s="1164"/>
      <c r="AK102" s="743">
        <v>45272</v>
      </c>
      <c r="AL102" s="1160"/>
    </row>
    <row r="103" spans="1:38" s="236" customFormat="1" ht="52.95" customHeight="1" x14ac:dyDescent="0.3">
      <c r="A103" s="250">
        <v>45176</v>
      </c>
      <c r="B103" s="218" t="s">
        <v>3123</v>
      </c>
      <c r="C103" s="283" t="s">
        <v>1054</v>
      </c>
      <c r="D103" s="222" t="str">
        <f>VLOOKUP($C103,Customers!$A$2:$Z$1010,2,FALSE)</f>
        <v>Carlos Cruz</v>
      </c>
      <c r="E103" s="583" t="s">
        <v>16</v>
      </c>
      <c r="F103" s="222" t="str">
        <f xml:space="preserve"> VLOOKUP($C103,Customers!$A$2:$Z$1010,5,FALSE)</f>
        <v>University of Toronto</v>
      </c>
      <c r="G103" s="222" t="str">
        <f>VLOOKUP($C103,Customers!$A$2:$Z$1010,10,FALSE) &amp; ", " &amp; VLOOKUP($C103,Customers!$A$2:$Z$1010,11,FALSE)</f>
        <v>Toronto, ON</v>
      </c>
      <c r="H103" s="222" t="str">
        <f>VLOOKUP($C103,Customers!$A$2:$Z$1010,13,FALSE)</f>
        <v>Canada</v>
      </c>
      <c r="I103" s="222" t="str">
        <f>VLOOKUP($C103,Customers!$A$2:$Z$1010,18,FALSE)</f>
        <v>CA</v>
      </c>
      <c r="J103" s="218" t="s">
        <v>304</v>
      </c>
      <c r="K103" s="224" t="s">
        <v>3124</v>
      </c>
      <c r="L103" s="218">
        <v>4</v>
      </c>
      <c r="M103" s="224" t="s">
        <v>2917</v>
      </c>
      <c r="N103" s="218">
        <f>1+1+1+1</f>
        <v>4</v>
      </c>
      <c r="O103" s="224" t="s">
        <v>307</v>
      </c>
      <c r="P103" s="224">
        <v>4</v>
      </c>
      <c r="Q103" s="224" t="s">
        <v>323</v>
      </c>
      <c r="R103" s="224">
        <v>220</v>
      </c>
      <c r="S103" s="224" t="s">
        <v>16</v>
      </c>
      <c r="T103" s="226" t="s">
        <v>3125</v>
      </c>
      <c r="U103" s="226" t="s">
        <v>3126</v>
      </c>
      <c r="V103" s="227">
        <f>135*4</f>
        <v>540</v>
      </c>
      <c r="W103" s="227">
        <f>60*4</f>
        <v>240</v>
      </c>
      <c r="X103" s="227">
        <v>125</v>
      </c>
      <c r="Y103" s="228" t="s">
        <v>16</v>
      </c>
      <c r="Z103" s="230">
        <f>(135*4)+(60*4)+(125)</f>
        <v>905</v>
      </c>
      <c r="AA103" s="230" t="s">
        <v>308</v>
      </c>
      <c r="AB103" s="230">
        <f t="shared" ref="AB103:AB114" si="27">SUM(Z103:AA103)</f>
        <v>905</v>
      </c>
      <c r="AC103" s="230" t="s">
        <v>304</v>
      </c>
      <c r="AD103" s="242" t="s">
        <v>16</v>
      </c>
      <c r="AE103" s="231">
        <v>45183</v>
      </c>
      <c r="AF103" s="219" t="s">
        <v>1134</v>
      </c>
      <c r="AG103" s="232" t="s">
        <v>308</v>
      </c>
      <c r="AH103" s="232" t="s">
        <v>308</v>
      </c>
      <c r="AI103" s="322" t="s">
        <v>304</v>
      </c>
      <c r="AJ103" s="233">
        <v>103819</v>
      </c>
      <c r="AK103" s="231">
        <v>45258</v>
      </c>
      <c r="AL103" s="252" t="s">
        <v>1135</v>
      </c>
    </row>
    <row r="104" spans="1:38" s="236" customFormat="1" ht="39.6" x14ac:dyDescent="0.3">
      <c r="A104" s="257">
        <v>45176</v>
      </c>
      <c r="B104" s="218" t="s">
        <v>3127</v>
      </c>
      <c r="C104" s="283" t="s">
        <v>1055</v>
      </c>
      <c r="D104" s="222" t="str">
        <f>VLOOKUP($C104,Customers!$A$2:$Z$1010,2,FALSE)</f>
        <v>Michael (Mike) Phillips</v>
      </c>
      <c r="E104" s="583" t="s">
        <v>2231</v>
      </c>
      <c r="F104" s="222" t="str">
        <f xml:space="preserve"> VLOOKUP($C104,Customers!$A$2:$Z$1010,5,FALSE)</f>
        <v>University of Toronto Mississauga</v>
      </c>
      <c r="G104" s="222" t="str">
        <f>VLOOKUP($C104,Customers!$A$2:$Z$1010,10,FALSE) &amp; ", " &amp; VLOOKUP($C104,Customers!$A$2:$Z$1010,11,FALSE)</f>
        <v>Mississauga, ON</v>
      </c>
      <c r="H104" s="222" t="str">
        <f>VLOOKUP($C104,Customers!$A$2:$Z$1010,13,FALSE)</f>
        <v>Canada</v>
      </c>
      <c r="I104" s="222" t="str">
        <f>VLOOKUP($C104,Customers!$A$2:$Z$1010,18,FALSE)</f>
        <v>CA</v>
      </c>
      <c r="J104" s="218" t="s">
        <v>306</v>
      </c>
      <c r="K104" s="243" t="s">
        <v>16</v>
      </c>
      <c r="L104" s="253">
        <v>0</v>
      </c>
      <c r="M104" s="224">
        <v>0</v>
      </c>
      <c r="N104" s="253">
        <v>0</v>
      </c>
      <c r="O104" s="243" t="s">
        <v>16</v>
      </c>
      <c r="P104" s="224">
        <v>0</v>
      </c>
      <c r="Q104" s="224" t="s">
        <v>330</v>
      </c>
      <c r="R104" s="224">
        <v>255</v>
      </c>
      <c r="S104" s="224" t="s">
        <v>16</v>
      </c>
      <c r="T104" s="226" t="s">
        <v>3128</v>
      </c>
      <c r="U104" s="226" t="s">
        <v>3129</v>
      </c>
      <c r="V104" s="228" t="s">
        <v>16</v>
      </c>
      <c r="W104" s="228" t="s">
        <v>16</v>
      </c>
      <c r="X104" s="227">
        <v>45</v>
      </c>
      <c r="Y104" s="228" t="s">
        <v>16</v>
      </c>
      <c r="Z104" s="240">
        <f>45</f>
        <v>45</v>
      </c>
      <c r="AA104" s="230">
        <v>25</v>
      </c>
      <c r="AB104" s="240">
        <f t="shared" si="27"/>
        <v>70</v>
      </c>
      <c r="AC104" s="230" t="s">
        <v>304</v>
      </c>
      <c r="AD104" s="242" t="s">
        <v>16</v>
      </c>
      <c r="AE104" s="231">
        <v>45181</v>
      </c>
      <c r="AF104" s="219" t="s">
        <v>3130</v>
      </c>
      <c r="AG104" s="232">
        <v>5.2</v>
      </c>
      <c r="AH104" s="232">
        <v>5.35</v>
      </c>
      <c r="AI104" s="322" t="s">
        <v>304</v>
      </c>
      <c r="AJ104" s="223">
        <v>103831</v>
      </c>
      <c r="AK104" s="231">
        <v>45268</v>
      </c>
      <c r="AL104" s="252" t="s">
        <v>3131</v>
      </c>
    </row>
    <row r="105" spans="1:38" s="236" customFormat="1" ht="26.4" x14ac:dyDescent="0.3">
      <c r="A105" s="257">
        <v>45177</v>
      </c>
      <c r="B105" s="218" t="s">
        <v>3132</v>
      </c>
      <c r="C105" s="283" t="s">
        <v>2479</v>
      </c>
      <c r="D105" s="222" t="str">
        <f>VLOOKUP($C105,Customers!$A$2:$Z$1010,2,FALSE)</f>
        <v>Jozef Nissimov</v>
      </c>
      <c r="E105" s="583" t="s">
        <v>2134</v>
      </c>
      <c r="F105" s="222" t="str">
        <f xml:space="preserve"> VLOOKUP($C105,Customers!$A$2:$Z$1010,5,FALSE)</f>
        <v>University of Waterloo</v>
      </c>
      <c r="G105" s="222" t="str">
        <f>VLOOKUP($C105,Customers!$A$2:$Z$1010,10,FALSE) &amp; ", " &amp; VLOOKUP($C105,Customers!$A$2:$Z$1010,11,FALSE)</f>
        <v>Waterloo, ON</v>
      </c>
      <c r="H105" s="222" t="str">
        <f>VLOOKUP($C105,Customers!$A$2:$Z$1010,13,FALSE)</f>
        <v>Canada</v>
      </c>
      <c r="I105" s="222" t="str">
        <f>VLOOKUP($C105,Customers!$A$2:$Z$1010,18,FALSE)</f>
        <v>CA</v>
      </c>
      <c r="J105" s="218" t="s">
        <v>306</v>
      </c>
      <c r="K105" s="224" t="s">
        <v>407</v>
      </c>
      <c r="L105" s="253">
        <v>2</v>
      </c>
      <c r="M105" s="224" t="s">
        <v>1973</v>
      </c>
      <c r="N105" s="253">
        <f>1+1</f>
        <v>2</v>
      </c>
      <c r="O105" s="243" t="s">
        <v>16</v>
      </c>
      <c r="P105" s="224">
        <v>0</v>
      </c>
      <c r="Q105" s="243" t="s">
        <v>16</v>
      </c>
      <c r="R105" s="224">
        <v>0</v>
      </c>
      <c r="S105" s="224" t="s">
        <v>16</v>
      </c>
      <c r="T105" s="226" t="s">
        <v>1137</v>
      </c>
      <c r="U105" s="226" t="s">
        <v>3133</v>
      </c>
      <c r="V105" s="227">
        <f>100*2</f>
        <v>200</v>
      </c>
      <c r="W105" s="228" t="s">
        <v>16</v>
      </c>
      <c r="X105" s="228" t="s">
        <v>16</v>
      </c>
      <c r="Y105" s="228" t="s">
        <v>16</v>
      </c>
      <c r="Z105" s="240">
        <f>100*2</f>
        <v>200</v>
      </c>
      <c r="AA105" s="240" t="s">
        <v>308</v>
      </c>
      <c r="AB105" s="240">
        <f t="shared" si="27"/>
        <v>200</v>
      </c>
      <c r="AC105" s="230" t="s">
        <v>304</v>
      </c>
      <c r="AD105" s="242" t="s">
        <v>16</v>
      </c>
      <c r="AE105" s="231">
        <v>45188</v>
      </c>
      <c r="AF105" s="231" t="s">
        <v>2858</v>
      </c>
      <c r="AG105" s="232" t="s">
        <v>308</v>
      </c>
      <c r="AH105" s="232" t="s">
        <v>308</v>
      </c>
      <c r="AI105" s="245" t="s">
        <v>308</v>
      </c>
      <c r="AJ105" s="223" t="s">
        <v>308</v>
      </c>
      <c r="AK105" s="234">
        <v>45293</v>
      </c>
      <c r="AL105" s="252" t="s">
        <v>3134</v>
      </c>
    </row>
    <row r="106" spans="1:38" s="236" customFormat="1" ht="52.8" x14ac:dyDescent="0.3">
      <c r="A106" s="257">
        <v>45183</v>
      </c>
      <c r="B106" s="218" t="s">
        <v>3135</v>
      </c>
      <c r="C106" s="325" t="s">
        <v>2486</v>
      </c>
      <c r="D106" s="222" t="str">
        <f>VLOOKUP($C106,Customers!$A$2:$Z$1010,2,FALSE)</f>
        <v>Kenji Iwasaki</v>
      </c>
      <c r="E106" s="583" t="s">
        <v>16</v>
      </c>
      <c r="F106" s="222" t="str">
        <f xml:space="preserve"> VLOOKUP($C106,Customers!$A$2:$Z$1010,5,FALSE)</f>
        <v>Institute of Microalgal Technology (IMAT) - Japan</v>
      </c>
      <c r="G106" s="222" t="str">
        <f>VLOOKUP($C106,Customers!$A$2:$Z$1010,10,FALSE) &amp; ", " &amp; VLOOKUP($C106,Customers!$A$2:$Z$1010,11,FALSE)</f>
        <v>Hiroshima, HP</v>
      </c>
      <c r="H106" s="222" t="str">
        <f>VLOOKUP($C106,Customers!$A$2:$Z$1010,13,FALSE)</f>
        <v>Japan</v>
      </c>
      <c r="I106" s="222" t="str">
        <f>VLOOKUP($C106,Customers!$A$2:$Z$1010,18,FALSE)</f>
        <v>IC</v>
      </c>
      <c r="J106" s="218" t="s">
        <v>304</v>
      </c>
      <c r="K106" s="224">
        <v>121</v>
      </c>
      <c r="L106" s="253">
        <v>1</v>
      </c>
      <c r="M106" s="224">
        <v>15</v>
      </c>
      <c r="N106" s="253">
        <f>1</f>
        <v>1</v>
      </c>
      <c r="O106" s="243" t="s">
        <v>16</v>
      </c>
      <c r="P106" s="224">
        <v>0</v>
      </c>
      <c r="Q106" s="243" t="s">
        <v>16</v>
      </c>
      <c r="R106" s="224">
        <v>0</v>
      </c>
      <c r="S106" s="224" t="s">
        <v>16</v>
      </c>
      <c r="T106" s="226" t="s">
        <v>3136</v>
      </c>
      <c r="U106" s="226" t="s">
        <v>417</v>
      </c>
      <c r="V106" s="227">
        <v>200</v>
      </c>
      <c r="W106" s="228" t="s">
        <v>16</v>
      </c>
      <c r="X106" s="228" t="s">
        <v>16</v>
      </c>
      <c r="Y106" s="228" t="s">
        <v>16</v>
      </c>
      <c r="Z106" s="240">
        <f>200</f>
        <v>200</v>
      </c>
      <c r="AA106" s="240">
        <f>90+25</f>
        <v>115</v>
      </c>
      <c r="AB106" s="240">
        <f t="shared" si="27"/>
        <v>315</v>
      </c>
      <c r="AC106" s="230" t="s">
        <v>304</v>
      </c>
      <c r="AD106" s="242" t="s">
        <v>16</v>
      </c>
      <c r="AE106" s="231">
        <v>45215</v>
      </c>
      <c r="AF106" s="219" t="s">
        <v>3137</v>
      </c>
      <c r="AG106" s="232">
        <v>96</v>
      </c>
      <c r="AH106" s="232">
        <v>89.17</v>
      </c>
      <c r="AI106" s="248" t="s">
        <v>304</v>
      </c>
      <c r="AJ106" s="223">
        <v>111074</v>
      </c>
      <c r="AK106" s="234">
        <v>45300</v>
      </c>
      <c r="AL106" s="255" t="s">
        <v>3138</v>
      </c>
    </row>
    <row r="107" spans="1:38" s="236" customFormat="1" ht="39.6" x14ac:dyDescent="0.3">
      <c r="A107" s="257">
        <v>45183</v>
      </c>
      <c r="B107" s="218" t="s">
        <v>3139</v>
      </c>
      <c r="C107" s="325" t="s">
        <v>2527</v>
      </c>
      <c r="D107" s="222" t="str">
        <f>VLOOKUP($C107,Customers!$A$2:$Z$1010,2,FALSE)</f>
        <v>Naomi Attrill</v>
      </c>
      <c r="E107" s="583" t="s">
        <v>16</v>
      </c>
      <c r="F107" s="222" t="str">
        <f xml:space="preserve"> VLOOKUP($C107,Customers!$A$2:$Z$1010,5,FALSE)</f>
        <v>Nautilus Environmental Company Inc. - Calgary</v>
      </c>
      <c r="G107" s="222" t="str">
        <f>VLOOKUP($C107,Customers!$A$2:$Z$1010,10,FALSE) &amp; ", " &amp; VLOOKUP($C107,Customers!$A$2:$Z$1010,11,FALSE)</f>
        <v>Calgary, AB</v>
      </c>
      <c r="H107" s="222" t="str">
        <f>VLOOKUP($C107,Customers!$A$2:$Z$1010,13,FALSE)</f>
        <v>Canada</v>
      </c>
      <c r="I107" s="222" t="str">
        <f>VLOOKUP($C107,Customers!$A$2:$Z$1010,18,FALSE)</f>
        <v>CC</v>
      </c>
      <c r="J107" s="218" t="s">
        <v>304</v>
      </c>
      <c r="K107" s="224">
        <v>37</v>
      </c>
      <c r="L107" s="333">
        <v>1</v>
      </c>
      <c r="M107" s="224">
        <v>45</v>
      </c>
      <c r="N107" s="333">
        <f>3</f>
        <v>3</v>
      </c>
      <c r="O107" s="243" t="s">
        <v>16</v>
      </c>
      <c r="P107" s="224">
        <v>0</v>
      </c>
      <c r="Q107" s="243" t="s">
        <v>16</v>
      </c>
      <c r="R107" s="224">
        <v>0</v>
      </c>
      <c r="S107" s="224" t="s">
        <v>16</v>
      </c>
      <c r="T107" s="226" t="s">
        <v>3140</v>
      </c>
      <c r="U107" s="226" t="s">
        <v>3141</v>
      </c>
      <c r="V107" s="227">
        <v>290</v>
      </c>
      <c r="W107" s="228" t="s">
        <v>16</v>
      </c>
      <c r="X107" s="228" t="s">
        <v>16</v>
      </c>
      <c r="Y107" s="228" t="s">
        <v>16</v>
      </c>
      <c r="Z107" s="229">
        <f>290</f>
        <v>290</v>
      </c>
      <c r="AA107" s="230">
        <f>25+5</f>
        <v>30</v>
      </c>
      <c r="AB107" s="229">
        <f t="shared" si="27"/>
        <v>320</v>
      </c>
      <c r="AC107" s="230" t="s">
        <v>304</v>
      </c>
      <c r="AD107" s="242" t="s">
        <v>3142</v>
      </c>
      <c r="AE107" s="231">
        <v>45194</v>
      </c>
      <c r="AF107" s="219" t="s">
        <v>3143</v>
      </c>
      <c r="AG107" s="232">
        <v>17.7</v>
      </c>
      <c r="AH107" s="232">
        <v>21.32</v>
      </c>
      <c r="AI107" s="241" t="s">
        <v>304</v>
      </c>
      <c r="AJ107" s="233">
        <v>103485</v>
      </c>
      <c r="AK107" s="231">
        <v>45279</v>
      </c>
      <c r="AL107" s="235" t="s">
        <v>1795</v>
      </c>
    </row>
    <row r="108" spans="1:38" s="236" customFormat="1" ht="66" x14ac:dyDescent="0.3">
      <c r="A108" s="257">
        <v>45184</v>
      </c>
      <c r="B108" s="218" t="s">
        <v>3144</v>
      </c>
      <c r="C108" s="283" t="s">
        <v>1035</v>
      </c>
      <c r="D108" s="222" t="str">
        <f>VLOOKUP($C108,Customers!$A$2:$Z$1010,2,FALSE)</f>
        <v>Arthur Zastepa</v>
      </c>
      <c r="E108" s="583" t="s">
        <v>16</v>
      </c>
      <c r="F108" s="222" t="str">
        <f xml:space="preserve"> VLOOKUP($C108,Customers!$A$2:$Z$1010,5,FALSE)</f>
        <v>Environment and Climate Change Canada (ECCC) - Watershed Hydrology and Ecology Research Division (WHERD)</v>
      </c>
      <c r="G108" s="222" t="str">
        <f>VLOOKUP($C108,Customers!$A$2:$Z$1010,10,FALSE) &amp; ", " &amp; VLOOKUP($C108,Customers!$A$2:$Z$1010,11,FALSE)</f>
        <v>Burlington, ON</v>
      </c>
      <c r="H108" s="222" t="str">
        <f>VLOOKUP($C108,Customers!$A$2:$Z$1010,13,FALSE)</f>
        <v>Canada</v>
      </c>
      <c r="I108" s="222" t="str">
        <f>VLOOKUP($C108,Customers!$A$2:$Z$1010,18,FALSE)</f>
        <v>CG</v>
      </c>
      <c r="J108" s="218" t="s">
        <v>306</v>
      </c>
      <c r="K108" s="243" t="s">
        <v>16</v>
      </c>
      <c r="L108" s="218">
        <v>0</v>
      </c>
      <c r="M108" s="224">
        <v>0</v>
      </c>
      <c r="N108" s="218">
        <v>0</v>
      </c>
      <c r="O108" s="243" t="s">
        <v>16</v>
      </c>
      <c r="P108" s="224">
        <v>0</v>
      </c>
      <c r="Q108" s="243" t="s">
        <v>16</v>
      </c>
      <c r="R108" s="224">
        <v>0</v>
      </c>
      <c r="S108" s="224" t="s">
        <v>2966</v>
      </c>
      <c r="T108" s="301" t="s">
        <v>4074</v>
      </c>
      <c r="U108" s="226" t="s">
        <v>3145</v>
      </c>
      <c r="V108" s="228" t="s">
        <v>16</v>
      </c>
      <c r="W108" s="228" t="s">
        <v>16</v>
      </c>
      <c r="X108" s="228" t="s">
        <v>16</v>
      </c>
      <c r="Y108" s="227">
        <f>150*5</f>
        <v>750</v>
      </c>
      <c r="Z108" s="240">
        <f t="shared" ref="Z108" si="28">SUM(V108:Y108)</f>
        <v>750</v>
      </c>
      <c r="AA108" s="230" t="s">
        <v>308</v>
      </c>
      <c r="AB108" s="240">
        <f t="shared" si="27"/>
        <v>750</v>
      </c>
      <c r="AC108" s="230" t="s">
        <v>308</v>
      </c>
      <c r="AD108" s="242" t="s">
        <v>1270</v>
      </c>
      <c r="AE108" s="231" t="s">
        <v>308</v>
      </c>
      <c r="AF108" s="223" t="s">
        <v>308</v>
      </c>
      <c r="AG108" s="232" t="s">
        <v>308</v>
      </c>
      <c r="AH108" s="232" t="s">
        <v>308</v>
      </c>
      <c r="AI108" s="322" t="s">
        <v>304</v>
      </c>
      <c r="AJ108" s="223">
        <v>103177</v>
      </c>
      <c r="AK108" s="231">
        <v>45195</v>
      </c>
      <c r="AL108" s="252" t="s">
        <v>3146</v>
      </c>
    </row>
    <row r="109" spans="1:38" s="236" customFormat="1" ht="66" x14ac:dyDescent="0.3">
      <c r="A109" s="257">
        <v>45187</v>
      </c>
      <c r="B109" s="218" t="s">
        <v>3147</v>
      </c>
      <c r="C109" s="325" t="s">
        <v>2426</v>
      </c>
      <c r="D109" s="222" t="str">
        <f>VLOOKUP($C109,Customers!$A$2:$Z$1010,2,FALSE)</f>
        <v>Daniel (Dan) Lefebvre</v>
      </c>
      <c r="E109" s="583" t="s">
        <v>16</v>
      </c>
      <c r="F109" s="222" t="str">
        <f xml:space="preserve"> VLOOKUP($C109,Customers!$A$2:$Z$1010,5,FALSE)</f>
        <v>Queen's University</v>
      </c>
      <c r="G109" s="222" t="str">
        <f>VLOOKUP($C109,Customers!$A$2:$Z$1010,10,FALSE) &amp; ", " &amp; VLOOKUP($C109,Customers!$A$2:$Z$1010,11,FALSE)</f>
        <v>Kingston, ON</v>
      </c>
      <c r="H109" s="222" t="str">
        <f>VLOOKUP($C109,Customers!$A$2:$Z$1010,13,FALSE)</f>
        <v>Canada</v>
      </c>
      <c r="I109" s="222" t="str">
        <f>VLOOKUP($C109,Customers!$A$2:$Z$1010,18,FALSE)</f>
        <v>CA</v>
      </c>
      <c r="J109" s="253" t="s">
        <v>306</v>
      </c>
      <c r="K109" s="224" t="s">
        <v>3148</v>
      </c>
      <c r="L109" s="253">
        <v>2</v>
      </c>
      <c r="M109" s="224" t="s">
        <v>1973</v>
      </c>
      <c r="N109" s="253">
        <f>1+1</f>
        <v>2</v>
      </c>
      <c r="O109" s="243" t="s">
        <v>16</v>
      </c>
      <c r="P109" s="224">
        <v>0</v>
      </c>
      <c r="Q109" s="224" t="s">
        <v>408</v>
      </c>
      <c r="R109" s="224">
        <v>250</v>
      </c>
      <c r="S109" s="224" t="s">
        <v>16</v>
      </c>
      <c r="T109" s="226" t="s">
        <v>3149</v>
      </c>
      <c r="U109" s="226" t="s">
        <v>3150</v>
      </c>
      <c r="V109" s="227">
        <v>135</v>
      </c>
      <c r="W109" s="228" t="s">
        <v>16</v>
      </c>
      <c r="X109" s="227">
        <v>65</v>
      </c>
      <c r="Y109" s="228" t="s">
        <v>16</v>
      </c>
      <c r="Z109" s="240">
        <f>135+65</f>
        <v>200</v>
      </c>
      <c r="AA109" s="230">
        <v>25</v>
      </c>
      <c r="AB109" s="240">
        <f t="shared" si="27"/>
        <v>225</v>
      </c>
      <c r="AC109" s="230" t="s">
        <v>304</v>
      </c>
      <c r="AD109" s="242" t="s">
        <v>16</v>
      </c>
      <c r="AE109" s="231">
        <v>45202</v>
      </c>
      <c r="AF109" s="219" t="s">
        <v>3151</v>
      </c>
      <c r="AG109" s="232">
        <v>11.22</v>
      </c>
      <c r="AH109" s="232">
        <v>10.27</v>
      </c>
      <c r="AI109" s="245" t="s">
        <v>304</v>
      </c>
      <c r="AJ109" s="233">
        <v>103570</v>
      </c>
      <c r="AK109" s="234">
        <v>45300</v>
      </c>
      <c r="AL109" s="252" t="s">
        <v>3152</v>
      </c>
    </row>
    <row r="110" spans="1:38" s="236" customFormat="1" ht="39.6" x14ac:dyDescent="0.3">
      <c r="A110" s="257">
        <v>45187</v>
      </c>
      <c r="B110" s="218" t="s">
        <v>3153</v>
      </c>
      <c r="C110" s="325" t="s">
        <v>2466</v>
      </c>
      <c r="D110" s="222" t="str">
        <f>VLOOKUP($C110,Customers!$A$2:$Z$1010,2,FALSE)</f>
        <v>Jacky Law</v>
      </c>
      <c r="E110" s="583" t="s">
        <v>16</v>
      </c>
      <c r="F110" s="222" t="str">
        <f xml:space="preserve"> VLOOKUP($C110,Customers!$A$2:$Z$1010,5,FALSE)</f>
        <v>Nautilus Environmental Company Inc. - Burnaby</v>
      </c>
      <c r="G110" s="222" t="str">
        <f>VLOOKUP($C110,Customers!$A$2:$Z$1010,10,FALSE) &amp; ", " &amp; VLOOKUP($C110,Customers!$A$2:$Z$1010,11,FALSE)</f>
        <v>Burnaby, BC</v>
      </c>
      <c r="H110" s="222" t="str">
        <f>VLOOKUP($C110,Customers!$A$2:$Z$1010,13,FALSE)</f>
        <v>Canada</v>
      </c>
      <c r="I110" s="222" t="str">
        <f>VLOOKUP($C110,Customers!$A$2:$Z$1010,18,FALSE)</f>
        <v>CC</v>
      </c>
      <c r="J110" s="218" t="s">
        <v>304</v>
      </c>
      <c r="K110" s="224">
        <v>37</v>
      </c>
      <c r="L110" s="253">
        <v>1</v>
      </c>
      <c r="M110" s="224">
        <v>15</v>
      </c>
      <c r="N110" s="253">
        <f>1</f>
        <v>1</v>
      </c>
      <c r="O110" s="243" t="s">
        <v>16</v>
      </c>
      <c r="P110" s="224">
        <v>0</v>
      </c>
      <c r="Q110" s="243" t="s">
        <v>16</v>
      </c>
      <c r="R110" s="224">
        <v>0</v>
      </c>
      <c r="S110" s="224" t="s">
        <v>16</v>
      </c>
      <c r="T110" s="226" t="s">
        <v>3092</v>
      </c>
      <c r="U110" s="226" t="s">
        <v>417</v>
      </c>
      <c r="V110" s="227">
        <v>200</v>
      </c>
      <c r="W110" s="228" t="s">
        <v>16</v>
      </c>
      <c r="X110" s="228" t="s">
        <v>16</v>
      </c>
      <c r="Y110" s="228" t="s">
        <v>16</v>
      </c>
      <c r="Z110" s="240">
        <f>200</f>
        <v>200</v>
      </c>
      <c r="AA110" s="230">
        <v>30</v>
      </c>
      <c r="AB110" s="229">
        <f t="shared" si="27"/>
        <v>230</v>
      </c>
      <c r="AC110" s="230" t="s">
        <v>304</v>
      </c>
      <c r="AD110" s="242" t="s">
        <v>3154</v>
      </c>
      <c r="AE110" s="231">
        <v>45188</v>
      </c>
      <c r="AF110" s="219" t="s">
        <v>3155</v>
      </c>
      <c r="AG110" s="232">
        <v>17.7</v>
      </c>
      <c r="AH110" s="232">
        <v>21.32</v>
      </c>
      <c r="AI110" s="241" t="s">
        <v>304</v>
      </c>
      <c r="AJ110" s="233">
        <v>103484</v>
      </c>
      <c r="AK110" s="231">
        <v>45258</v>
      </c>
      <c r="AL110" s="252" t="s">
        <v>3156</v>
      </c>
    </row>
    <row r="111" spans="1:38" s="236" customFormat="1" ht="39.6" x14ac:dyDescent="0.3">
      <c r="A111" s="257">
        <v>45188</v>
      </c>
      <c r="B111" s="218" t="s">
        <v>3157</v>
      </c>
      <c r="C111" s="325" t="s">
        <v>2257</v>
      </c>
      <c r="D111" s="222" t="str">
        <f>VLOOKUP($C111,Customers!$A$2:$Z$1010,2,FALSE)</f>
        <v>Tyson Bouchard</v>
      </c>
      <c r="E111" s="583" t="s">
        <v>16</v>
      </c>
      <c r="F111" s="222" t="str">
        <f xml:space="preserve"> VLOOKUP($C111,Customers!$A$2:$Z$1010,5,FALSE)</f>
        <v>Lakehead University</v>
      </c>
      <c r="G111" s="222" t="str">
        <f>VLOOKUP($C111,Customers!$A$2:$Z$1010,10,FALSE) &amp; ", " &amp; VLOOKUP($C111,Customers!$A$2:$Z$1010,11,FALSE)</f>
        <v>Thunder Bay, ON</v>
      </c>
      <c r="H111" s="222" t="str">
        <f>VLOOKUP($C111,Customers!$A$2:$Z$1010,13,FALSE)</f>
        <v>Canada</v>
      </c>
      <c r="I111" s="222" t="str">
        <f>VLOOKUP($C111,Customers!$A$2:$Z$1010,18,FALSE)</f>
        <v>CA</v>
      </c>
      <c r="J111" s="218" t="s">
        <v>304</v>
      </c>
      <c r="K111" s="224">
        <v>37</v>
      </c>
      <c r="L111" s="253">
        <v>1</v>
      </c>
      <c r="M111" s="224">
        <v>45</v>
      </c>
      <c r="N111" s="253">
        <f>1</f>
        <v>1</v>
      </c>
      <c r="O111" s="243" t="s">
        <v>16</v>
      </c>
      <c r="P111" s="224">
        <v>0</v>
      </c>
      <c r="Q111" s="243" t="s">
        <v>16</v>
      </c>
      <c r="R111" s="224">
        <v>0</v>
      </c>
      <c r="S111" s="224" t="s">
        <v>16</v>
      </c>
      <c r="T111" s="226" t="s">
        <v>3158</v>
      </c>
      <c r="U111" s="226" t="s">
        <v>1322</v>
      </c>
      <c r="V111" s="227">
        <v>195</v>
      </c>
      <c r="W111" s="228" t="s">
        <v>16</v>
      </c>
      <c r="X111" s="228" t="s">
        <v>16</v>
      </c>
      <c r="Y111" s="228" t="s">
        <v>16</v>
      </c>
      <c r="Z111" s="240">
        <f>195</f>
        <v>195</v>
      </c>
      <c r="AA111" s="230">
        <v>25</v>
      </c>
      <c r="AB111" s="229">
        <f t="shared" si="27"/>
        <v>220</v>
      </c>
      <c r="AC111" s="230" t="s">
        <v>304</v>
      </c>
      <c r="AD111" s="242" t="s">
        <v>16</v>
      </c>
      <c r="AE111" s="231">
        <v>45194</v>
      </c>
      <c r="AF111" s="219" t="s">
        <v>3159</v>
      </c>
      <c r="AG111" s="232">
        <v>19.739999999999998</v>
      </c>
      <c r="AH111" s="232">
        <v>18.059999999999999</v>
      </c>
      <c r="AI111" s="245" t="s">
        <v>304</v>
      </c>
      <c r="AJ111" s="328">
        <v>103348</v>
      </c>
      <c r="AK111" s="231">
        <v>45279</v>
      </c>
      <c r="AL111" s="252" t="s">
        <v>1699</v>
      </c>
    </row>
    <row r="112" spans="1:38" s="236" customFormat="1" ht="26.4" x14ac:dyDescent="0.3">
      <c r="A112" s="257">
        <v>45188</v>
      </c>
      <c r="B112" s="218" t="s">
        <v>3160</v>
      </c>
      <c r="C112" s="283" t="s">
        <v>2524</v>
      </c>
      <c r="D112" s="222" t="str">
        <f>VLOOKUP($C112,Customers!$A$2:$Z$1010,2,FALSE)</f>
        <v>Monica Emelko</v>
      </c>
      <c r="E112" s="342" t="s">
        <v>3161</v>
      </c>
      <c r="F112" s="222" t="str">
        <f xml:space="preserve"> VLOOKUP($C112,Customers!$A$2:$Z$1010,5,FALSE)</f>
        <v>University of Waterloo</v>
      </c>
      <c r="G112" s="222" t="str">
        <f>VLOOKUP($C112,Customers!$A$2:$Z$1010,10,FALSE) &amp; ", " &amp; VLOOKUP($C112,Customers!$A$2:$Z$1010,11,FALSE)</f>
        <v>Waterloo, ON</v>
      </c>
      <c r="H112" s="222" t="str">
        <f>VLOOKUP($C112,Customers!$A$2:$Z$1010,13,FALSE)</f>
        <v>Canada</v>
      </c>
      <c r="I112" s="222" t="str">
        <f>VLOOKUP($C112,Customers!$A$2:$Z$1010,18,FALSE)</f>
        <v>CA</v>
      </c>
      <c r="J112" s="218" t="s">
        <v>306</v>
      </c>
      <c r="K112" s="243" t="s">
        <v>16</v>
      </c>
      <c r="L112" s="253">
        <v>0</v>
      </c>
      <c r="M112" s="224">
        <v>0</v>
      </c>
      <c r="N112" s="253">
        <v>0</v>
      </c>
      <c r="O112" s="224" t="s">
        <v>3162</v>
      </c>
      <c r="P112" s="647">
        <v>1</v>
      </c>
      <c r="Q112" s="243" t="s">
        <v>3163</v>
      </c>
      <c r="R112" s="224">
        <v>5</v>
      </c>
      <c r="S112" s="224" t="s">
        <v>16</v>
      </c>
      <c r="T112" s="226" t="s">
        <v>3164</v>
      </c>
      <c r="U112" s="226" t="s">
        <v>3165</v>
      </c>
      <c r="V112" s="228" t="s">
        <v>16</v>
      </c>
      <c r="W112" s="227">
        <v>55</v>
      </c>
      <c r="X112" s="227">
        <v>5</v>
      </c>
      <c r="Y112" s="228" t="s">
        <v>16</v>
      </c>
      <c r="Z112" s="240">
        <f>55+5</f>
        <v>60</v>
      </c>
      <c r="AA112" s="230" t="s">
        <v>308</v>
      </c>
      <c r="AB112" s="229">
        <f t="shared" si="27"/>
        <v>60</v>
      </c>
      <c r="AC112" s="230" t="s">
        <v>304</v>
      </c>
      <c r="AD112" s="242" t="s">
        <v>16</v>
      </c>
      <c r="AE112" s="231">
        <v>45190</v>
      </c>
      <c r="AF112" s="231" t="s">
        <v>3166</v>
      </c>
      <c r="AG112" s="232" t="s">
        <v>308</v>
      </c>
      <c r="AH112" s="232" t="s">
        <v>308</v>
      </c>
      <c r="AI112" s="245" t="s">
        <v>308</v>
      </c>
      <c r="AJ112" s="223" t="s">
        <v>308</v>
      </c>
      <c r="AK112" s="234">
        <v>45293</v>
      </c>
      <c r="AL112" s="252" t="s">
        <v>3167</v>
      </c>
    </row>
    <row r="113" spans="1:38" s="236" customFormat="1" ht="52.8" x14ac:dyDescent="0.3">
      <c r="A113" s="257">
        <v>45196</v>
      </c>
      <c r="B113" s="218" t="s">
        <v>3168</v>
      </c>
      <c r="C113" s="283" t="s">
        <v>1045</v>
      </c>
      <c r="D113" s="222" t="str">
        <f>VLOOKUP($C113,Customers!$A$2:$Z$1010,2,FALSE)</f>
        <v>Adam Wartman</v>
      </c>
      <c r="E113" s="583" t="s">
        <v>2313</v>
      </c>
      <c r="F113" s="222" t="str">
        <f xml:space="preserve"> VLOOKUP($C113,Customers!$A$2:$Z$1010,5,FALSE)</f>
        <v>Nautilus Environmental Company Inc. - Guelph</v>
      </c>
      <c r="G113" s="222" t="str">
        <f>VLOOKUP($C113,Customers!$A$2:$Z$1010,10,FALSE) &amp; ", " &amp; VLOOKUP($C113,Customers!$A$2:$Z$1010,11,FALSE)</f>
        <v>Puslinch, ON</v>
      </c>
      <c r="H113" s="222" t="str">
        <f>VLOOKUP($C113,Customers!$A$2:$Z$1010,13,FALSE)</f>
        <v>Canada</v>
      </c>
      <c r="I113" s="222" t="str">
        <f>VLOOKUP($C113,Customers!$A$2:$Z$1010,18,FALSE)</f>
        <v>CC</v>
      </c>
      <c r="J113" s="218" t="s">
        <v>306</v>
      </c>
      <c r="K113" s="243" t="s">
        <v>16</v>
      </c>
      <c r="L113" s="333">
        <v>0</v>
      </c>
      <c r="M113" s="224">
        <v>0</v>
      </c>
      <c r="N113" s="333">
        <v>0</v>
      </c>
      <c r="O113" s="243" t="s">
        <v>16</v>
      </c>
      <c r="P113" s="224">
        <v>0</v>
      </c>
      <c r="Q113" s="224" t="s">
        <v>318</v>
      </c>
      <c r="R113" s="224">
        <v>1000</v>
      </c>
      <c r="S113" s="224" t="s">
        <v>16</v>
      </c>
      <c r="T113" s="226" t="s">
        <v>2722</v>
      </c>
      <c r="U113" s="226" t="s">
        <v>2723</v>
      </c>
      <c r="V113" s="228" t="s">
        <v>16</v>
      </c>
      <c r="W113" s="228" t="s">
        <v>16</v>
      </c>
      <c r="X113" s="227">
        <f>365+10</f>
        <v>375</v>
      </c>
      <c r="Y113" s="228" t="s">
        <v>16</v>
      </c>
      <c r="Z113" s="230">
        <f>365+10</f>
        <v>375</v>
      </c>
      <c r="AA113" s="230">
        <v>25</v>
      </c>
      <c r="AB113" s="229">
        <f t="shared" si="27"/>
        <v>400</v>
      </c>
      <c r="AC113" s="230" t="s">
        <v>304</v>
      </c>
      <c r="AD113" s="242" t="s">
        <v>16</v>
      </c>
      <c r="AE113" s="231">
        <v>45201</v>
      </c>
      <c r="AF113" s="219" t="s">
        <v>3169</v>
      </c>
      <c r="AG113" s="232">
        <v>5.9</v>
      </c>
      <c r="AH113" s="232">
        <v>5.4</v>
      </c>
      <c r="AI113" s="245" t="s">
        <v>304</v>
      </c>
      <c r="AJ113" s="233">
        <v>102886</v>
      </c>
      <c r="AK113" s="231">
        <v>45279</v>
      </c>
      <c r="AL113" s="235" t="s">
        <v>3170</v>
      </c>
    </row>
    <row r="114" spans="1:38" s="281" customFormat="1" ht="40.200000000000003" thickBot="1" x14ac:dyDescent="0.35">
      <c r="A114" s="297">
        <v>45196</v>
      </c>
      <c r="B114" s="262" t="s">
        <v>3171</v>
      </c>
      <c r="C114" s="284" t="s">
        <v>2306</v>
      </c>
      <c r="D114" s="264" t="str">
        <f>VLOOKUP($C114,Customers!$A$2:$Z$1010,2,FALSE)</f>
        <v>Megan Bauer</v>
      </c>
      <c r="E114" s="584" t="s">
        <v>16</v>
      </c>
      <c r="F114" s="264" t="str">
        <f xml:space="preserve"> VLOOKUP($C114,Customers!$A$2:$Z$1010,5,FALSE)</f>
        <v>Environment and Climate Change Canada (ECCC) - Atlantic Laboratory for Environmental Testing (ALET)</v>
      </c>
      <c r="G114" s="264" t="str">
        <f>VLOOKUP($C114,Customers!$A$2:$Z$1010,10,FALSE) &amp; ", " &amp; VLOOKUP($C114,Customers!$A$2:$Z$1010,11,FALSE)</f>
        <v>Moncton, NB</v>
      </c>
      <c r="H114" s="264" t="str">
        <f>VLOOKUP($C114,Customers!$A$2:$Z$1010,13,FALSE)</f>
        <v>Canada</v>
      </c>
      <c r="I114" s="264" t="str">
        <f>VLOOKUP($C114,Customers!$A$2:$Z$1010,18,FALSE)</f>
        <v>CG</v>
      </c>
      <c r="J114" s="262" t="s">
        <v>306</v>
      </c>
      <c r="K114" s="261">
        <v>715</v>
      </c>
      <c r="L114" s="285">
        <v>1</v>
      </c>
      <c r="M114" s="261">
        <v>30</v>
      </c>
      <c r="N114" s="285">
        <f>2</f>
        <v>2</v>
      </c>
      <c r="O114" s="266" t="s">
        <v>16</v>
      </c>
      <c r="P114" s="261">
        <v>0</v>
      </c>
      <c r="Q114" s="261" t="s">
        <v>318</v>
      </c>
      <c r="R114" s="261">
        <v>500</v>
      </c>
      <c r="S114" s="261" t="s">
        <v>16</v>
      </c>
      <c r="T114" s="269" t="s">
        <v>3172</v>
      </c>
      <c r="U114" s="269" t="s">
        <v>3173</v>
      </c>
      <c r="V114" s="271">
        <v>175</v>
      </c>
      <c r="W114" s="270" t="s">
        <v>16</v>
      </c>
      <c r="X114" s="271">
        <v>180</v>
      </c>
      <c r="Y114" s="270" t="s">
        <v>16</v>
      </c>
      <c r="Z114" s="272">
        <f>175+180</f>
        <v>355</v>
      </c>
      <c r="AA114" s="274">
        <f>35+5</f>
        <v>40</v>
      </c>
      <c r="AB114" s="273">
        <f t="shared" si="27"/>
        <v>395</v>
      </c>
      <c r="AC114" s="274" t="s">
        <v>304</v>
      </c>
      <c r="AD114" s="654" t="s">
        <v>16</v>
      </c>
      <c r="AE114" s="276">
        <v>45202</v>
      </c>
      <c r="AF114" s="263" t="s">
        <v>3174</v>
      </c>
      <c r="AG114" s="277">
        <v>33.57</v>
      </c>
      <c r="AH114" s="277">
        <v>30.34</v>
      </c>
      <c r="AI114" s="296" t="s">
        <v>304</v>
      </c>
      <c r="AJ114" s="265">
        <v>103165</v>
      </c>
      <c r="AK114" s="276">
        <v>45279</v>
      </c>
      <c r="AL114" s="280" t="s">
        <v>1170</v>
      </c>
    </row>
    <row r="115" spans="1:38" s="236" customFormat="1" ht="92.4" x14ac:dyDescent="0.3">
      <c r="A115" s="250">
        <v>45211</v>
      </c>
      <c r="B115" s="334" t="s">
        <v>3175</v>
      </c>
      <c r="C115" s="283" t="s">
        <v>1037</v>
      </c>
      <c r="D115" s="222" t="str">
        <f>VLOOKUP($C115,Customers!$A$2:$Z$1010,2,FALSE)</f>
        <v>Joshua (Josh) Arnie</v>
      </c>
      <c r="E115" s="583" t="s">
        <v>16</v>
      </c>
      <c r="F115" s="222" t="str">
        <f xml:space="preserve"> VLOOKUP($C115,Customers!$A$2:$Z$1010,5,FALSE)</f>
        <v>Eurofins EAG Agroscience Services</v>
      </c>
      <c r="G115" s="222" t="str">
        <f>VLOOKUP($C115,Customers!$A$2:$Z$1010,10,FALSE) &amp; ", " &amp; VLOOKUP($C115,Customers!$A$2:$Z$1010,11,FALSE)</f>
        <v>Easton, MD</v>
      </c>
      <c r="H115" s="222" t="str">
        <f>VLOOKUP($C115,Customers!$A$2:$Z$1010,13,FALSE)</f>
        <v>USA</v>
      </c>
      <c r="I115" s="222" t="str">
        <f>VLOOKUP($C115,Customers!$A$2:$Z$1010,18,FALSE)</f>
        <v>IC</v>
      </c>
      <c r="J115" s="259" t="s">
        <v>306</v>
      </c>
      <c r="K115" s="224" t="s">
        <v>3176</v>
      </c>
      <c r="L115" s="259">
        <v>3</v>
      </c>
      <c r="M115" s="224" t="s">
        <v>1982</v>
      </c>
      <c r="N115" s="259">
        <f>1+1+1</f>
        <v>3</v>
      </c>
      <c r="O115" s="243" t="s">
        <v>16</v>
      </c>
      <c r="P115" s="224">
        <v>0</v>
      </c>
      <c r="Q115" s="243" t="s">
        <v>16</v>
      </c>
      <c r="R115" s="224">
        <v>0</v>
      </c>
      <c r="S115" s="224" t="s">
        <v>16</v>
      </c>
      <c r="T115" s="226" t="s">
        <v>3177</v>
      </c>
      <c r="U115" s="226" t="s">
        <v>3178</v>
      </c>
      <c r="V115" s="232">
        <f>200*3</f>
        <v>600</v>
      </c>
      <c r="W115" s="228" t="s">
        <v>16</v>
      </c>
      <c r="X115" s="228" t="s">
        <v>16</v>
      </c>
      <c r="Y115" s="228" t="s">
        <v>16</v>
      </c>
      <c r="Z115" s="240">
        <f>200*3</f>
        <v>600</v>
      </c>
      <c r="AA115" s="240">
        <f>65+25</f>
        <v>90</v>
      </c>
      <c r="AB115" s="240">
        <f t="shared" ref="AB115:AB117" si="29">SUM(Z115:AA115)</f>
        <v>690</v>
      </c>
      <c r="AC115" s="230" t="s">
        <v>304</v>
      </c>
      <c r="AD115" s="656" t="s">
        <v>16</v>
      </c>
      <c r="AE115" s="231">
        <v>45216</v>
      </c>
      <c r="AF115" s="219" t="s">
        <v>3179</v>
      </c>
      <c r="AG115" s="232">
        <v>66.37</v>
      </c>
      <c r="AH115" s="232">
        <v>60.45</v>
      </c>
      <c r="AI115" s="248" t="s">
        <v>304</v>
      </c>
      <c r="AJ115" s="218">
        <v>108766</v>
      </c>
      <c r="AK115" s="231">
        <v>45279</v>
      </c>
      <c r="AL115" s="327" t="s">
        <v>3180</v>
      </c>
    </row>
    <row r="116" spans="1:38" s="236" customFormat="1" ht="105.6" x14ac:dyDescent="0.3">
      <c r="A116" s="257">
        <v>45215</v>
      </c>
      <c r="B116" s="218" t="s">
        <v>3181</v>
      </c>
      <c r="C116" s="222" t="s">
        <v>2482</v>
      </c>
      <c r="D116" s="222" t="str">
        <f>VLOOKUP($C116,Customers!$A$2:$Z$1010,2,FALSE)</f>
        <v>Katrin Zwirglmaier</v>
      </c>
      <c r="E116" s="583" t="s">
        <v>1623</v>
      </c>
      <c r="F116" s="222" t="str">
        <f xml:space="preserve"> VLOOKUP($C116,Customers!$A$2:$Z$1010,5,FALSE)</f>
        <v>Institut fuer Mikrobiologie der Bundeswehr</v>
      </c>
      <c r="G116" s="222" t="str">
        <f>VLOOKUP($C116,Customers!$A$2:$Z$1010,10,FALSE) &amp; ", " &amp; VLOOKUP($C116,Customers!$A$2:$Z$1010,11,FALSE)</f>
        <v>Muenchen, Bavaria (BY)</v>
      </c>
      <c r="H116" s="222" t="str">
        <f>VLOOKUP($C116,Customers!$A$2:$Z$1010,13,FALSE)</f>
        <v>Germany</v>
      </c>
      <c r="I116" s="222" t="str">
        <f>VLOOKUP($C116,Customers!$A$2:$Z$1010,18,FALSE)</f>
        <v>IG</v>
      </c>
      <c r="J116" s="218" t="s">
        <v>304</v>
      </c>
      <c r="K116" s="224" t="s">
        <v>3182</v>
      </c>
      <c r="L116" s="259">
        <v>13</v>
      </c>
      <c r="M116" s="224" t="s">
        <v>3183</v>
      </c>
      <c r="N116" s="259">
        <f>1+1+1+1+1+1+1+1+1+1+1+1+1</f>
        <v>13</v>
      </c>
      <c r="O116" s="224" t="s">
        <v>3184</v>
      </c>
      <c r="P116" s="224" t="s">
        <v>3185</v>
      </c>
      <c r="Q116" s="243" t="s">
        <v>16</v>
      </c>
      <c r="R116" s="224">
        <v>0</v>
      </c>
      <c r="S116" s="224" t="s">
        <v>16</v>
      </c>
      <c r="T116" s="226" t="s">
        <v>3186</v>
      </c>
      <c r="U116" s="226" t="s">
        <v>3187</v>
      </c>
      <c r="V116" s="227">
        <f>160*13</f>
        <v>2080</v>
      </c>
      <c r="W116" s="227">
        <f>65*3</f>
        <v>195</v>
      </c>
      <c r="X116" s="228" t="s">
        <v>16</v>
      </c>
      <c r="Y116" s="228" t="s">
        <v>16</v>
      </c>
      <c r="Z116" s="240">
        <f>(160*13)+(65*3)</f>
        <v>2275</v>
      </c>
      <c r="AA116" s="240">
        <v>175</v>
      </c>
      <c r="AB116" s="240">
        <f t="shared" si="29"/>
        <v>2450</v>
      </c>
      <c r="AC116" s="230" t="s">
        <v>304</v>
      </c>
      <c r="AD116" s="242" t="s">
        <v>3188</v>
      </c>
      <c r="AE116" s="238">
        <v>45348</v>
      </c>
      <c r="AF116" s="219" t="s">
        <v>3189</v>
      </c>
      <c r="AG116" s="232">
        <v>116.61</v>
      </c>
      <c r="AH116" s="241">
        <f>116.61+138.11+33.36</f>
        <v>288.08000000000004</v>
      </c>
      <c r="AI116" s="239" t="s">
        <v>304</v>
      </c>
      <c r="AJ116" s="223">
        <v>111526</v>
      </c>
      <c r="AK116" s="234">
        <v>45408</v>
      </c>
      <c r="AL116" s="255" t="s">
        <v>1622</v>
      </c>
    </row>
    <row r="117" spans="1:38" s="236" customFormat="1" ht="39.6" x14ac:dyDescent="0.3">
      <c r="A117" s="257">
        <v>45215</v>
      </c>
      <c r="B117" s="224" t="s">
        <v>3190</v>
      </c>
      <c r="C117" s="222" t="s">
        <v>2583</v>
      </c>
      <c r="D117" s="222" t="str">
        <f>VLOOKUP($C117,Customers!$A$2:$Z$1010,2,FALSE)</f>
        <v>Gauri Prabhakar</v>
      </c>
      <c r="E117" s="583" t="s">
        <v>2117</v>
      </c>
      <c r="F117" s="222" t="str">
        <f xml:space="preserve"> VLOOKUP($C117,Customers!$A$2:$Z$1010,5,FALSE)</f>
        <v>Natural Resources Canada – CanmetMINING LMS Environmental Risk Management Program Ottawa</v>
      </c>
      <c r="G117" s="222" t="str">
        <f>VLOOKUP($C117,Customers!$A$2:$Z$1010,10,FALSE) &amp; ", " &amp; VLOOKUP($C117,Customers!$A$2:$Z$1010,11,FALSE)</f>
        <v>Ottawa, ON</v>
      </c>
      <c r="H117" s="222" t="str">
        <f>VLOOKUP($C117,Customers!$A$2:$Z$1010,13,FALSE)</f>
        <v>Canada</v>
      </c>
      <c r="I117" s="222" t="str">
        <f>VLOOKUP($C117,Customers!$A$2:$Z$1010,18,FALSE)</f>
        <v>CG</v>
      </c>
      <c r="J117" s="335" t="s">
        <v>304</v>
      </c>
      <c r="K117" s="243" t="s">
        <v>16</v>
      </c>
      <c r="L117" s="335">
        <v>0</v>
      </c>
      <c r="M117" s="224">
        <v>0</v>
      </c>
      <c r="N117" s="335">
        <v>0</v>
      </c>
      <c r="O117" s="243" t="s">
        <v>16</v>
      </c>
      <c r="P117" s="224">
        <v>0</v>
      </c>
      <c r="Q117" s="243" t="s">
        <v>16</v>
      </c>
      <c r="R117" s="224">
        <v>0</v>
      </c>
      <c r="S117" s="224" t="s">
        <v>2303</v>
      </c>
      <c r="T117" s="237" t="s">
        <v>421</v>
      </c>
      <c r="U117" s="226" t="s">
        <v>3191</v>
      </c>
      <c r="V117" s="228" t="s">
        <v>16</v>
      </c>
      <c r="W117" s="228" t="s">
        <v>16</v>
      </c>
      <c r="X117" s="228" t="s">
        <v>16</v>
      </c>
      <c r="Y117" s="227">
        <f>(475*2)+(237.5*2)</f>
        <v>1425</v>
      </c>
      <c r="Z117" s="241">
        <f>(475*2)+(237.5*2)</f>
        <v>1425</v>
      </c>
      <c r="AA117" s="240" t="s">
        <v>308</v>
      </c>
      <c r="AB117" s="240">
        <f t="shared" si="29"/>
        <v>1425</v>
      </c>
      <c r="AC117" s="240" t="s">
        <v>308</v>
      </c>
      <c r="AD117" s="242" t="s">
        <v>16</v>
      </c>
      <c r="AE117" s="238" t="s">
        <v>3192</v>
      </c>
      <c r="AF117" s="218" t="s">
        <v>308</v>
      </c>
      <c r="AG117" s="241" t="s">
        <v>308</v>
      </c>
      <c r="AH117" s="241" t="s">
        <v>308</v>
      </c>
      <c r="AI117" s="230" t="s">
        <v>304</v>
      </c>
      <c r="AJ117" s="233">
        <v>104318</v>
      </c>
      <c r="AK117" s="234">
        <v>45310</v>
      </c>
      <c r="AL117" s="252" t="s">
        <v>3193</v>
      </c>
    </row>
    <row r="118" spans="1:38" s="236" customFormat="1" ht="39.6" customHeight="1" x14ac:dyDescent="0.3">
      <c r="A118" s="257">
        <v>45216</v>
      </c>
      <c r="B118" s="224" t="s">
        <v>3194</v>
      </c>
      <c r="C118" s="283" t="s">
        <v>2583</v>
      </c>
      <c r="D118" s="222" t="str">
        <f>VLOOKUP($C118,Customers!$A$2:$Z$1010,2,FALSE)</f>
        <v>Gauri Prabhakar</v>
      </c>
      <c r="E118" s="583" t="s">
        <v>2117</v>
      </c>
      <c r="F118" s="222" t="str">
        <f xml:space="preserve"> VLOOKUP($C118,Customers!$A$2:$Z$1010,5,FALSE)</f>
        <v>Natural Resources Canada – CanmetMINING LMS Environmental Risk Management Program Ottawa</v>
      </c>
      <c r="G118" s="222" t="str">
        <f>VLOOKUP($C118,Customers!$A$2:$Z$1010,10,FALSE) &amp; ", " &amp; VLOOKUP($C118,Customers!$A$2:$Z$1010,11,FALSE)</f>
        <v>Ottawa, ON</v>
      </c>
      <c r="H118" s="222" t="str">
        <f>VLOOKUP($C118,Customers!$A$2:$Z$1010,13,FALSE)</f>
        <v>Canada</v>
      </c>
      <c r="I118" s="222" t="str">
        <f>VLOOKUP($C118,Customers!$A$2:$Z$1010,18,FALSE)</f>
        <v>CG</v>
      </c>
      <c r="J118" s="1165" t="s">
        <v>306</v>
      </c>
      <c r="K118" s="224" t="s">
        <v>3195</v>
      </c>
      <c r="L118" s="335">
        <v>2</v>
      </c>
      <c r="M118" s="224" t="s">
        <v>1978</v>
      </c>
      <c r="N118" s="335">
        <f>2+2</f>
        <v>4</v>
      </c>
      <c r="O118" s="243" t="s">
        <v>16</v>
      </c>
      <c r="P118" s="224">
        <v>0</v>
      </c>
      <c r="Q118" s="243" t="s">
        <v>16</v>
      </c>
      <c r="R118" s="224">
        <v>0</v>
      </c>
      <c r="S118" s="224" t="s">
        <v>16</v>
      </c>
      <c r="T118" s="291" t="s">
        <v>3196</v>
      </c>
      <c r="U118" s="226" t="s">
        <v>1198</v>
      </c>
      <c r="V118" s="227">
        <f>175*2</f>
        <v>350</v>
      </c>
      <c r="W118" s="228" t="s">
        <v>16</v>
      </c>
      <c r="X118" s="228" t="s">
        <v>16</v>
      </c>
      <c r="Y118" s="228" t="s">
        <v>16</v>
      </c>
      <c r="Z118" s="241">
        <f>(175*2)</f>
        <v>350</v>
      </c>
      <c r="AA118" s="240">
        <v>25</v>
      </c>
      <c r="AB118" s="1140">
        <f>SUM(Z118:AA119)</f>
        <v>505</v>
      </c>
      <c r="AC118" s="230" t="s">
        <v>304</v>
      </c>
      <c r="AD118" s="242" t="s">
        <v>16</v>
      </c>
      <c r="AE118" s="231">
        <v>45252</v>
      </c>
      <c r="AF118" s="219" t="s">
        <v>3197</v>
      </c>
      <c r="AG118" s="232">
        <v>5.9</v>
      </c>
      <c r="AH118" s="232">
        <v>5.4</v>
      </c>
      <c r="AI118" s="1159" t="s">
        <v>304</v>
      </c>
      <c r="AJ118" s="1144">
        <v>104318</v>
      </c>
      <c r="AK118" s="709">
        <v>45310</v>
      </c>
      <c r="AL118" s="1145" t="s">
        <v>1789</v>
      </c>
    </row>
    <row r="119" spans="1:38" s="236" customFormat="1" ht="66" x14ac:dyDescent="0.3">
      <c r="A119" s="257">
        <v>45216</v>
      </c>
      <c r="B119" s="224" t="s">
        <v>3198</v>
      </c>
      <c r="C119" s="283" t="s">
        <v>2583</v>
      </c>
      <c r="D119" s="222" t="str">
        <f>VLOOKUP($C119,Customers!$A$2:$Z$1010,2,FALSE)</f>
        <v>Gauri Prabhakar</v>
      </c>
      <c r="E119" s="583" t="s">
        <v>2117</v>
      </c>
      <c r="F119" s="222" t="str">
        <f xml:space="preserve"> VLOOKUP($C119,Customers!$A$2:$Z$1010,5,FALSE)</f>
        <v>Natural Resources Canada – CanmetMINING LMS Environmental Risk Management Program Ottawa</v>
      </c>
      <c r="G119" s="222" t="str">
        <f>VLOOKUP($C119,Customers!$A$2:$Z$1010,10,FALSE) &amp; ", " &amp; VLOOKUP($C119,Customers!$A$2:$Z$1010,11,FALSE)</f>
        <v>Ottawa, ON</v>
      </c>
      <c r="H119" s="222" t="str">
        <f>VLOOKUP($C119,Customers!$A$2:$Z$1010,13,FALSE)</f>
        <v>Canada</v>
      </c>
      <c r="I119" s="222" t="str">
        <f>VLOOKUP($C119,Customers!$A$2:$Z$1010,18,FALSE)</f>
        <v>CG</v>
      </c>
      <c r="J119" s="1165"/>
      <c r="K119" s="243" t="s">
        <v>16</v>
      </c>
      <c r="L119" s="335">
        <v>0</v>
      </c>
      <c r="M119" s="224">
        <v>0</v>
      </c>
      <c r="N119" s="335">
        <v>0</v>
      </c>
      <c r="O119" s="243" t="s">
        <v>16</v>
      </c>
      <c r="P119" s="224">
        <v>0</v>
      </c>
      <c r="Q119" s="224" t="s">
        <v>3199</v>
      </c>
      <c r="R119" s="224" t="s">
        <v>3200</v>
      </c>
      <c r="S119" s="224" t="s">
        <v>16</v>
      </c>
      <c r="T119" s="291" t="s">
        <v>3201</v>
      </c>
      <c r="U119" s="226" t="s">
        <v>4091</v>
      </c>
      <c r="V119" s="228" t="s">
        <v>16</v>
      </c>
      <c r="W119" s="228" t="s">
        <v>16</v>
      </c>
      <c r="X119" s="227">
        <f>65*2</f>
        <v>130</v>
      </c>
      <c r="Y119" s="228" t="s">
        <v>16</v>
      </c>
      <c r="Z119" s="241">
        <f>(65*2)</f>
        <v>130</v>
      </c>
      <c r="AA119" s="240" t="s">
        <v>308</v>
      </c>
      <c r="AB119" s="1140"/>
      <c r="AC119" s="230" t="s">
        <v>304</v>
      </c>
      <c r="AD119" s="242" t="s">
        <v>16</v>
      </c>
      <c r="AE119" s="238">
        <v>45226</v>
      </c>
      <c r="AF119" s="219" t="s">
        <v>3202</v>
      </c>
      <c r="AG119" s="241" t="s">
        <v>308</v>
      </c>
      <c r="AH119" s="241" t="s">
        <v>308</v>
      </c>
      <c r="AI119" s="1159"/>
      <c r="AJ119" s="1144"/>
      <c r="AK119" s="709">
        <v>45310</v>
      </c>
      <c r="AL119" s="1145"/>
    </row>
    <row r="120" spans="1:38" s="236" customFormat="1" ht="52.8" x14ac:dyDescent="0.3">
      <c r="A120" s="257">
        <v>45229</v>
      </c>
      <c r="B120" s="224" t="s">
        <v>3203</v>
      </c>
      <c r="C120" s="283" t="s">
        <v>1049</v>
      </c>
      <c r="D120" s="222" t="str">
        <f>VLOOKUP($C120,Customers!$A$2:$Z$1010,2,FALSE)</f>
        <v>Katheryn Klajman</v>
      </c>
      <c r="E120" s="583" t="s">
        <v>16</v>
      </c>
      <c r="F120" s="222" t="str">
        <f xml:space="preserve"> VLOOKUP($C120,Customers!$A$2:$Z$1010,5,FALSE)</f>
        <v>Testmark Laboratories Ltd.</v>
      </c>
      <c r="G120" s="222" t="str">
        <f>VLOOKUP($C120,Customers!$A$2:$Z$1010,10,FALSE) &amp; ", " &amp; VLOOKUP($C120,Customers!$A$2:$Z$1010,11,FALSE)</f>
        <v>Garson, ON</v>
      </c>
      <c r="H120" s="222" t="str">
        <f>VLOOKUP($C120,Customers!$A$2:$Z$1010,13,FALSE)</f>
        <v>Canada</v>
      </c>
      <c r="I120" s="222" t="str">
        <f>VLOOKUP($C120,Customers!$A$2:$Z$1010,18,FALSE)</f>
        <v>CC</v>
      </c>
      <c r="J120" s="223" t="s">
        <v>306</v>
      </c>
      <c r="K120" s="243" t="s">
        <v>16</v>
      </c>
      <c r="L120" s="251">
        <v>0</v>
      </c>
      <c r="M120" s="224">
        <v>0</v>
      </c>
      <c r="N120" s="251">
        <v>0</v>
      </c>
      <c r="O120" s="224" t="s">
        <v>371</v>
      </c>
      <c r="P120" s="224">
        <v>1</v>
      </c>
      <c r="Q120" s="243" t="s">
        <v>16</v>
      </c>
      <c r="R120" s="224">
        <v>0</v>
      </c>
      <c r="S120" s="224" t="s">
        <v>16</v>
      </c>
      <c r="T120" s="292" t="s">
        <v>3204</v>
      </c>
      <c r="U120" s="313" t="s">
        <v>3205</v>
      </c>
      <c r="V120" s="228" t="s">
        <v>16</v>
      </c>
      <c r="W120" s="314">
        <v>80</v>
      </c>
      <c r="X120" s="228" t="s">
        <v>16</v>
      </c>
      <c r="Y120" s="228" t="s">
        <v>16</v>
      </c>
      <c r="Z120" s="229">
        <f>80</f>
        <v>80</v>
      </c>
      <c r="AA120" s="240">
        <v>25</v>
      </c>
      <c r="AB120" s="282">
        <f>SUM(Z120:AA120)</f>
        <v>105</v>
      </c>
      <c r="AC120" s="230" t="s">
        <v>304</v>
      </c>
      <c r="AD120" s="341" t="s">
        <v>3206</v>
      </c>
      <c r="AE120" s="238">
        <v>45237</v>
      </c>
      <c r="AF120" s="219" t="s">
        <v>3207</v>
      </c>
      <c r="AG120" s="232">
        <v>5.65</v>
      </c>
      <c r="AH120" s="232">
        <v>5.76</v>
      </c>
      <c r="AI120" s="230" t="s">
        <v>304</v>
      </c>
      <c r="AJ120" s="223">
        <v>103703</v>
      </c>
      <c r="AK120" s="234">
        <v>45300</v>
      </c>
      <c r="AL120" s="252" t="s">
        <v>2871</v>
      </c>
    </row>
    <row r="121" spans="1:38" s="236" customFormat="1" ht="52.8" x14ac:dyDescent="0.3">
      <c r="A121" s="257">
        <v>45229</v>
      </c>
      <c r="B121" s="224" t="s">
        <v>3208</v>
      </c>
      <c r="C121" s="283" t="s">
        <v>1045</v>
      </c>
      <c r="D121" s="222" t="str">
        <f>VLOOKUP($C121,Customers!$A$2:$Z$1010,2,FALSE)</f>
        <v>Adam Wartman</v>
      </c>
      <c r="E121" s="583" t="s">
        <v>16</v>
      </c>
      <c r="F121" s="222" t="str">
        <f xml:space="preserve"> VLOOKUP($C121,Customers!$A$2:$Z$1010,5,FALSE)</f>
        <v>Nautilus Environmental Company Inc. - Guelph</v>
      </c>
      <c r="G121" s="222" t="str">
        <f>VLOOKUP($C121,Customers!$A$2:$Z$1010,10,FALSE) &amp; ", " &amp; VLOOKUP($C121,Customers!$A$2:$Z$1010,11,FALSE)</f>
        <v>Puslinch, ON</v>
      </c>
      <c r="H121" s="222" t="str">
        <f>VLOOKUP($C121,Customers!$A$2:$Z$1010,13,FALSE)</f>
        <v>Canada</v>
      </c>
      <c r="I121" s="222" t="str">
        <f>VLOOKUP($C121,Customers!$A$2:$Z$1010,18,FALSE)</f>
        <v>CC</v>
      </c>
      <c r="J121" s="223" t="s">
        <v>306</v>
      </c>
      <c r="K121" s="243" t="s">
        <v>16</v>
      </c>
      <c r="L121" s="251">
        <v>0</v>
      </c>
      <c r="M121" s="224">
        <v>0</v>
      </c>
      <c r="N121" s="251">
        <v>0</v>
      </c>
      <c r="O121" s="243" t="s">
        <v>16</v>
      </c>
      <c r="P121" s="224">
        <v>0</v>
      </c>
      <c r="Q121" s="224" t="s">
        <v>318</v>
      </c>
      <c r="R121" s="224">
        <v>1000</v>
      </c>
      <c r="S121" s="224" t="s">
        <v>16</v>
      </c>
      <c r="T121" s="226" t="s">
        <v>2722</v>
      </c>
      <c r="U121" s="226" t="s">
        <v>2723</v>
      </c>
      <c r="V121" s="228" t="s">
        <v>16</v>
      </c>
      <c r="W121" s="228" t="s">
        <v>16</v>
      </c>
      <c r="X121" s="227">
        <f>365+10</f>
        <v>375</v>
      </c>
      <c r="Y121" s="228" t="s">
        <v>16</v>
      </c>
      <c r="Z121" s="229">
        <f>365+10</f>
        <v>375</v>
      </c>
      <c r="AA121" s="240">
        <v>25</v>
      </c>
      <c r="AB121" s="240">
        <f t="shared" ref="AB121:AB123" si="30">SUM(Z121:AA121)</f>
        <v>400</v>
      </c>
      <c r="AC121" s="230" t="s">
        <v>304</v>
      </c>
      <c r="AD121" s="242" t="s">
        <v>16</v>
      </c>
      <c r="AE121" s="238">
        <v>45236</v>
      </c>
      <c r="AF121" s="219" t="s">
        <v>3209</v>
      </c>
      <c r="AG121" s="232">
        <v>6.54</v>
      </c>
      <c r="AH121" s="241">
        <v>5.99</v>
      </c>
      <c r="AI121" s="239" t="s">
        <v>304</v>
      </c>
      <c r="AJ121" s="233">
        <v>102886</v>
      </c>
      <c r="AK121" s="234">
        <v>45300</v>
      </c>
      <c r="AL121" s="235" t="s">
        <v>2887</v>
      </c>
    </row>
    <row r="122" spans="1:38" s="236" customFormat="1" ht="92.4" x14ac:dyDescent="0.3">
      <c r="A122" s="257">
        <v>45229</v>
      </c>
      <c r="B122" s="224" t="s">
        <v>3210</v>
      </c>
      <c r="C122" s="283" t="s">
        <v>1054</v>
      </c>
      <c r="D122" s="222" t="str">
        <f>VLOOKUP($C122,Customers!$A$2:$Z$1010,2,FALSE)</f>
        <v>Carlos Cruz</v>
      </c>
      <c r="E122" s="583" t="s">
        <v>427</v>
      </c>
      <c r="F122" s="222" t="str">
        <f xml:space="preserve"> VLOOKUP($C122,Customers!$A$2:$Z$1010,5,FALSE)</f>
        <v>University of Toronto</v>
      </c>
      <c r="G122" s="222" t="str">
        <f>VLOOKUP($C122,Customers!$A$2:$Z$1010,10,FALSE) &amp; ", " &amp; VLOOKUP($C122,Customers!$A$2:$Z$1010,11,FALSE)</f>
        <v>Toronto, ON</v>
      </c>
      <c r="H122" s="222" t="str">
        <f>VLOOKUP($C122,Customers!$A$2:$Z$1010,13,FALSE)</f>
        <v>Canada</v>
      </c>
      <c r="I122" s="222" t="str">
        <f>VLOOKUP($C122,Customers!$A$2:$Z$1010,18,FALSE)</f>
        <v>CA</v>
      </c>
      <c r="J122" s="223" t="s">
        <v>306</v>
      </c>
      <c r="K122" s="224" t="s">
        <v>2981</v>
      </c>
      <c r="L122" s="251">
        <v>4</v>
      </c>
      <c r="M122" s="224" t="s">
        <v>3211</v>
      </c>
      <c r="N122" s="251">
        <f>2+2+2+2</f>
        <v>8</v>
      </c>
      <c r="O122" s="243" t="s">
        <v>16</v>
      </c>
      <c r="P122" s="224">
        <v>0</v>
      </c>
      <c r="Q122" s="243" t="s">
        <v>16</v>
      </c>
      <c r="R122" s="224">
        <v>0</v>
      </c>
      <c r="S122" s="224" t="s">
        <v>16</v>
      </c>
      <c r="T122" s="226" t="s">
        <v>3212</v>
      </c>
      <c r="U122" s="226" t="s">
        <v>3213</v>
      </c>
      <c r="V122" s="227">
        <f>345*4</f>
        <v>1380</v>
      </c>
      <c r="W122" s="228" t="s">
        <v>16</v>
      </c>
      <c r="X122" s="228" t="s">
        <v>16</v>
      </c>
      <c r="Y122" s="228" t="s">
        <v>16</v>
      </c>
      <c r="Z122" s="229">
        <f>345*4</f>
        <v>1380</v>
      </c>
      <c r="AA122" s="240" t="s">
        <v>308</v>
      </c>
      <c r="AB122" s="240">
        <f t="shared" si="30"/>
        <v>1380</v>
      </c>
      <c r="AC122" s="230" t="s">
        <v>304</v>
      </c>
      <c r="AD122" s="242" t="s">
        <v>16</v>
      </c>
      <c r="AE122" s="231">
        <v>45309</v>
      </c>
      <c r="AF122" s="219" t="s">
        <v>1134</v>
      </c>
      <c r="AG122" s="230" t="s">
        <v>308</v>
      </c>
      <c r="AH122" s="230" t="s">
        <v>308</v>
      </c>
      <c r="AI122" s="336" t="s">
        <v>304</v>
      </c>
      <c r="AJ122" s="218">
        <v>103819</v>
      </c>
      <c r="AK122" s="234">
        <v>45349</v>
      </c>
      <c r="AL122" s="235" t="s">
        <v>3214</v>
      </c>
    </row>
    <row r="123" spans="1:38" s="281" customFormat="1" ht="40.200000000000003" thickBot="1" x14ac:dyDescent="0.35">
      <c r="A123" s="276">
        <v>45230</v>
      </c>
      <c r="B123" s="337" t="s">
        <v>3215</v>
      </c>
      <c r="C123" s="264" t="s">
        <v>2469</v>
      </c>
      <c r="D123" s="264" t="str">
        <f>VLOOKUP($C123,Customers!$A$2:$Z$1010,2,FALSE)</f>
        <v>Jean-Sebastien Deschenes</v>
      </c>
      <c r="E123" s="584" t="s">
        <v>16</v>
      </c>
      <c r="F123" s="264" t="str">
        <f xml:space="preserve"> VLOOKUP($C123,Customers!$A$2:$Z$1010,5,FALSE)</f>
        <v>Universite du Quebec a Rimouski</v>
      </c>
      <c r="G123" s="264" t="str">
        <f>VLOOKUP($C123,Customers!$A$2:$Z$1010,10,FALSE) &amp; ", " &amp; VLOOKUP($C123,Customers!$A$2:$Z$1010,11,FALSE)</f>
        <v>Rimouski, QC</v>
      </c>
      <c r="H123" s="264" t="str">
        <f>VLOOKUP($C123,Customers!$A$2:$Z$1010,13,FALSE)</f>
        <v>Canada</v>
      </c>
      <c r="I123" s="264" t="str">
        <f>VLOOKUP($C123,Customers!$A$2:$Z$1010,18,FALSE)</f>
        <v>CA</v>
      </c>
      <c r="J123" s="265" t="s">
        <v>304</v>
      </c>
      <c r="K123" s="261" t="s">
        <v>2740</v>
      </c>
      <c r="L123" s="267">
        <v>2</v>
      </c>
      <c r="M123" s="261" t="s">
        <v>1973</v>
      </c>
      <c r="N123" s="267">
        <f>1+1</f>
        <v>2</v>
      </c>
      <c r="O123" s="266" t="s">
        <v>16</v>
      </c>
      <c r="P123" s="261">
        <v>0</v>
      </c>
      <c r="Q123" s="266" t="s">
        <v>16</v>
      </c>
      <c r="R123" s="261">
        <v>0</v>
      </c>
      <c r="S123" s="261" t="s">
        <v>16</v>
      </c>
      <c r="T123" s="269" t="s">
        <v>2873</v>
      </c>
      <c r="U123" s="269" t="s">
        <v>1138</v>
      </c>
      <c r="V123" s="271">
        <f>135*2</f>
        <v>270</v>
      </c>
      <c r="W123" s="270" t="s">
        <v>16</v>
      </c>
      <c r="X123" s="270" t="s">
        <v>16</v>
      </c>
      <c r="Y123" s="270" t="s">
        <v>16</v>
      </c>
      <c r="Z123" s="272">
        <f>135*2</f>
        <v>270</v>
      </c>
      <c r="AA123" s="273">
        <v>25</v>
      </c>
      <c r="AB123" s="273">
        <f t="shared" si="30"/>
        <v>295</v>
      </c>
      <c r="AC123" s="274" t="s">
        <v>304</v>
      </c>
      <c r="AD123" s="264" t="s">
        <v>3216</v>
      </c>
      <c r="AE123" s="320">
        <v>45243</v>
      </c>
      <c r="AF123" s="263" t="s">
        <v>3217</v>
      </c>
      <c r="AG123" s="277">
        <v>18.34</v>
      </c>
      <c r="AH123" s="277">
        <v>17.760000000000002</v>
      </c>
      <c r="AI123" s="338" t="s">
        <v>304</v>
      </c>
      <c r="AJ123" s="279">
        <v>103773</v>
      </c>
      <c r="AK123" s="289">
        <v>45310</v>
      </c>
      <c r="AL123" s="299" t="s">
        <v>3218</v>
      </c>
    </row>
    <row r="124" spans="1:38" s="236" customFormat="1" ht="39.6" x14ac:dyDescent="0.3">
      <c r="A124" s="257">
        <v>45231</v>
      </c>
      <c r="B124" s="224" t="s">
        <v>3219</v>
      </c>
      <c r="C124" s="283" t="s">
        <v>1042</v>
      </c>
      <c r="D124" s="222" t="str">
        <f>VLOOKUP($C124,Customers!$A$2:$Z$1010,2,FALSE)</f>
        <v>Jon Stone</v>
      </c>
      <c r="E124" s="583" t="s">
        <v>16</v>
      </c>
      <c r="F124" s="222" t="str">
        <f xml:space="preserve"> VLOOKUP($C124,Customers!$A$2:$Z$1010,5,FALSE)</f>
        <v>McMaster University</v>
      </c>
      <c r="G124" s="222" t="str">
        <f>VLOOKUP($C124,Customers!$A$2:$Z$1010,10,FALSE) &amp; ", " &amp; VLOOKUP($C124,Customers!$A$2:$Z$1010,11,FALSE)</f>
        <v>Hamilton, ON</v>
      </c>
      <c r="H124" s="222" t="str">
        <f>VLOOKUP($C124,Customers!$A$2:$Z$1010,13,FALSE)</f>
        <v>Canada</v>
      </c>
      <c r="I124" s="222" t="str">
        <f>VLOOKUP($C124,Customers!$A$2:$Z$1010,18,FALSE)</f>
        <v>CA</v>
      </c>
      <c r="J124" s="223" t="s">
        <v>306</v>
      </c>
      <c r="K124" s="224">
        <v>420</v>
      </c>
      <c r="L124" s="259">
        <v>1</v>
      </c>
      <c r="M124" s="224">
        <v>30</v>
      </c>
      <c r="N124" s="259">
        <f>1</f>
        <v>1</v>
      </c>
      <c r="O124" s="243" t="s">
        <v>16</v>
      </c>
      <c r="P124" s="224">
        <v>0</v>
      </c>
      <c r="Q124" s="243" t="s">
        <v>16</v>
      </c>
      <c r="R124" s="224">
        <v>0</v>
      </c>
      <c r="S124" s="224" t="s">
        <v>16</v>
      </c>
      <c r="T124" s="226" t="s">
        <v>3220</v>
      </c>
      <c r="U124" s="226" t="s">
        <v>3052</v>
      </c>
      <c r="V124" s="227">
        <v>175</v>
      </c>
      <c r="W124" s="228" t="s">
        <v>16</v>
      </c>
      <c r="X124" s="228" t="s">
        <v>16</v>
      </c>
      <c r="Y124" s="228" t="s">
        <v>16</v>
      </c>
      <c r="Z124" s="240">
        <f>175</f>
        <v>175</v>
      </c>
      <c r="AA124" s="240">
        <v>25</v>
      </c>
      <c r="AB124" s="241">
        <f>SUM(Z124:AA124)</f>
        <v>200</v>
      </c>
      <c r="AC124" s="230" t="s">
        <v>304</v>
      </c>
      <c r="AD124" s="242" t="s">
        <v>16</v>
      </c>
      <c r="AE124" s="238">
        <v>45236</v>
      </c>
      <c r="AF124" s="219" t="s">
        <v>3221</v>
      </c>
      <c r="AG124" s="232">
        <v>6.49</v>
      </c>
      <c r="AH124" s="232">
        <v>5.94</v>
      </c>
      <c r="AI124" s="245" t="s">
        <v>304</v>
      </c>
      <c r="AJ124" s="223">
        <v>106747</v>
      </c>
      <c r="AK124" s="231">
        <v>45394</v>
      </c>
      <c r="AL124" s="252" t="s">
        <v>3222</v>
      </c>
    </row>
    <row r="125" spans="1:38" s="236" customFormat="1" ht="39.6" x14ac:dyDescent="0.3">
      <c r="A125" s="257">
        <v>45231</v>
      </c>
      <c r="B125" s="224" t="s">
        <v>3223</v>
      </c>
      <c r="C125" s="283" t="s">
        <v>1054</v>
      </c>
      <c r="D125" s="222" t="str">
        <f>VLOOKUP($C125,Customers!$A$2:$Z$1010,2,FALSE)</f>
        <v>Carlos Cruz</v>
      </c>
      <c r="E125" s="583" t="s">
        <v>16</v>
      </c>
      <c r="F125" s="222" t="str">
        <f xml:space="preserve"> VLOOKUP($C125,Customers!$A$2:$Z$1010,5,FALSE)</f>
        <v>University of Toronto</v>
      </c>
      <c r="G125" s="222" t="str">
        <f>VLOOKUP($C125,Customers!$A$2:$Z$1010,10,FALSE) &amp; ", " &amp; VLOOKUP($C125,Customers!$A$2:$Z$1010,11,FALSE)</f>
        <v>Toronto, ON</v>
      </c>
      <c r="H125" s="222" t="str">
        <f>VLOOKUP($C125,Customers!$A$2:$Z$1010,13,FALSE)</f>
        <v>Canada</v>
      </c>
      <c r="I125" s="222" t="str">
        <f>VLOOKUP($C125,Customers!$A$2:$Z$1010,18,FALSE)</f>
        <v>CA</v>
      </c>
      <c r="J125" s="218" t="s">
        <v>306</v>
      </c>
      <c r="K125" s="243" t="s">
        <v>16</v>
      </c>
      <c r="L125" s="218">
        <v>0</v>
      </c>
      <c r="M125" s="224">
        <v>0</v>
      </c>
      <c r="N125" s="218">
        <v>0</v>
      </c>
      <c r="O125" s="243" t="s">
        <v>16</v>
      </c>
      <c r="P125" s="224">
        <v>0</v>
      </c>
      <c r="Q125" s="224" t="s">
        <v>323</v>
      </c>
      <c r="R125" s="224">
        <v>220</v>
      </c>
      <c r="S125" s="224" t="s">
        <v>16</v>
      </c>
      <c r="T125" s="301" t="s">
        <v>3224</v>
      </c>
      <c r="U125" s="301" t="s">
        <v>3225</v>
      </c>
      <c r="V125" s="228" t="s">
        <v>16</v>
      </c>
      <c r="W125" s="228" t="s">
        <v>16</v>
      </c>
      <c r="X125" s="227">
        <v>125</v>
      </c>
      <c r="Y125" s="228" t="s">
        <v>16</v>
      </c>
      <c r="Z125" s="241">
        <f>125</f>
        <v>125</v>
      </c>
      <c r="AA125" s="240">
        <v>25</v>
      </c>
      <c r="AB125" s="241">
        <f>SUM(Z125:AA125)</f>
        <v>150</v>
      </c>
      <c r="AC125" s="230" t="s">
        <v>304</v>
      </c>
      <c r="AD125" s="243" t="s">
        <v>16</v>
      </c>
      <c r="AE125" s="238">
        <v>45237</v>
      </c>
      <c r="AF125" s="219" t="s">
        <v>3226</v>
      </c>
      <c r="AG125" s="232">
        <v>5.2</v>
      </c>
      <c r="AH125" s="232">
        <v>4.76</v>
      </c>
      <c r="AI125" s="322" t="s">
        <v>304</v>
      </c>
      <c r="AJ125" s="233">
        <v>103819</v>
      </c>
      <c r="AK125" s="234">
        <v>45300</v>
      </c>
      <c r="AL125" s="252" t="s">
        <v>3227</v>
      </c>
    </row>
    <row r="126" spans="1:38" s="236" customFormat="1" ht="39.6" x14ac:dyDescent="0.3">
      <c r="A126" s="257">
        <v>45237</v>
      </c>
      <c r="B126" s="257" t="s">
        <v>3228</v>
      </c>
      <c r="C126" s="222" t="s">
        <v>2541</v>
      </c>
      <c r="D126" s="222" t="str">
        <f>VLOOKUP($C126,Customers!$A$2:$Z$1010,2,FALSE)</f>
        <v>Severine Le Faucheur</v>
      </c>
      <c r="E126" s="219" t="s">
        <v>2189</v>
      </c>
      <c r="F126" s="222" t="str">
        <f xml:space="preserve"> VLOOKUP($C126,Customers!$A$2:$Z$1010,5,FALSE)</f>
        <v>Université de Pau et des Pays de l’Adour (UPPA)</v>
      </c>
      <c r="G126" s="222" t="str">
        <f>VLOOKUP($C126,Customers!$A$2:$Z$1010,10,FALSE) &amp; ", " &amp; VLOOKUP($C126,Customers!$A$2:$Z$1010,11,FALSE)</f>
        <v>Pau, Nouvelle-Aquitaine (NA)</v>
      </c>
      <c r="H126" s="222" t="str">
        <f>VLOOKUP($C126,Customers!$A$2:$Z$1010,13,FALSE)</f>
        <v>France</v>
      </c>
      <c r="I126" s="222" t="str">
        <f>VLOOKUP($C126,Customers!$A$2:$Z$1010,18,FALSE)</f>
        <v>IA</v>
      </c>
      <c r="J126" s="257" t="s">
        <v>304</v>
      </c>
      <c r="K126" s="224">
        <v>11</v>
      </c>
      <c r="L126" s="259">
        <v>1</v>
      </c>
      <c r="M126" s="224">
        <v>30</v>
      </c>
      <c r="N126" s="259">
        <f>2</f>
        <v>2</v>
      </c>
      <c r="O126" s="243" t="s">
        <v>16</v>
      </c>
      <c r="P126" s="224">
        <v>0</v>
      </c>
      <c r="Q126" s="243" t="s">
        <v>16</v>
      </c>
      <c r="R126" s="224">
        <v>0</v>
      </c>
      <c r="S126" s="224" t="s">
        <v>16</v>
      </c>
      <c r="T126" s="294" t="s">
        <v>3229</v>
      </c>
      <c r="U126" s="294" t="s">
        <v>3052</v>
      </c>
      <c r="V126" s="232">
        <v>175</v>
      </c>
      <c r="W126" s="228" t="s">
        <v>16</v>
      </c>
      <c r="X126" s="228" t="s">
        <v>16</v>
      </c>
      <c r="Y126" s="228" t="s">
        <v>16</v>
      </c>
      <c r="Z126" s="229">
        <f>175</f>
        <v>175</v>
      </c>
      <c r="AA126" s="240">
        <f>60+25</f>
        <v>85</v>
      </c>
      <c r="AB126" s="240">
        <f>SUM(Z126:AA126)</f>
        <v>260</v>
      </c>
      <c r="AC126" s="230" t="s">
        <v>304</v>
      </c>
      <c r="AD126" s="242" t="s">
        <v>16</v>
      </c>
      <c r="AE126" s="231">
        <v>45257</v>
      </c>
      <c r="AF126" s="219" t="s">
        <v>3230</v>
      </c>
      <c r="AG126" s="232">
        <v>63.69</v>
      </c>
      <c r="AH126" s="232">
        <v>57.17</v>
      </c>
      <c r="AI126" s="257" t="s">
        <v>304</v>
      </c>
      <c r="AJ126" s="218">
        <v>111256</v>
      </c>
      <c r="AK126" s="234">
        <v>45321</v>
      </c>
      <c r="AL126" s="252" t="s">
        <v>1656</v>
      </c>
    </row>
    <row r="127" spans="1:38" s="236" customFormat="1" ht="39.6" x14ac:dyDescent="0.3">
      <c r="A127" s="257">
        <v>45237</v>
      </c>
      <c r="B127" s="224" t="s">
        <v>3231</v>
      </c>
      <c r="C127" s="222" t="s">
        <v>2272</v>
      </c>
      <c r="D127" s="222" t="str">
        <f>VLOOKUP($C127,Customers!$A$2:$Z$1010,2,FALSE)</f>
        <v>Adeeb Khawja</v>
      </c>
      <c r="E127" s="583" t="s">
        <v>1691</v>
      </c>
      <c r="F127" s="222" t="str">
        <f xml:space="preserve"> VLOOKUP($C127,Customers!$A$2:$Z$1010,5,FALSE)</f>
        <v>Home Address - Khawja Residence (affiliated with St. Francis Xavier Secondary School)</v>
      </c>
      <c r="G127" s="222" t="str">
        <f>VLOOKUP($C127,Customers!$A$2:$Z$1010,10,FALSE) &amp; ", " &amp; VLOOKUP($C127,Customers!$A$2:$Z$1010,11,FALSE)</f>
        <v>Mississauga, ON</v>
      </c>
      <c r="H127" s="222" t="str">
        <f>VLOOKUP($C127,Customers!$A$2:$Z$1010,13,FALSE)</f>
        <v>Canada</v>
      </c>
      <c r="I127" s="222" t="str">
        <f>VLOOKUP($C127,Customers!$A$2:$Z$1010,18,FALSE)</f>
        <v>CA</v>
      </c>
      <c r="J127" s="223" t="s">
        <v>304</v>
      </c>
      <c r="K127" s="224">
        <v>508</v>
      </c>
      <c r="L127" s="251">
        <v>1</v>
      </c>
      <c r="M127" s="224">
        <v>45</v>
      </c>
      <c r="N127" s="251">
        <f>1</f>
        <v>1</v>
      </c>
      <c r="O127" s="224" t="s">
        <v>307</v>
      </c>
      <c r="P127" s="224">
        <v>2</v>
      </c>
      <c r="Q127" s="243" t="s">
        <v>16</v>
      </c>
      <c r="R127" s="224">
        <v>0</v>
      </c>
      <c r="S127" s="224" t="s">
        <v>16</v>
      </c>
      <c r="T127" s="226" t="s">
        <v>3232</v>
      </c>
      <c r="U127" s="226" t="s">
        <v>3233</v>
      </c>
      <c r="V127" s="227">
        <v>100</v>
      </c>
      <c r="W127" s="227">
        <f>65*2</f>
        <v>130</v>
      </c>
      <c r="X127" s="228" t="s">
        <v>16</v>
      </c>
      <c r="Y127" s="228" t="s">
        <v>16</v>
      </c>
      <c r="Z127" s="229">
        <f>100+65*2</f>
        <v>230</v>
      </c>
      <c r="AA127" s="240">
        <v>25</v>
      </c>
      <c r="AB127" s="241">
        <f>SUM(Z127:AA127)</f>
        <v>255</v>
      </c>
      <c r="AC127" s="230" t="s">
        <v>304</v>
      </c>
      <c r="AD127" s="242" t="s">
        <v>16</v>
      </c>
      <c r="AE127" s="231">
        <v>45252</v>
      </c>
      <c r="AF127" s="219" t="s">
        <v>3234</v>
      </c>
      <c r="AG127" s="232">
        <v>7.77</v>
      </c>
      <c r="AH127" s="232">
        <v>7.11</v>
      </c>
      <c r="AI127" s="257" t="s">
        <v>304</v>
      </c>
      <c r="AJ127" s="218">
        <v>111261</v>
      </c>
      <c r="AK127" s="234">
        <v>45317</v>
      </c>
      <c r="AL127" s="252" t="s">
        <v>1690</v>
      </c>
    </row>
    <row r="128" spans="1:38" s="236" customFormat="1" ht="39.6" x14ac:dyDescent="0.3">
      <c r="A128" s="257">
        <v>45237</v>
      </c>
      <c r="B128" s="250" t="s">
        <v>3235</v>
      </c>
      <c r="C128" s="283" t="s">
        <v>1053</v>
      </c>
      <c r="D128" s="222" t="str">
        <f>VLOOKUP($C128,Customers!$A$2:$Z$1010,2,FALSE)</f>
        <v>Katherine Raes</v>
      </c>
      <c r="E128" s="583" t="s">
        <v>16</v>
      </c>
      <c r="F128" s="222" t="str">
        <f xml:space="preserve"> VLOOKUP($C128,Customers!$A$2:$Z$1010,5,FALSE)</f>
        <v>University of Saskatchewan</v>
      </c>
      <c r="G128" s="222" t="str">
        <f>VLOOKUP($C128,Customers!$A$2:$Z$1010,10,FALSE) &amp; ", " &amp; VLOOKUP($C128,Customers!$A$2:$Z$1010,11,FALSE)</f>
        <v>Saskatoon, SK</v>
      </c>
      <c r="H128" s="222" t="str">
        <f>VLOOKUP($C128,Customers!$A$2:$Z$1010,13,FALSE)</f>
        <v>Canada</v>
      </c>
      <c r="I128" s="222" t="str">
        <f>VLOOKUP($C128,Customers!$A$2:$Z$1010,18,FALSE)</f>
        <v>CA</v>
      </c>
      <c r="J128" s="253" t="s">
        <v>306</v>
      </c>
      <c r="K128" s="224" t="s">
        <v>2726</v>
      </c>
      <c r="L128" s="253">
        <v>2</v>
      </c>
      <c r="M128" s="224" t="s">
        <v>1973</v>
      </c>
      <c r="N128" s="253">
        <f>1+1</f>
        <v>2</v>
      </c>
      <c r="O128" s="243" t="s">
        <v>16</v>
      </c>
      <c r="P128" s="224">
        <v>0</v>
      </c>
      <c r="Q128" s="243" t="s">
        <v>16</v>
      </c>
      <c r="R128" s="224">
        <v>0</v>
      </c>
      <c r="S128" s="224" t="s">
        <v>16</v>
      </c>
      <c r="T128" s="226" t="s">
        <v>2727</v>
      </c>
      <c r="U128" s="226" t="s">
        <v>1138</v>
      </c>
      <c r="V128" s="227">
        <f>135*2</f>
        <v>270</v>
      </c>
      <c r="W128" s="228" t="s">
        <v>16</v>
      </c>
      <c r="X128" s="228" t="s">
        <v>16</v>
      </c>
      <c r="Y128" s="228" t="s">
        <v>16</v>
      </c>
      <c r="Z128" s="240">
        <f>135*2</f>
        <v>270</v>
      </c>
      <c r="AA128" s="240">
        <v>35</v>
      </c>
      <c r="AB128" s="240">
        <f t="shared" ref="AB128:AB131" si="31">SUM(Z128:AA128)</f>
        <v>305</v>
      </c>
      <c r="AC128" s="230" t="s">
        <v>304</v>
      </c>
      <c r="AD128" s="242" t="s">
        <v>16</v>
      </c>
      <c r="AE128" s="231">
        <v>45250</v>
      </c>
      <c r="AF128" s="219" t="s">
        <v>3236</v>
      </c>
      <c r="AG128" s="232">
        <v>26.33</v>
      </c>
      <c r="AH128" s="232">
        <v>25.49</v>
      </c>
      <c r="AI128" s="245" t="s">
        <v>304</v>
      </c>
      <c r="AJ128" s="223">
        <v>103813</v>
      </c>
      <c r="AK128" s="234">
        <v>45310</v>
      </c>
      <c r="AL128" s="255" t="s">
        <v>3237</v>
      </c>
    </row>
    <row r="129" spans="1:38" s="236" customFormat="1" ht="52.8" x14ac:dyDescent="0.3">
      <c r="A129" s="257">
        <v>45237</v>
      </c>
      <c r="B129" s="224" t="s">
        <v>3238</v>
      </c>
      <c r="C129" s="283" t="s">
        <v>2263</v>
      </c>
      <c r="D129" s="222" t="str">
        <f>VLOOKUP($C129,Customers!$A$2:$Z$1010,2,FALSE)</f>
        <v>Romy Leger-Daigle</v>
      </c>
      <c r="E129" s="583" t="s">
        <v>16</v>
      </c>
      <c r="F129" s="222" t="str">
        <f xml:space="preserve"> VLOOKUP($C129,Customers!$A$2:$Z$1010,5,FALSE)</f>
        <v>Fisheries and Oceans Canada (DFO) - Maurice-Lamontagne Institute</v>
      </c>
      <c r="G129" s="222" t="str">
        <f>VLOOKUP($C129,Customers!$A$2:$Z$1010,10,FALSE) &amp; ", " &amp; VLOOKUP($C129,Customers!$A$2:$Z$1010,11,FALSE)</f>
        <v>Mont-joli, QC</v>
      </c>
      <c r="H129" s="222" t="str">
        <f>VLOOKUP($C129,Customers!$A$2:$Z$1010,13,FALSE)</f>
        <v>Canada</v>
      </c>
      <c r="I129" s="222" t="str">
        <f>VLOOKUP($C129,Customers!$A$2:$Z$1010,18,FALSE)</f>
        <v>CG</v>
      </c>
      <c r="J129" s="218" t="s">
        <v>304</v>
      </c>
      <c r="K129" s="224" t="s">
        <v>3239</v>
      </c>
      <c r="L129" s="218">
        <v>2</v>
      </c>
      <c r="M129" s="224" t="s">
        <v>1978</v>
      </c>
      <c r="N129" s="218">
        <f>1+1</f>
        <v>2</v>
      </c>
      <c r="O129" s="243" t="s">
        <v>16</v>
      </c>
      <c r="P129" s="224">
        <v>0</v>
      </c>
      <c r="Q129" s="243" t="s">
        <v>16</v>
      </c>
      <c r="R129" s="224">
        <v>0</v>
      </c>
      <c r="S129" s="224" t="s">
        <v>16</v>
      </c>
      <c r="T129" s="301" t="s">
        <v>3240</v>
      </c>
      <c r="U129" s="226" t="s">
        <v>1198</v>
      </c>
      <c r="V129" s="227">
        <f>175*2</f>
        <v>350</v>
      </c>
      <c r="W129" s="228" t="s">
        <v>16</v>
      </c>
      <c r="X129" s="228" t="s">
        <v>16</v>
      </c>
      <c r="Y129" s="228" t="s">
        <v>16</v>
      </c>
      <c r="Z129" s="241">
        <f>175*2</f>
        <v>350</v>
      </c>
      <c r="AA129" s="240">
        <v>30</v>
      </c>
      <c r="AB129" s="240">
        <f t="shared" si="31"/>
        <v>380</v>
      </c>
      <c r="AC129" s="230" t="s">
        <v>304</v>
      </c>
      <c r="AD129" s="242" t="s">
        <v>16</v>
      </c>
      <c r="AE129" s="231">
        <v>45243</v>
      </c>
      <c r="AF129" s="219" t="s">
        <v>3241</v>
      </c>
      <c r="AG129" s="232">
        <v>21.49</v>
      </c>
      <c r="AH129" s="232">
        <v>20.81</v>
      </c>
      <c r="AI129" s="250" t="s">
        <v>304</v>
      </c>
      <c r="AJ129" s="223">
        <v>103197</v>
      </c>
      <c r="AK129" s="234">
        <v>45310</v>
      </c>
      <c r="AL129" s="252" t="s">
        <v>3242</v>
      </c>
    </row>
    <row r="130" spans="1:38" s="236" customFormat="1" ht="39.6" x14ac:dyDescent="0.3">
      <c r="A130" s="257">
        <v>45239</v>
      </c>
      <c r="B130" s="250" t="s">
        <v>3243</v>
      </c>
      <c r="C130" s="222" t="s">
        <v>2522</v>
      </c>
      <c r="D130" s="222" t="str">
        <f>VLOOKUP($C130,Customers!$A$2:$Z$1010,2,FALSE)</f>
        <v>Mo Shamma</v>
      </c>
      <c r="E130" s="583" t="s">
        <v>16</v>
      </c>
      <c r="F130" s="222" t="str">
        <f xml:space="preserve"> VLOOKUP($C130,Customers!$A$2:$Z$1010,5,FALSE)</f>
        <v>Nova Scotia Community College - Ivany Campus</v>
      </c>
      <c r="G130" s="222" t="str">
        <f>VLOOKUP($C130,Customers!$A$2:$Z$1010,10,FALSE) &amp; ", " &amp; VLOOKUP($C130,Customers!$A$2:$Z$1010,11,FALSE)</f>
        <v>Dartmouth, NS</v>
      </c>
      <c r="H130" s="222" t="str">
        <f>VLOOKUP($C130,Customers!$A$2:$Z$1010,13,FALSE)</f>
        <v>Canada</v>
      </c>
      <c r="I130" s="222" t="str">
        <f>VLOOKUP($C130,Customers!$A$2:$Z$1010,18,FALSE)</f>
        <v>CA</v>
      </c>
      <c r="J130" s="251" t="s">
        <v>304</v>
      </c>
      <c r="K130" s="224" t="s">
        <v>3244</v>
      </c>
      <c r="L130" s="251">
        <v>2</v>
      </c>
      <c r="M130" s="224" t="s">
        <v>1978</v>
      </c>
      <c r="N130" s="251">
        <f>1+1</f>
        <v>2</v>
      </c>
      <c r="O130" s="224" t="s">
        <v>353</v>
      </c>
      <c r="P130" s="224">
        <v>4</v>
      </c>
      <c r="Q130" s="243" t="s">
        <v>16</v>
      </c>
      <c r="R130" s="224">
        <v>0</v>
      </c>
      <c r="S130" s="224" t="s">
        <v>16</v>
      </c>
      <c r="T130" s="226" t="s">
        <v>3245</v>
      </c>
      <c r="U130" s="313" t="s">
        <v>3246</v>
      </c>
      <c r="V130" s="339">
        <f>175*2</f>
        <v>350</v>
      </c>
      <c r="W130" s="339">
        <f>60*4</f>
        <v>240</v>
      </c>
      <c r="X130" s="228" t="s">
        <v>16</v>
      </c>
      <c r="Y130" s="228" t="s">
        <v>16</v>
      </c>
      <c r="Z130" s="241">
        <f>175*2+60*4</f>
        <v>590</v>
      </c>
      <c r="AA130" s="240">
        <v>45</v>
      </c>
      <c r="AB130" s="240">
        <f t="shared" si="31"/>
        <v>635</v>
      </c>
      <c r="AC130" s="230" t="s">
        <v>304</v>
      </c>
      <c r="AD130" s="242" t="s">
        <v>16</v>
      </c>
      <c r="AE130" s="231">
        <v>45250</v>
      </c>
      <c r="AF130" s="219" t="s">
        <v>3247</v>
      </c>
      <c r="AG130" s="232">
        <v>43.72</v>
      </c>
      <c r="AH130" s="232">
        <v>39.5</v>
      </c>
      <c r="AI130" s="245" t="s">
        <v>304</v>
      </c>
      <c r="AJ130" s="340">
        <v>108197</v>
      </c>
      <c r="AK130" s="234">
        <v>45317</v>
      </c>
      <c r="AL130" s="252" t="s">
        <v>3248</v>
      </c>
    </row>
    <row r="131" spans="1:38" s="236" customFormat="1" ht="39.6" x14ac:dyDescent="0.3">
      <c r="A131" s="250">
        <v>45244</v>
      </c>
      <c r="B131" s="248" t="s">
        <v>3249</v>
      </c>
      <c r="C131" s="222" t="s">
        <v>2408</v>
      </c>
      <c r="D131" s="222" t="str">
        <f>VLOOKUP($C131,Customers!$A$2:$Z$1010,2,FALSE)</f>
        <v>Caroline Dauphin</v>
      </c>
      <c r="E131" s="583" t="s">
        <v>16</v>
      </c>
      <c r="F131" s="222" t="str">
        <f xml:space="preserve"> VLOOKUP($C131,Customers!$A$2:$Z$1010,5,FALSE)</f>
        <v>Cegep de Shawinigan</v>
      </c>
      <c r="G131" s="222" t="str">
        <f>VLOOKUP($C131,Customers!$A$2:$Z$1010,10,FALSE) &amp; ", " &amp; VLOOKUP($C131,Customers!$A$2:$Z$1010,11,FALSE)</f>
        <v>Shawinigan, QC</v>
      </c>
      <c r="H131" s="222" t="str">
        <f>VLOOKUP($C131,Customers!$A$2:$Z$1010,13,FALSE)</f>
        <v>Canada</v>
      </c>
      <c r="I131" s="222" t="str">
        <f>VLOOKUP($C131,Customers!$A$2:$Z$1010,18,FALSE)</f>
        <v>CA</v>
      </c>
      <c r="J131" s="223" t="s">
        <v>306</v>
      </c>
      <c r="K131" s="224">
        <v>37</v>
      </c>
      <c r="L131" s="259">
        <v>1</v>
      </c>
      <c r="M131" s="224">
        <v>30</v>
      </c>
      <c r="N131" s="259">
        <f>1</f>
        <v>1</v>
      </c>
      <c r="O131" s="224" t="s">
        <v>307</v>
      </c>
      <c r="P131" s="224">
        <v>6</v>
      </c>
      <c r="Q131" s="243" t="s">
        <v>16</v>
      </c>
      <c r="R131" s="224">
        <v>0</v>
      </c>
      <c r="S131" s="224" t="s">
        <v>16</v>
      </c>
      <c r="T131" s="226" t="s">
        <v>3250</v>
      </c>
      <c r="U131" s="226" t="s">
        <v>3251</v>
      </c>
      <c r="V131" s="227">
        <v>175</v>
      </c>
      <c r="W131" s="227">
        <f>60*6</f>
        <v>360</v>
      </c>
      <c r="X131" s="228" t="s">
        <v>16</v>
      </c>
      <c r="Y131" s="228" t="s">
        <v>16</v>
      </c>
      <c r="Z131" s="240">
        <f>175+60*6</f>
        <v>535</v>
      </c>
      <c r="AA131" s="240">
        <v>25</v>
      </c>
      <c r="AB131" s="240">
        <f t="shared" si="31"/>
        <v>560</v>
      </c>
      <c r="AC131" s="230" t="s">
        <v>304</v>
      </c>
      <c r="AD131" s="242" t="s">
        <v>3252</v>
      </c>
      <c r="AE131" s="231">
        <v>45259</v>
      </c>
      <c r="AF131" s="219" t="s">
        <v>3253</v>
      </c>
      <c r="AG131" s="232">
        <v>10.039999999999999</v>
      </c>
      <c r="AH131" s="232">
        <v>9.7200000000000006</v>
      </c>
      <c r="AI131" s="256" t="s">
        <v>304</v>
      </c>
      <c r="AJ131" s="233">
        <v>107453</v>
      </c>
      <c r="AK131" s="234">
        <v>45321</v>
      </c>
      <c r="AL131" s="255" t="s">
        <v>3254</v>
      </c>
    </row>
    <row r="132" spans="1:38" s="236" customFormat="1" ht="39.6" x14ac:dyDescent="0.3">
      <c r="A132" s="257">
        <v>45244</v>
      </c>
      <c r="B132" s="224" t="s">
        <v>3255</v>
      </c>
      <c r="C132" s="283" t="s">
        <v>2306</v>
      </c>
      <c r="D132" s="222" t="str">
        <f>VLOOKUP($C132,Customers!$A$2:$Z$1010,2,FALSE)</f>
        <v>Megan Bauer</v>
      </c>
      <c r="E132" s="583" t="s">
        <v>16</v>
      </c>
      <c r="F132" s="222" t="str">
        <f xml:space="preserve"> VLOOKUP($C132,Customers!$A$2:$Z$1010,5,FALSE)</f>
        <v>Environment and Climate Change Canada (ECCC) - Atlantic Laboratory for Environmental Testing (ALET)</v>
      </c>
      <c r="G132" s="222" t="str">
        <f>VLOOKUP($C132,Customers!$A$2:$Z$1010,10,FALSE) &amp; ", " &amp; VLOOKUP($C132,Customers!$A$2:$Z$1010,11,FALSE)</f>
        <v>Moncton, NB</v>
      </c>
      <c r="H132" s="222" t="str">
        <f>VLOOKUP($C132,Customers!$A$2:$Z$1010,13,FALSE)</f>
        <v>Canada</v>
      </c>
      <c r="I132" s="222" t="str">
        <f>VLOOKUP($C132,Customers!$A$2:$Z$1010,18,FALSE)</f>
        <v>CG</v>
      </c>
      <c r="J132" s="223" t="s">
        <v>306</v>
      </c>
      <c r="K132" s="224">
        <v>715</v>
      </c>
      <c r="L132" s="259">
        <v>1</v>
      </c>
      <c r="M132" s="224">
        <v>30</v>
      </c>
      <c r="N132" s="259">
        <f>2</f>
        <v>2</v>
      </c>
      <c r="O132" s="243" t="s">
        <v>16</v>
      </c>
      <c r="P132" s="224">
        <v>0</v>
      </c>
      <c r="Q132" s="243" t="s">
        <v>16</v>
      </c>
      <c r="R132" s="224">
        <v>0</v>
      </c>
      <c r="S132" s="224" t="s">
        <v>16</v>
      </c>
      <c r="T132" s="226" t="s">
        <v>2842</v>
      </c>
      <c r="U132" s="226" t="s">
        <v>2843</v>
      </c>
      <c r="V132" s="227">
        <v>175</v>
      </c>
      <c r="W132" s="228" t="s">
        <v>16</v>
      </c>
      <c r="X132" s="228" t="s">
        <v>16</v>
      </c>
      <c r="Y132" s="228" t="s">
        <v>16</v>
      </c>
      <c r="Z132" s="229">
        <f>175</f>
        <v>175</v>
      </c>
      <c r="AA132" s="240">
        <v>30</v>
      </c>
      <c r="AB132" s="240">
        <f>SUM(Z132:AA132)</f>
        <v>205</v>
      </c>
      <c r="AC132" s="230" t="s">
        <v>304</v>
      </c>
      <c r="AD132" s="242" t="s">
        <v>16</v>
      </c>
      <c r="AE132" s="231">
        <v>45250</v>
      </c>
      <c r="AF132" s="219" t="s">
        <v>3256</v>
      </c>
      <c r="AG132" s="232">
        <v>24.12</v>
      </c>
      <c r="AH132" s="232">
        <v>21.79</v>
      </c>
      <c r="AI132" s="257" t="s">
        <v>304</v>
      </c>
      <c r="AJ132" s="218">
        <v>103165</v>
      </c>
      <c r="AK132" s="234">
        <v>45310</v>
      </c>
      <c r="AL132" s="235" t="s">
        <v>3257</v>
      </c>
    </row>
    <row r="133" spans="1:38" s="236" customFormat="1" ht="66" x14ac:dyDescent="0.3">
      <c r="A133" s="257">
        <v>45246</v>
      </c>
      <c r="B133" s="250" t="s">
        <v>3258</v>
      </c>
      <c r="C133" s="283" t="s">
        <v>1021</v>
      </c>
      <c r="D133" s="222" t="str">
        <f>VLOOKUP($C133,Customers!$A$2:$Z$1010,2,FALSE)</f>
        <v>Donald Lai</v>
      </c>
      <c r="E133" s="329" t="s">
        <v>876</v>
      </c>
      <c r="F133" s="222" t="str">
        <f xml:space="preserve"> VLOOKUP($C133,Customers!$A$2:$Z$1010,5,FALSE)</f>
        <v>Bureau Veritas Laboratories - Burnaby</v>
      </c>
      <c r="G133" s="222" t="str">
        <f>VLOOKUP($C133,Customers!$A$2:$Z$1010,10,FALSE) &amp; ", " &amp; VLOOKUP($C133,Customers!$A$2:$Z$1010,11,FALSE)</f>
        <v>Burnaby, BC</v>
      </c>
      <c r="H133" s="222" t="str">
        <f>VLOOKUP($C133,Customers!$A$2:$Z$1010,13,FALSE)</f>
        <v>Canada</v>
      </c>
      <c r="I133" s="222" t="str">
        <f>VLOOKUP($C133,Customers!$A$2:$Z$1010,18,FALSE)</f>
        <v>CC</v>
      </c>
      <c r="J133" s="251" t="s">
        <v>306</v>
      </c>
      <c r="K133" s="224">
        <v>37</v>
      </c>
      <c r="L133" s="251">
        <v>1</v>
      </c>
      <c r="M133" s="224">
        <v>30</v>
      </c>
      <c r="N133" s="251">
        <f>2</f>
        <v>2</v>
      </c>
      <c r="O133" s="243" t="s">
        <v>16</v>
      </c>
      <c r="P133" s="224">
        <v>0</v>
      </c>
      <c r="Q133" s="243" t="s">
        <v>16</v>
      </c>
      <c r="R133" s="224">
        <v>0</v>
      </c>
      <c r="S133" s="224" t="s">
        <v>16</v>
      </c>
      <c r="T133" s="292" t="s">
        <v>415</v>
      </c>
      <c r="U133" s="313" t="s">
        <v>385</v>
      </c>
      <c r="V133" s="339">
        <v>260</v>
      </c>
      <c r="W133" s="228" t="s">
        <v>16</v>
      </c>
      <c r="X133" s="228" t="s">
        <v>16</v>
      </c>
      <c r="Y133" s="228" t="s">
        <v>16</v>
      </c>
      <c r="Z133" s="229">
        <f>260</f>
        <v>260</v>
      </c>
      <c r="AA133" s="229">
        <v>5</v>
      </c>
      <c r="AB133" s="240">
        <f t="shared" ref="AB133" si="32">SUM(Z133:AA133)</f>
        <v>265</v>
      </c>
      <c r="AC133" s="230" t="s">
        <v>304</v>
      </c>
      <c r="AD133" s="222" t="s">
        <v>3259</v>
      </c>
      <c r="AE133" s="231">
        <v>45272</v>
      </c>
      <c r="AF133" s="219" t="s">
        <v>3260</v>
      </c>
      <c r="AG133" s="241" t="s">
        <v>308</v>
      </c>
      <c r="AH133" s="241" t="s">
        <v>308</v>
      </c>
      <c r="AI133" s="229" t="s">
        <v>304</v>
      </c>
      <c r="AJ133" s="223">
        <v>103380</v>
      </c>
      <c r="AK133" s="234">
        <v>45338</v>
      </c>
      <c r="AL133" s="252" t="s">
        <v>3261</v>
      </c>
    </row>
    <row r="134" spans="1:38" s="236" customFormat="1" ht="52.8" x14ac:dyDescent="0.3">
      <c r="A134" s="257">
        <v>45250</v>
      </c>
      <c r="B134" s="218" t="s">
        <v>3262</v>
      </c>
      <c r="C134" s="341" t="s">
        <v>2507</v>
      </c>
      <c r="D134" s="222" t="str">
        <f>VLOOKUP($C134,Customers!$A$2:$Z$1010,2,FALSE)</f>
        <v>Martina Rudy</v>
      </c>
      <c r="E134" s="583" t="s">
        <v>16</v>
      </c>
      <c r="F134" s="222" t="str">
        <f xml:space="preserve"> VLOOKUP($C134,Customers!$A$2:$Z$1010,5,FALSE)</f>
        <v>Environment and Climate Change Canada (ECCC) - Aquatic Contaminants Research Division (ACRD)</v>
      </c>
      <c r="G134" s="222" t="str">
        <f>VLOOKUP($C134,Customers!$A$2:$Z$1010,10,FALSE) &amp; ", " &amp; VLOOKUP($C134,Customers!$A$2:$Z$1010,11,FALSE)</f>
        <v>Burlington, ON</v>
      </c>
      <c r="H134" s="222" t="str">
        <f>VLOOKUP($C134,Customers!$A$2:$Z$1010,13,FALSE)</f>
        <v>Canada</v>
      </c>
      <c r="I134" s="222" t="str">
        <f>VLOOKUP($C134,Customers!$A$2:$Z$1010,18,FALSE)</f>
        <v>CG</v>
      </c>
      <c r="J134" s="253" t="s">
        <v>306</v>
      </c>
      <c r="K134" s="224" t="s">
        <v>3263</v>
      </c>
      <c r="L134" s="253">
        <v>2</v>
      </c>
      <c r="M134" s="224" t="s">
        <v>1983</v>
      </c>
      <c r="N134" s="253">
        <f>2</f>
        <v>2</v>
      </c>
      <c r="O134" s="243" t="s">
        <v>16</v>
      </c>
      <c r="P134" s="224">
        <v>0</v>
      </c>
      <c r="Q134" s="243" t="s">
        <v>16</v>
      </c>
      <c r="R134" s="224">
        <v>0</v>
      </c>
      <c r="S134" s="224" t="s">
        <v>16</v>
      </c>
      <c r="T134" s="301" t="s">
        <v>3264</v>
      </c>
      <c r="U134" s="301" t="s">
        <v>3265</v>
      </c>
      <c r="V134" s="227">
        <f>195*2</f>
        <v>390</v>
      </c>
      <c r="W134" s="228" t="s">
        <v>16</v>
      </c>
      <c r="X134" s="228" t="s">
        <v>16</v>
      </c>
      <c r="Y134" s="228" t="s">
        <v>16</v>
      </c>
      <c r="Z134" s="302">
        <f>195*2</f>
        <v>390</v>
      </c>
      <c r="AA134" s="240">
        <v>25</v>
      </c>
      <c r="AB134" s="240">
        <f>SUM(Z134:AA134)</f>
        <v>415</v>
      </c>
      <c r="AC134" s="230" t="s">
        <v>304</v>
      </c>
      <c r="AD134" s="242" t="s">
        <v>16</v>
      </c>
      <c r="AE134" s="231">
        <v>45279</v>
      </c>
      <c r="AF134" s="219" t="s">
        <v>3266</v>
      </c>
      <c r="AG134" s="232">
        <v>6.49</v>
      </c>
      <c r="AH134" s="232">
        <v>5.94</v>
      </c>
      <c r="AI134" s="218" t="s">
        <v>304</v>
      </c>
      <c r="AJ134" s="218">
        <v>103161</v>
      </c>
      <c r="AK134" s="234">
        <v>45338</v>
      </c>
      <c r="AL134" s="255" t="s">
        <v>1470</v>
      </c>
    </row>
    <row r="135" spans="1:38" s="236" customFormat="1" ht="66" x14ac:dyDescent="0.3">
      <c r="A135" s="257">
        <v>45251</v>
      </c>
      <c r="B135" s="224" t="s">
        <v>3267</v>
      </c>
      <c r="C135" s="222" t="s">
        <v>2525</v>
      </c>
      <c r="D135" s="222" t="str">
        <f>VLOOKUP($C135,Customers!$A$2:$Z$1010,2,FALSE)</f>
        <v>Munir Boodhwani</v>
      </c>
      <c r="E135" s="583" t="s">
        <v>1362</v>
      </c>
      <c r="F135" s="222" t="str">
        <f xml:space="preserve"> VLOOKUP($C135,Customers!$A$2:$Z$1010,5,FALSE)</f>
        <v>Home Address - Boodhwani Residence (affiliated with Colonel By Secondary School)</v>
      </c>
      <c r="G135" s="222" t="str">
        <f>VLOOKUP($C135,Customers!$A$2:$Z$1010,10,FALSE) &amp; ", " &amp; VLOOKUP($C135,Customers!$A$2:$Z$1010,11,FALSE)</f>
        <v>Ottawa, ON</v>
      </c>
      <c r="H135" s="222" t="str">
        <f>VLOOKUP($C135,Customers!$A$2:$Z$1010,13,FALSE)</f>
        <v>Canada</v>
      </c>
      <c r="I135" s="222" t="str">
        <f>VLOOKUP($C135,Customers!$A$2:$Z$1010,18,FALSE)</f>
        <v>CA</v>
      </c>
      <c r="J135" s="223" t="s">
        <v>304</v>
      </c>
      <c r="K135" s="224">
        <v>243</v>
      </c>
      <c r="L135" s="259">
        <v>1</v>
      </c>
      <c r="M135" s="224">
        <v>45</v>
      </c>
      <c r="N135" s="259">
        <f>1</f>
        <v>1</v>
      </c>
      <c r="O135" s="243" t="s">
        <v>16</v>
      </c>
      <c r="P135" s="224">
        <v>0</v>
      </c>
      <c r="Q135" s="224" t="s">
        <v>3538</v>
      </c>
      <c r="R135" s="224">
        <v>765</v>
      </c>
      <c r="S135" s="224" t="s">
        <v>16</v>
      </c>
      <c r="T135" s="226" t="s">
        <v>3268</v>
      </c>
      <c r="U135" s="226" t="s">
        <v>3269</v>
      </c>
      <c r="V135" s="227">
        <v>100</v>
      </c>
      <c r="W135" s="228" t="s">
        <v>16</v>
      </c>
      <c r="X135" s="227">
        <v>140</v>
      </c>
      <c r="Y135" s="228" t="s">
        <v>16</v>
      </c>
      <c r="Z135" s="229">
        <f>100+140</f>
        <v>240</v>
      </c>
      <c r="AA135" s="240">
        <v>25</v>
      </c>
      <c r="AB135" s="240">
        <f>SUM(Z135:AA135)</f>
        <v>265</v>
      </c>
      <c r="AC135" s="230" t="s">
        <v>304</v>
      </c>
      <c r="AD135" s="242" t="s">
        <v>16</v>
      </c>
      <c r="AE135" s="231">
        <v>45252</v>
      </c>
      <c r="AF135" s="219" t="s">
        <v>3270</v>
      </c>
      <c r="AG135" s="232">
        <v>7.19</v>
      </c>
      <c r="AH135" s="232">
        <v>6.58</v>
      </c>
      <c r="AI135" s="257" t="s">
        <v>304</v>
      </c>
      <c r="AJ135" s="218">
        <v>111255</v>
      </c>
      <c r="AK135" s="234">
        <v>45317</v>
      </c>
      <c r="AL135" s="252" t="s">
        <v>3271</v>
      </c>
    </row>
    <row r="136" spans="1:38" s="236" customFormat="1" ht="52.8" x14ac:dyDescent="0.3">
      <c r="A136" s="257">
        <v>45251</v>
      </c>
      <c r="B136" s="224" t="s">
        <v>3272</v>
      </c>
      <c r="C136" s="222" t="s">
        <v>2398</v>
      </c>
      <c r="D136" s="222" t="str">
        <f>VLOOKUP($C136,Customers!$A$2:$Z$1010,2,FALSE)</f>
        <v>Assuity Alassuity</v>
      </c>
      <c r="E136" s="583" t="s">
        <v>16</v>
      </c>
      <c r="F136" s="222" t="str">
        <f xml:space="preserve"> VLOOKUP($C136,Customers!$A$2:$Z$1010,5,FALSE)</f>
        <v>Fanshawe College</v>
      </c>
      <c r="G136" s="222" t="str">
        <f>VLOOKUP($C136,Customers!$A$2:$Z$1010,10,FALSE) &amp; ", " &amp; VLOOKUP($C136,Customers!$A$2:$Z$1010,11,FALSE)</f>
        <v>London, ON</v>
      </c>
      <c r="H136" s="222" t="str">
        <f>VLOOKUP($C136,Customers!$A$2:$Z$1010,13,FALSE)</f>
        <v>Canada</v>
      </c>
      <c r="I136" s="222" t="str">
        <f>VLOOKUP($C136,Customers!$A$2:$Z$1010,18,FALSE)</f>
        <v>CA</v>
      </c>
      <c r="J136" s="223" t="s">
        <v>304</v>
      </c>
      <c r="K136" s="224">
        <v>90</v>
      </c>
      <c r="L136" s="259">
        <v>1</v>
      </c>
      <c r="M136" s="224">
        <v>45</v>
      </c>
      <c r="N136" s="259">
        <f>1</f>
        <v>1</v>
      </c>
      <c r="O136" s="243" t="s">
        <v>16</v>
      </c>
      <c r="P136" s="224">
        <v>0</v>
      </c>
      <c r="Q136" s="243" t="s">
        <v>323</v>
      </c>
      <c r="R136" s="224">
        <v>110</v>
      </c>
      <c r="S136" s="224" t="s">
        <v>16</v>
      </c>
      <c r="T136" s="226" t="s">
        <v>3273</v>
      </c>
      <c r="U136" s="226" t="s">
        <v>3274</v>
      </c>
      <c r="V136" s="227">
        <v>195</v>
      </c>
      <c r="W136" s="228" t="s">
        <v>16</v>
      </c>
      <c r="X136" s="227">
        <v>90</v>
      </c>
      <c r="Y136" s="228" t="s">
        <v>16</v>
      </c>
      <c r="Z136" s="229">
        <f>195+90</f>
        <v>285</v>
      </c>
      <c r="AA136" s="240">
        <v>25</v>
      </c>
      <c r="AB136" s="240">
        <f t="shared" ref="AB136:AB139" si="33">SUM(Z136:AA136)</f>
        <v>310</v>
      </c>
      <c r="AC136" s="230" t="s">
        <v>304</v>
      </c>
      <c r="AD136" s="242" t="s">
        <v>16</v>
      </c>
      <c r="AE136" s="231">
        <v>45257</v>
      </c>
      <c r="AF136" s="219" t="s">
        <v>3275</v>
      </c>
      <c r="AG136" s="232">
        <v>7.13</v>
      </c>
      <c r="AH136" s="232">
        <v>6.52</v>
      </c>
      <c r="AI136" s="250" t="s">
        <v>304</v>
      </c>
      <c r="AJ136" s="218">
        <v>103191</v>
      </c>
      <c r="AK136" s="234">
        <v>45321</v>
      </c>
      <c r="AL136" s="235" t="s">
        <v>3276</v>
      </c>
    </row>
    <row r="137" spans="1:38" s="236" customFormat="1" ht="26.4" x14ac:dyDescent="0.3">
      <c r="A137" s="257">
        <v>45251</v>
      </c>
      <c r="B137" s="257" t="s">
        <v>3277</v>
      </c>
      <c r="C137" s="222" t="s">
        <v>2433</v>
      </c>
      <c r="D137" s="222" t="str">
        <f>VLOOKUP($C137,Customers!$A$2:$Z$1010,2,FALSE)</f>
        <v>Derek Kozakiewicz</v>
      </c>
      <c r="E137" s="583" t="s">
        <v>16</v>
      </c>
      <c r="F137" s="222" t="str">
        <f xml:space="preserve"> VLOOKUP($C137,Customers!$A$2:$Z$1010,5,FALSE)</f>
        <v>Ontario Ministry of the Environment, Conservation &amp; Parks</v>
      </c>
      <c r="G137" s="222" t="str">
        <f>VLOOKUP($C137,Customers!$A$2:$Z$1010,10,FALSE) &amp; ", " &amp; VLOOKUP($C137,Customers!$A$2:$Z$1010,11,FALSE)</f>
        <v>Etobicoke, ON</v>
      </c>
      <c r="H137" s="222" t="str">
        <f>VLOOKUP($C137,Customers!$A$2:$Z$1010,13,FALSE)</f>
        <v>Canada</v>
      </c>
      <c r="I137" s="222" t="str">
        <f>VLOOKUP($C137,Customers!$A$2:$Z$1010,18,FALSE)</f>
        <v>CG</v>
      </c>
      <c r="J137" s="335" t="s">
        <v>306</v>
      </c>
      <c r="K137" s="243" t="s">
        <v>16</v>
      </c>
      <c r="L137" s="335">
        <v>0</v>
      </c>
      <c r="M137" s="224">
        <v>0</v>
      </c>
      <c r="N137" s="335">
        <v>0</v>
      </c>
      <c r="O137" s="243" t="s">
        <v>16</v>
      </c>
      <c r="P137" s="224">
        <v>0</v>
      </c>
      <c r="Q137" s="243" t="s">
        <v>16</v>
      </c>
      <c r="R137" s="224">
        <v>0</v>
      </c>
      <c r="S137" s="224" t="s">
        <v>2303</v>
      </c>
      <c r="T137" s="237" t="s">
        <v>3278</v>
      </c>
      <c r="U137" s="226" t="s">
        <v>3279</v>
      </c>
      <c r="V137" s="228" t="s">
        <v>16</v>
      </c>
      <c r="W137" s="228" t="s">
        <v>16</v>
      </c>
      <c r="X137" s="228" t="s">
        <v>16</v>
      </c>
      <c r="Y137" s="227">
        <v>950</v>
      </c>
      <c r="Z137" s="241">
        <f>475*2</f>
        <v>950</v>
      </c>
      <c r="AA137" s="240" t="s">
        <v>308</v>
      </c>
      <c r="AB137" s="240">
        <f t="shared" si="33"/>
        <v>950</v>
      </c>
      <c r="AC137" s="240" t="s">
        <v>308</v>
      </c>
      <c r="AD137" s="242" t="s">
        <v>16</v>
      </c>
      <c r="AE137" s="238" t="s">
        <v>3280</v>
      </c>
      <c r="AF137" s="218" t="s">
        <v>308</v>
      </c>
      <c r="AG137" s="241" t="s">
        <v>308</v>
      </c>
      <c r="AH137" s="241" t="s">
        <v>308</v>
      </c>
      <c r="AI137" s="248" t="s">
        <v>304</v>
      </c>
      <c r="AJ137" s="233">
        <v>111254</v>
      </c>
      <c r="AK137" s="234">
        <v>45310</v>
      </c>
      <c r="AL137" s="252" t="s">
        <v>3281</v>
      </c>
    </row>
    <row r="138" spans="1:38" s="236" customFormat="1" ht="52.8" x14ac:dyDescent="0.3">
      <c r="A138" s="231">
        <v>45253</v>
      </c>
      <c r="B138" s="222" t="s">
        <v>3282</v>
      </c>
      <c r="C138" s="283" t="s">
        <v>1049</v>
      </c>
      <c r="D138" s="222" t="str">
        <f>VLOOKUP($C138,Customers!$A$2:$Z$1010,2,FALSE)</f>
        <v>Katheryn Klajman</v>
      </c>
      <c r="E138" s="583" t="s">
        <v>16</v>
      </c>
      <c r="F138" s="222" t="str">
        <f xml:space="preserve"> VLOOKUP($C138,Customers!$A$2:$Z$1010,5,FALSE)</f>
        <v>Testmark Laboratories Ltd.</v>
      </c>
      <c r="G138" s="222" t="str">
        <f>VLOOKUP($C138,Customers!$A$2:$Z$1010,10,FALSE) &amp; ", " &amp; VLOOKUP($C138,Customers!$A$2:$Z$1010,11,FALSE)</f>
        <v>Garson, ON</v>
      </c>
      <c r="H138" s="222" t="str">
        <f>VLOOKUP($C138,Customers!$A$2:$Z$1010,13,FALSE)</f>
        <v>Canada</v>
      </c>
      <c r="I138" s="222" t="str">
        <f>VLOOKUP($C138,Customers!$A$2:$Z$1010,18,FALSE)</f>
        <v>CC</v>
      </c>
      <c r="J138" s="223" t="s">
        <v>306</v>
      </c>
      <c r="K138" s="243" t="s">
        <v>16</v>
      </c>
      <c r="L138" s="251">
        <v>0</v>
      </c>
      <c r="M138" s="224">
        <v>0</v>
      </c>
      <c r="N138" s="251">
        <v>0</v>
      </c>
      <c r="O138" s="224" t="s">
        <v>371</v>
      </c>
      <c r="P138" s="224">
        <v>3</v>
      </c>
      <c r="Q138" s="243" t="s">
        <v>16</v>
      </c>
      <c r="R138" s="243">
        <v>0</v>
      </c>
      <c r="S138" s="224" t="s">
        <v>16</v>
      </c>
      <c r="T138" s="292" t="s">
        <v>372</v>
      </c>
      <c r="U138" s="313" t="s">
        <v>3283</v>
      </c>
      <c r="V138" s="228" t="s">
        <v>16</v>
      </c>
      <c r="W138" s="314">
        <f>75*3</f>
        <v>225</v>
      </c>
      <c r="X138" s="228" t="s">
        <v>16</v>
      </c>
      <c r="Y138" s="228" t="s">
        <v>16</v>
      </c>
      <c r="Z138" s="229">
        <f>75*3</f>
        <v>225</v>
      </c>
      <c r="AA138" s="229">
        <v>25</v>
      </c>
      <c r="AB138" s="240">
        <f t="shared" si="33"/>
        <v>250</v>
      </c>
      <c r="AC138" s="230" t="s">
        <v>304</v>
      </c>
      <c r="AD138" s="657" t="s">
        <v>16</v>
      </c>
      <c r="AE138" s="238">
        <v>45259</v>
      </c>
      <c r="AF138" s="219" t="s">
        <v>3284</v>
      </c>
      <c r="AG138" s="230">
        <v>7.58</v>
      </c>
      <c r="AH138" s="230">
        <v>7.53</v>
      </c>
      <c r="AI138" s="230" t="s">
        <v>304</v>
      </c>
      <c r="AJ138" s="233">
        <v>103703</v>
      </c>
      <c r="AK138" s="234">
        <v>45321</v>
      </c>
      <c r="AL138" s="252" t="s">
        <v>2871</v>
      </c>
    </row>
    <row r="139" spans="1:38" s="281" customFormat="1" ht="53.4" thickBot="1" x14ac:dyDescent="0.35">
      <c r="A139" s="297">
        <v>45259</v>
      </c>
      <c r="B139" s="262" t="s">
        <v>3285</v>
      </c>
      <c r="C139" s="264" t="s">
        <v>2465</v>
      </c>
      <c r="D139" s="264" t="str">
        <f>VLOOKUP($C139,Customers!$A$2:$Z$1010,2,FALSE)</f>
        <v>Ina Liedtke</v>
      </c>
      <c r="E139" s="584" t="s">
        <v>16</v>
      </c>
      <c r="F139" s="264" t="str">
        <f xml:space="preserve"> VLOOKUP($C139,Customers!$A$2:$Z$1010,5,FALSE)</f>
        <v>Hygiene-Institut des Ruhrgebiets, Institut fur Umwelhygiene und Toxikologie</v>
      </c>
      <c r="G139" s="264" t="str">
        <f>VLOOKUP($C139,Customers!$A$2:$Z$1010,10,FALSE) &amp; ", " &amp; VLOOKUP($C139,Customers!$A$2:$Z$1010,11,FALSE)</f>
        <v>Gelsenkirchen, North Rhine-Westphalia (NR)</v>
      </c>
      <c r="H139" s="264" t="str">
        <f>VLOOKUP($C139,Customers!$A$2:$Z$1010,13,FALSE)</f>
        <v>Germany</v>
      </c>
      <c r="I139" s="264" t="str">
        <f>VLOOKUP($C139,Customers!$A$2:$Z$1010,18,FALSE)</f>
        <v>IC</v>
      </c>
      <c r="J139" s="265" t="s">
        <v>304</v>
      </c>
      <c r="K139" s="261" t="s">
        <v>3286</v>
      </c>
      <c r="L139" s="332">
        <v>2</v>
      </c>
      <c r="M139" s="261" t="s">
        <v>1979</v>
      </c>
      <c r="N139" s="332">
        <f>2+2</f>
        <v>4</v>
      </c>
      <c r="O139" s="266" t="s">
        <v>16</v>
      </c>
      <c r="P139" s="261">
        <v>0</v>
      </c>
      <c r="Q139" s="266" t="s">
        <v>16</v>
      </c>
      <c r="R139" s="266">
        <v>0</v>
      </c>
      <c r="S139" s="261" t="s">
        <v>16</v>
      </c>
      <c r="T139" s="269" t="s">
        <v>3287</v>
      </c>
      <c r="U139" s="269" t="s">
        <v>3288</v>
      </c>
      <c r="V139" s="271">
        <f>260*2</f>
        <v>520</v>
      </c>
      <c r="W139" s="270" t="s">
        <v>16</v>
      </c>
      <c r="X139" s="270" t="s">
        <v>16</v>
      </c>
      <c r="Y139" s="270" t="s">
        <v>16</v>
      </c>
      <c r="Z139" s="273">
        <f>260*2</f>
        <v>520</v>
      </c>
      <c r="AA139" s="272">
        <f>60+25</f>
        <v>85</v>
      </c>
      <c r="AB139" s="273">
        <f t="shared" si="33"/>
        <v>605</v>
      </c>
      <c r="AC139" s="274" t="s">
        <v>304</v>
      </c>
      <c r="AD139" s="654" t="s">
        <v>3289</v>
      </c>
      <c r="AE139" s="276">
        <v>45264</v>
      </c>
      <c r="AF139" s="263" t="s">
        <v>3290</v>
      </c>
      <c r="AG139" s="274">
        <v>63.3</v>
      </c>
      <c r="AH139" s="274">
        <v>56.82</v>
      </c>
      <c r="AI139" s="297" t="s">
        <v>304</v>
      </c>
      <c r="AJ139" s="279">
        <v>111303</v>
      </c>
      <c r="AK139" s="289">
        <v>45338</v>
      </c>
      <c r="AL139" s="299" t="s">
        <v>3291</v>
      </c>
    </row>
    <row r="140" spans="1:38" s="236" customFormat="1" ht="39.6" x14ac:dyDescent="0.3">
      <c r="A140" s="257">
        <v>45265</v>
      </c>
      <c r="B140" s="218" t="s">
        <v>3292</v>
      </c>
      <c r="C140" s="283" t="s">
        <v>2479</v>
      </c>
      <c r="D140" s="222" t="str">
        <f>VLOOKUP($C140,Customers!$A$2:$Z$1010,2,FALSE)</f>
        <v>Jozef Nissimov</v>
      </c>
      <c r="E140" s="583" t="s">
        <v>16</v>
      </c>
      <c r="F140" s="222" t="str">
        <f xml:space="preserve"> VLOOKUP($C140,Customers!$A$2:$Z$1010,5,FALSE)</f>
        <v>University of Waterloo</v>
      </c>
      <c r="G140" s="222" t="str">
        <f>VLOOKUP($C140,Customers!$A$2:$Z$1010,10,FALSE) &amp; ", " &amp; VLOOKUP($C140,Customers!$A$2:$Z$1010,11,FALSE)</f>
        <v>Waterloo, ON</v>
      </c>
      <c r="H140" s="222" t="str">
        <f>VLOOKUP($C140,Customers!$A$2:$Z$1010,13,FALSE)</f>
        <v>Canada</v>
      </c>
      <c r="I140" s="222" t="str">
        <f>VLOOKUP($C140,Customers!$A$2:$Z$1010,18,FALSE)</f>
        <v>CA</v>
      </c>
      <c r="J140" s="223" t="s">
        <v>306</v>
      </c>
      <c r="K140" s="243" t="s">
        <v>16</v>
      </c>
      <c r="L140" s="259">
        <v>0</v>
      </c>
      <c r="M140" s="224">
        <v>0</v>
      </c>
      <c r="N140" s="259">
        <v>0</v>
      </c>
      <c r="O140" s="243" t="s">
        <v>16</v>
      </c>
      <c r="P140" s="224">
        <v>0</v>
      </c>
      <c r="Q140" s="243" t="s">
        <v>330</v>
      </c>
      <c r="R140" s="224">
        <v>5100</v>
      </c>
      <c r="S140" s="224" t="s">
        <v>16</v>
      </c>
      <c r="T140" s="226" t="s">
        <v>3293</v>
      </c>
      <c r="U140" s="226" t="s">
        <v>3294</v>
      </c>
      <c r="V140" s="228" t="s">
        <v>16</v>
      </c>
      <c r="W140" s="228" t="s">
        <v>16</v>
      </c>
      <c r="X140" s="227">
        <v>185</v>
      </c>
      <c r="Y140" s="228" t="s">
        <v>16</v>
      </c>
      <c r="Z140" s="240">
        <f>185</f>
        <v>185</v>
      </c>
      <c r="AA140" s="240" t="s">
        <v>308</v>
      </c>
      <c r="AB140" s="240">
        <f>SUM(Z140:AA140)</f>
        <v>185</v>
      </c>
      <c r="AC140" s="230" t="s">
        <v>304</v>
      </c>
      <c r="AD140" s="242" t="s">
        <v>16</v>
      </c>
      <c r="AE140" s="238">
        <v>45267</v>
      </c>
      <c r="AF140" s="231" t="s">
        <v>2858</v>
      </c>
      <c r="AG140" s="241" t="s">
        <v>308</v>
      </c>
      <c r="AH140" s="241" t="s">
        <v>308</v>
      </c>
      <c r="AI140" s="239" t="s">
        <v>308</v>
      </c>
      <c r="AJ140" s="223" t="s">
        <v>308</v>
      </c>
      <c r="AK140" s="234">
        <v>45293</v>
      </c>
      <c r="AL140" s="252" t="s">
        <v>3134</v>
      </c>
    </row>
    <row r="141" spans="1:38" s="236" customFormat="1" ht="52.8" x14ac:dyDescent="0.3">
      <c r="A141" s="257">
        <v>45267</v>
      </c>
      <c r="B141" s="224" t="s">
        <v>3295</v>
      </c>
      <c r="C141" s="283" t="s">
        <v>1045</v>
      </c>
      <c r="D141" s="222" t="str">
        <f>VLOOKUP($C141,Customers!$A$2:$Z$1010,2,FALSE)</f>
        <v>Adam Wartman</v>
      </c>
      <c r="E141" s="583" t="s">
        <v>2313</v>
      </c>
      <c r="F141" s="222" t="str">
        <f xml:space="preserve"> VLOOKUP($C141,Customers!$A$2:$Z$1010,5,FALSE)</f>
        <v>Nautilus Environmental Company Inc. - Guelph</v>
      </c>
      <c r="G141" s="222" t="str">
        <f>VLOOKUP($C141,Customers!$A$2:$Z$1010,10,FALSE) &amp; ", " &amp; VLOOKUP($C141,Customers!$A$2:$Z$1010,11,FALSE)</f>
        <v>Puslinch, ON</v>
      </c>
      <c r="H141" s="222" t="str">
        <f>VLOOKUP($C141,Customers!$A$2:$Z$1010,13,FALSE)</f>
        <v>Canada</v>
      </c>
      <c r="I141" s="222" t="str">
        <f>VLOOKUP($C141,Customers!$A$2:$Z$1010,18,FALSE)</f>
        <v>CC</v>
      </c>
      <c r="J141" s="223" t="s">
        <v>306</v>
      </c>
      <c r="K141" s="243" t="s">
        <v>16</v>
      </c>
      <c r="L141" s="251">
        <v>0</v>
      </c>
      <c r="M141" s="224">
        <v>0</v>
      </c>
      <c r="N141" s="251">
        <v>0</v>
      </c>
      <c r="O141" s="243" t="s">
        <v>16</v>
      </c>
      <c r="P141" s="224">
        <v>0</v>
      </c>
      <c r="Q141" s="224" t="s">
        <v>318</v>
      </c>
      <c r="R141" s="224">
        <v>2000</v>
      </c>
      <c r="S141" s="224" t="s">
        <v>16</v>
      </c>
      <c r="T141" s="226" t="s">
        <v>1192</v>
      </c>
      <c r="U141" s="226" t="s">
        <v>3296</v>
      </c>
      <c r="V141" s="228" t="s">
        <v>16</v>
      </c>
      <c r="W141" s="228" t="s">
        <v>16</v>
      </c>
      <c r="X141" s="227">
        <v>525</v>
      </c>
      <c r="Y141" s="228" t="s">
        <v>16</v>
      </c>
      <c r="Z141" s="229">
        <f>500+25</f>
        <v>525</v>
      </c>
      <c r="AA141" s="240">
        <v>25</v>
      </c>
      <c r="AB141" s="240">
        <f t="shared" ref="AB141:AB144" si="34">SUM(Z141:AA141)</f>
        <v>550</v>
      </c>
      <c r="AC141" s="230" t="s">
        <v>304</v>
      </c>
      <c r="AD141" s="242" t="s">
        <v>16</v>
      </c>
      <c r="AE141" s="238">
        <v>45272</v>
      </c>
      <c r="AF141" s="219" t="s">
        <v>3297</v>
      </c>
      <c r="AG141" s="232">
        <v>7.19</v>
      </c>
      <c r="AH141" s="241">
        <v>7.17</v>
      </c>
      <c r="AI141" s="239" t="s">
        <v>304</v>
      </c>
      <c r="AJ141" s="233">
        <v>102886</v>
      </c>
      <c r="AK141" s="234">
        <v>45338</v>
      </c>
      <c r="AL141" s="235" t="s">
        <v>3298</v>
      </c>
    </row>
    <row r="142" spans="1:38" s="236" customFormat="1" ht="66" x14ac:dyDescent="0.3">
      <c r="A142" s="231">
        <v>45271</v>
      </c>
      <c r="B142" s="222" t="s">
        <v>3299</v>
      </c>
      <c r="C142" s="283" t="s">
        <v>1051</v>
      </c>
      <c r="D142" s="222" t="str">
        <f>VLOOKUP($C142,Customers!$A$2:$Z$1010,2,FALSE)</f>
        <v>Andreas Heyland</v>
      </c>
      <c r="E142" s="583" t="s">
        <v>2044</v>
      </c>
      <c r="F142" s="222" t="str">
        <f xml:space="preserve"> VLOOKUP($C142,Customers!$A$2:$Z$1010,5,FALSE)</f>
        <v>University of Guelph</v>
      </c>
      <c r="G142" s="222" t="str">
        <f>VLOOKUP($C142,Customers!$A$2:$Z$1010,10,FALSE) &amp; ", " &amp; VLOOKUP($C142,Customers!$A$2:$Z$1010,11,FALSE)</f>
        <v>Guelph, ON</v>
      </c>
      <c r="H142" s="222" t="str">
        <f>VLOOKUP($C142,Customers!$A$2:$Z$1010,13,FALSE)</f>
        <v>Canada</v>
      </c>
      <c r="I142" s="222" t="str">
        <f>VLOOKUP($C142,Customers!$A$2:$Z$1010,18,FALSE)</f>
        <v>CA</v>
      </c>
      <c r="J142" s="223" t="s">
        <v>306</v>
      </c>
      <c r="K142" s="243" t="s">
        <v>16</v>
      </c>
      <c r="L142" s="251">
        <v>0</v>
      </c>
      <c r="M142" s="224">
        <v>0</v>
      </c>
      <c r="N142" s="251">
        <v>0</v>
      </c>
      <c r="O142" s="243" t="s">
        <v>16</v>
      </c>
      <c r="P142" s="224">
        <v>0</v>
      </c>
      <c r="Q142" s="243" t="s">
        <v>388</v>
      </c>
      <c r="R142" s="224">
        <v>200</v>
      </c>
      <c r="S142" s="224" t="s">
        <v>16</v>
      </c>
      <c r="T142" s="226" t="s">
        <v>3300</v>
      </c>
      <c r="U142" s="226" t="s">
        <v>3301</v>
      </c>
      <c r="V142" s="228" t="s">
        <v>16</v>
      </c>
      <c r="W142" s="228" t="s">
        <v>16</v>
      </c>
      <c r="X142" s="227">
        <v>90</v>
      </c>
      <c r="Y142" s="228" t="s">
        <v>16</v>
      </c>
      <c r="Z142" s="229">
        <f>90</f>
        <v>90</v>
      </c>
      <c r="AA142" s="230">
        <v>10</v>
      </c>
      <c r="AB142" s="240">
        <f t="shared" si="34"/>
        <v>100</v>
      </c>
      <c r="AC142" s="230" t="s">
        <v>304</v>
      </c>
      <c r="AD142" s="648" t="s">
        <v>3957</v>
      </c>
      <c r="AE142" s="231">
        <v>45272</v>
      </c>
      <c r="AF142" s="256" t="s">
        <v>370</v>
      </c>
      <c r="AG142" s="241" t="s">
        <v>308</v>
      </c>
      <c r="AH142" s="241" t="s">
        <v>308</v>
      </c>
      <c r="AI142" s="330" t="s">
        <v>304</v>
      </c>
      <c r="AJ142" s="233">
        <v>103794</v>
      </c>
      <c r="AK142" s="234">
        <v>45338</v>
      </c>
      <c r="AL142" s="252" t="s">
        <v>3302</v>
      </c>
    </row>
    <row r="143" spans="1:38" s="236" customFormat="1" ht="39.6" x14ac:dyDescent="0.3">
      <c r="A143" s="257">
        <v>45271</v>
      </c>
      <c r="B143" s="218" t="s">
        <v>3303</v>
      </c>
      <c r="C143" s="283" t="s">
        <v>1046</v>
      </c>
      <c r="D143" s="222" t="str">
        <f>VLOOKUP($C143,Customers!$A$2:$Z$1010,2,FALSE)</f>
        <v>Edyta Pasiak</v>
      </c>
      <c r="E143" s="583" t="s">
        <v>16</v>
      </c>
      <c r="F143" s="222" t="str">
        <f xml:space="preserve"> VLOOKUP($C143,Customers!$A$2:$Z$1010,5,FALSE)</f>
        <v>Nautilus Environmental Company Inc. - Point Edward</v>
      </c>
      <c r="G143" s="222" t="str">
        <f>VLOOKUP($C143,Customers!$A$2:$Z$1010,10,FALSE) &amp; ", " &amp; VLOOKUP($C143,Customers!$A$2:$Z$1010,11,FALSE)</f>
        <v>Point Edward, ON</v>
      </c>
      <c r="H143" s="222" t="str">
        <f>VLOOKUP($C143,Customers!$A$2:$Z$1010,13,FALSE)</f>
        <v>Canada</v>
      </c>
      <c r="I143" s="222" t="str">
        <f>VLOOKUP($C143,Customers!$A$2:$Z$1010,18,FALSE)</f>
        <v>CC</v>
      </c>
      <c r="J143" s="223" t="s">
        <v>306</v>
      </c>
      <c r="K143" s="224">
        <v>37</v>
      </c>
      <c r="L143" s="259">
        <v>1</v>
      </c>
      <c r="M143" s="224">
        <v>15</v>
      </c>
      <c r="N143" s="259">
        <f>1</f>
        <v>1</v>
      </c>
      <c r="O143" s="243" t="s">
        <v>16</v>
      </c>
      <c r="P143" s="224">
        <v>0</v>
      </c>
      <c r="Q143" s="224" t="s">
        <v>382</v>
      </c>
      <c r="R143" s="224">
        <v>200</v>
      </c>
      <c r="S143" s="224" t="s">
        <v>16</v>
      </c>
      <c r="T143" s="226" t="s">
        <v>3304</v>
      </c>
      <c r="U143" s="226" t="s">
        <v>3305</v>
      </c>
      <c r="V143" s="227">
        <v>200</v>
      </c>
      <c r="W143" s="228" t="s">
        <v>16</v>
      </c>
      <c r="X143" s="228">
        <v>60</v>
      </c>
      <c r="Y143" s="228" t="s">
        <v>16</v>
      </c>
      <c r="Z143" s="240">
        <f>200+(20*3)</f>
        <v>260</v>
      </c>
      <c r="AA143" s="240">
        <v>25</v>
      </c>
      <c r="AB143" s="240">
        <f t="shared" si="34"/>
        <v>285</v>
      </c>
      <c r="AC143" s="230" t="s">
        <v>304</v>
      </c>
      <c r="AD143" s="242" t="s">
        <v>3306</v>
      </c>
      <c r="AE143" s="231">
        <v>45293</v>
      </c>
      <c r="AF143" s="219" t="s">
        <v>3307</v>
      </c>
      <c r="AG143" s="232">
        <v>7.19</v>
      </c>
      <c r="AH143" s="241">
        <v>6.58</v>
      </c>
      <c r="AI143" s="239" t="s">
        <v>304</v>
      </c>
      <c r="AJ143" s="218">
        <v>103547</v>
      </c>
      <c r="AK143" s="234">
        <v>45345</v>
      </c>
      <c r="AL143" s="252" t="s">
        <v>3308</v>
      </c>
    </row>
    <row r="144" spans="1:38" s="236" customFormat="1" ht="158.4" x14ac:dyDescent="0.3">
      <c r="A144" s="257">
        <v>45273</v>
      </c>
      <c r="B144" s="218" t="s">
        <v>3309</v>
      </c>
      <c r="C144" s="283" t="s">
        <v>1047</v>
      </c>
      <c r="D144" s="222" t="str">
        <f>VLOOKUP($C144,Customers!$A$2:$Z$1010,2,FALSE)</f>
        <v>Michael (Mike) Schulz</v>
      </c>
      <c r="E144" s="583" t="s">
        <v>16</v>
      </c>
      <c r="F144" s="222" t="str">
        <f xml:space="preserve"> VLOOKUP($C144,Customers!$A$2:$Z$1010,5,FALSE)</f>
        <v>Portage College</v>
      </c>
      <c r="G144" s="222" t="str">
        <f>VLOOKUP($C144,Customers!$A$2:$Z$1010,10,FALSE) &amp; ", " &amp; VLOOKUP($C144,Customers!$A$2:$Z$1010,11,FALSE)</f>
        <v>Lac La Biche, AB</v>
      </c>
      <c r="H144" s="222" t="str">
        <f>VLOOKUP($C144,Customers!$A$2:$Z$1010,13,FALSE)</f>
        <v>Canada</v>
      </c>
      <c r="I144" s="222" t="str">
        <f>VLOOKUP($C144,Customers!$A$2:$Z$1010,18,FALSE)</f>
        <v>CA</v>
      </c>
      <c r="J144" s="253" t="s">
        <v>306</v>
      </c>
      <c r="K144" s="224">
        <v>492</v>
      </c>
      <c r="L144" s="253">
        <v>1</v>
      </c>
      <c r="M144" s="224">
        <v>100</v>
      </c>
      <c r="N144" s="253">
        <f>4</f>
        <v>4</v>
      </c>
      <c r="O144" s="243" t="s">
        <v>16</v>
      </c>
      <c r="P144" s="224">
        <v>0</v>
      </c>
      <c r="Q144" s="243" t="s">
        <v>16</v>
      </c>
      <c r="R144" s="224">
        <v>0</v>
      </c>
      <c r="S144" s="224" t="s">
        <v>16</v>
      </c>
      <c r="T144" s="301" t="s">
        <v>3310</v>
      </c>
      <c r="U144" s="301" t="s">
        <v>3311</v>
      </c>
      <c r="V144" s="227">
        <v>230</v>
      </c>
      <c r="W144" s="228" t="s">
        <v>16</v>
      </c>
      <c r="X144" s="228" t="s">
        <v>16</v>
      </c>
      <c r="Y144" s="228" t="s">
        <v>16</v>
      </c>
      <c r="Z144" s="302">
        <f>230</f>
        <v>230</v>
      </c>
      <c r="AA144" s="240">
        <v>35</v>
      </c>
      <c r="AB144" s="240">
        <f t="shared" si="34"/>
        <v>265</v>
      </c>
      <c r="AC144" s="230" t="s">
        <v>304</v>
      </c>
      <c r="AD144" s="242" t="s">
        <v>16</v>
      </c>
      <c r="AE144" s="231">
        <v>45293</v>
      </c>
      <c r="AF144" s="219" t="s">
        <v>3312</v>
      </c>
      <c r="AG144" s="241">
        <v>26.33</v>
      </c>
      <c r="AH144" s="241">
        <v>29.67</v>
      </c>
      <c r="AI144" s="218" t="s">
        <v>304</v>
      </c>
      <c r="AJ144" s="218">
        <v>105342</v>
      </c>
      <c r="AK144" s="234">
        <v>45349</v>
      </c>
      <c r="AL144" s="255" t="s">
        <v>3313</v>
      </c>
    </row>
    <row r="145" spans="1:38" s="236" customFormat="1" ht="39.6" x14ac:dyDescent="0.3">
      <c r="A145" s="257">
        <v>45274</v>
      </c>
      <c r="B145" s="224" t="s">
        <v>3314</v>
      </c>
      <c r="C145" s="283" t="s">
        <v>1038</v>
      </c>
      <c r="D145" s="222" t="str">
        <f>VLOOKUP($C145,Customers!$A$2:$Z$1010,2,FALSE)</f>
        <v>Janetta Fraser</v>
      </c>
      <c r="E145" s="342" t="s">
        <v>16</v>
      </c>
      <c r="F145" s="222" t="str">
        <f xml:space="preserve"> VLOOKUP($C145,Customers!$A$2:$Z$1010,5,FALSE)</f>
        <v>Harris Industrial Testing Service Ltd. (HITS)</v>
      </c>
      <c r="G145" s="222" t="str">
        <f>VLOOKUP($C145,Customers!$A$2:$Z$1010,10,FALSE) &amp; ", " &amp; VLOOKUP($C145,Customers!$A$2:$Z$1010,11,FALSE)</f>
        <v>Waverley, NS</v>
      </c>
      <c r="H145" s="222" t="str">
        <f>VLOOKUP($C145,Customers!$A$2:$Z$1010,13,FALSE)</f>
        <v>Canada</v>
      </c>
      <c r="I145" s="222" t="str">
        <f>VLOOKUP($C145,Customers!$A$2:$Z$1010,18,FALSE)</f>
        <v>CC</v>
      </c>
      <c r="J145" s="223" t="s">
        <v>306</v>
      </c>
      <c r="K145" s="224">
        <v>266</v>
      </c>
      <c r="L145" s="223">
        <v>1</v>
      </c>
      <c r="M145" s="224">
        <v>15</v>
      </c>
      <c r="N145" s="223">
        <f>1</f>
        <v>1</v>
      </c>
      <c r="O145" s="244" t="s">
        <v>16</v>
      </c>
      <c r="P145" s="222">
        <v>0</v>
      </c>
      <c r="Q145" s="244" t="s">
        <v>16</v>
      </c>
      <c r="R145" s="222">
        <v>0</v>
      </c>
      <c r="S145" s="224" t="s">
        <v>16</v>
      </c>
      <c r="T145" s="226" t="s">
        <v>391</v>
      </c>
      <c r="U145" s="226" t="s">
        <v>417</v>
      </c>
      <c r="V145" s="227">
        <v>200</v>
      </c>
      <c r="W145" s="228" t="s">
        <v>16</v>
      </c>
      <c r="X145" s="228" t="s">
        <v>16</v>
      </c>
      <c r="Y145" s="228" t="s">
        <v>16</v>
      </c>
      <c r="Z145" s="230">
        <f>200</f>
        <v>200</v>
      </c>
      <c r="AA145" s="240">
        <v>25</v>
      </c>
      <c r="AB145" s="230">
        <f>SUM(Z145:AA145)</f>
        <v>225</v>
      </c>
      <c r="AC145" s="230" t="s">
        <v>304</v>
      </c>
      <c r="AD145" s="652" t="s">
        <v>16</v>
      </c>
      <c r="AE145" s="231">
        <v>45278</v>
      </c>
      <c r="AF145" s="219" t="s">
        <v>3315</v>
      </c>
      <c r="AG145" s="232">
        <v>20.09</v>
      </c>
      <c r="AH145" s="232">
        <v>18.16</v>
      </c>
      <c r="AI145" s="258" t="s">
        <v>304</v>
      </c>
      <c r="AJ145" s="233">
        <v>103252</v>
      </c>
      <c r="AK145" s="234">
        <v>45349</v>
      </c>
      <c r="AL145" s="255" t="s">
        <v>2865</v>
      </c>
    </row>
    <row r="146" spans="1:38" s="281" customFormat="1" ht="40.200000000000003" thickBot="1" x14ac:dyDescent="0.35">
      <c r="A146" s="297">
        <v>45275</v>
      </c>
      <c r="B146" s="262" t="s">
        <v>3316</v>
      </c>
      <c r="C146" s="284" t="s">
        <v>1050</v>
      </c>
      <c r="D146" s="264" t="str">
        <f>VLOOKUP($C146,Customers!$A$2:$Z$1010,2,FALSE)</f>
        <v>Michelle Tseng</v>
      </c>
      <c r="E146" s="586" t="s">
        <v>16</v>
      </c>
      <c r="F146" s="264" t="str">
        <f xml:space="preserve"> VLOOKUP($C146,Customers!$A$2:$Z$1010,5,FALSE)</f>
        <v>University of British Columbia</v>
      </c>
      <c r="G146" s="264" t="str">
        <f>VLOOKUP($C146,Customers!$A$2:$Z$1010,10,FALSE) &amp; ", " &amp; VLOOKUP($C146,Customers!$A$2:$Z$1010,11,FALSE)</f>
        <v>Vancouver, BC</v>
      </c>
      <c r="H146" s="264" t="str">
        <f>VLOOKUP($C146,Customers!$A$2:$Z$1010,13,FALSE)</f>
        <v>Canada</v>
      </c>
      <c r="I146" s="264" t="str">
        <f>VLOOKUP($C146,Customers!$A$2:$Z$1010,18,FALSE)</f>
        <v>CA</v>
      </c>
      <c r="J146" s="262" t="s">
        <v>306</v>
      </c>
      <c r="K146" s="261">
        <v>5</v>
      </c>
      <c r="L146" s="262">
        <v>1</v>
      </c>
      <c r="M146" s="261">
        <v>15</v>
      </c>
      <c r="N146" s="262">
        <f>1</f>
        <v>1</v>
      </c>
      <c r="O146" s="275" t="s">
        <v>16</v>
      </c>
      <c r="P146" s="264">
        <v>0</v>
      </c>
      <c r="Q146" s="275" t="s">
        <v>16</v>
      </c>
      <c r="R146" s="264">
        <v>0</v>
      </c>
      <c r="S146" s="261" t="s">
        <v>16</v>
      </c>
      <c r="T146" s="269" t="s">
        <v>3317</v>
      </c>
      <c r="U146" s="269" t="s">
        <v>1202</v>
      </c>
      <c r="V146" s="271">
        <v>135</v>
      </c>
      <c r="W146" s="270" t="s">
        <v>16</v>
      </c>
      <c r="X146" s="270" t="s">
        <v>16</v>
      </c>
      <c r="Y146" s="270" t="s">
        <v>16</v>
      </c>
      <c r="Z146" s="296">
        <f>135</f>
        <v>135</v>
      </c>
      <c r="AA146" s="272">
        <v>30</v>
      </c>
      <c r="AB146" s="274">
        <f>SUM(Z146:AA146)</f>
        <v>165</v>
      </c>
      <c r="AC146" s="274" t="s">
        <v>304</v>
      </c>
      <c r="AD146" s="266" t="s">
        <v>16</v>
      </c>
      <c r="AE146" s="276">
        <v>45278</v>
      </c>
      <c r="AF146" s="263" t="s">
        <v>3318</v>
      </c>
      <c r="AG146" s="277">
        <v>17.7</v>
      </c>
      <c r="AH146" s="277">
        <v>21.32</v>
      </c>
      <c r="AI146" s="296" t="s">
        <v>304</v>
      </c>
      <c r="AJ146" s="279">
        <v>104982</v>
      </c>
      <c r="AK146" s="289">
        <v>45345</v>
      </c>
      <c r="AL146" s="299" t="s">
        <v>3319</v>
      </c>
    </row>
    <row r="147" spans="1:38" s="236" customFormat="1" ht="58.2" customHeight="1" x14ac:dyDescent="0.3">
      <c r="A147" s="238">
        <v>45293</v>
      </c>
      <c r="B147" s="222" t="s">
        <v>1120</v>
      </c>
      <c r="C147" s="325" t="s">
        <v>2584</v>
      </c>
      <c r="D147" s="222" t="str">
        <f>VLOOKUP($C147,Customers!$A$2:$Z$1010,2,FALSE)</f>
        <v>Beria Lima de Rodriguez</v>
      </c>
      <c r="E147" s="342" t="s">
        <v>16</v>
      </c>
      <c r="F147" s="222" t="str">
        <f xml:space="preserve"> VLOOKUP($C147,Customers!$A$2:$Z$1010,5,FALSE)</f>
        <v>Bureau Veritas Laboratories - Montreal</v>
      </c>
      <c r="G147" s="222" t="str">
        <f>VLOOKUP($C147,Customers!$A$2:$Z$1010,10,FALSE) &amp; ", " &amp; VLOOKUP($C147,Customers!$A$2:$Z$1010,11,FALSE)</f>
        <v>Saint-Laurent, QC</v>
      </c>
      <c r="H147" s="222" t="str">
        <f>VLOOKUP($C147,Customers!$A$2:$Z$1010,13,FALSE)</f>
        <v>Canada</v>
      </c>
      <c r="I147" s="222" t="str">
        <f>VLOOKUP($C147,Customers!$A$2:$Z$1010,18,FALSE)</f>
        <v>CC</v>
      </c>
      <c r="J147" s="223" t="s">
        <v>306</v>
      </c>
      <c r="K147" s="222">
        <v>37</v>
      </c>
      <c r="L147" s="222">
        <v>1</v>
      </c>
      <c r="M147" s="222">
        <v>30</v>
      </c>
      <c r="N147" s="222">
        <f>2</f>
        <v>2</v>
      </c>
      <c r="O147" s="244" t="s">
        <v>16</v>
      </c>
      <c r="P147" s="222">
        <v>0</v>
      </c>
      <c r="Q147" s="244" t="s">
        <v>16</v>
      </c>
      <c r="R147" s="222">
        <v>0</v>
      </c>
      <c r="S147" s="224" t="s">
        <v>16</v>
      </c>
      <c r="T147" s="292" t="s">
        <v>415</v>
      </c>
      <c r="U147" s="226" t="s">
        <v>385</v>
      </c>
      <c r="V147" s="227">
        <v>260</v>
      </c>
      <c r="W147" s="228" t="s">
        <v>16</v>
      </c>
      <c r="X147" s="228" t="s">
        <v>16</v>
      </c>
      <c r="Y147" s="228" t="s">
        <v>16</v>
      </c>
      <c r="Z147" s="230">
        <f>260</f>
        <v>260</v>
      </c>
      <c r="AA147" s="229">
        <v>25</v>
      </c>
      <c r="AB147" s="230">
        <f t="shared" ref="AB147:AB148" si="35">SUM(Z147:AA147)</f>
        <v>285</v>
      </c>
      <c r="AC147" s="230" t="s">
        <v>304</v>
      </c>
      <c r="AD147" s="222" t="s">
        <v>1121</v>
      </c>
      <c r="AE147" s="231">
        <v>45299</v>
      </c>
      <c r="AF147" s="219" t="s">
        <v>1122</v>
      </c>
      <c r="AG147" s="232">
        <v>9.83</v>
      </c>
      <c r="AH147" s="232">
        <v>10.1</v>
      </c>
      <c r="AI147" s="230" t="s">
        <v>304</v>
      </c>
      <c r="AJ147" s="233">
        <v>103380</v>
      </c>
      <c r="AK147" s="234">
        <v>45345</v>
      </c>
      <c r="AL147" s="252" t="s">
        <v>3320</v>
      </c>
    </row>
    <row r="148" spans="1:38" s="236" customFormat="1" ht="48.75" customHeight="1" x14ac:dyDescent="0.3">
      <c r="A148" s="257">
        <v>45294</v>
      </c>
      <c r="B148" s="224" t="s">
        <v>1123</v>
      </c>
      <c r="C148" s="283" t="s">
        <v>2306</v>
      </c>
      <c r="D148" s="222" t="str">
        <f>VLOOKUP($C148,Customers!$A$2:$Z$1010,2,FALSE)</f>
        <v>Megan Bauer</v>
      </c>
      <c r="E148" s="342" t="s">
        <v>16</v>
      </c>
      <c r="F148" s="222" t="str">
        <f xml:space="preserve"> VLOOKUP($C148,Customers!$A$2:$Z$1010,5,FALSE)</f>
        <v>Environment and Climate Change Canada (ECCC) - Atlantic Laboratory for Environmental Testing (ALET)</v>
      </c>
      <c r="G148" s="222" t="str">
        <f>VLOOKUP($C148,Customers!$A$2:$Z$1010,10,FALSE) &amp; ", " &amp; VLOOKUP($C148,Customers!$A$2:$Z$1010,11,FALSE)</f>
        <v>Moncton, NB</v>
      </c>
      <c r="H148" s="222" t="str">
        <f>VLOOKUP($C148,Customers!$A$2:$Z$1010,13,FALSE)</f>
        <v>Canada</v>
      </c>
      <c r="I148" s="222" t="str">
        <f>VLOOKUP($C148,Customers!$A$2:$Z$1010,18,FALSE)</f>
        <v>CG</v>
      </c>
      <c r="J148" s="223" t="s">
        <v>306</v>
      </c>
      <c r="K148" s="341">
        <v>715</v>
      </c>
      <c r="L148" s="334">
        <v>1</v>
      </c>
      <c r="M148" s="334">
        <v>15</v>
      </c>
      <c r="N148" s="334">
        <f>1</f>
        <v>1</v>
      </c>
      <c r="O148" s="225" t="s">
        <v>16</v>
      </c>
      <c r="P148" s="341">
        <v>0</v>
      </c>
      <c r="Q148" s="341" t="s">
        <v>318</v>
      </c>
      <c r="R148" s="341">
        <v>500</v>
      </c>
      <c r="S148" s="224" t="s">
        <v>16</v>
      </c>
      <c r="T148" s="226" t="s">
        <v>1124</v>
      </c>
      <c r="U148" s="226" t="s">
        <v>1125</v>
      </c>
      <c r="V148" s="227">
        <v>135</v>
      </c>
      <c r="W148" s="228" t="s">
        <v>16</v>
      </c>
      <c r="X148" s="227">
        <v>180</v>
      </c>
      <c r="Y148" s="228" t="s">
        <v>16</v>
      </c>
      <c r="Z148" s="229">
        <f>135+180</f>
        <v>315</v>
      </c>
      <c r="AA148" s="230">
        <v>40</v>
      </c>
      <c r="AB148" s="240">
        <f t="shared" si="35"/>
        <v>355</v>
      </c>
      <c r="AC148" s="230" t="s">
        <v>304</v>
      </c>
      <c r="AD148" s="242" t="s">
        <v>16</v>
      </c>
      <c r="AE148" s="231">
        <v>45299</v>
      </c>
      <c r="AF148" s="219" t="s">
        <v>1126</v>
      </c>
      <c r="AG148" s="232">
        <v>33.57</v>
      </c>
      <c r="AH148" s="232">
        <v>30.34</v>
      </c>
      <c r="AI148" s="230" t="s">
        <v>304</v>
      </c>
      <c r="AJ148" s="218">
        <v>103165</v>
      </c>
      <c r="AK148" s="234">
        <v>45345</v>
      </c>
      <c r="AL148" s="235" t="s">
        <v>1127</v>
      </c>
    </row>
    <row r="149" spans="1:38" s="236" customFormat="1" ht="39.6" customHeight="1" x14ac:dyDescent="0.3">
      <c r="A149" s="231">
        <v>45294</v>
      </c>
      <c r="B149" s="222" t="s">
        <v>1128</v>
      </c>
      <c r="C149" s="283" t="s">
        <v>1410</v>
      </c>
      <c r="D149" s="222" t="str">
        <f>VLOOKUP($C149,Customers!$A$2:$Z$1010,2,FALSE)</f>
        <v>Shawna Kirkpatrick</v>
      </c>
      <c r="E149" s="219" t="s">
        <v>1820</v>
      </c>
      <c r="F149" s="222" t="str">
        <f xml:space="preserve"> VLOOKUP($C149,Customers!$A$2:$Z$1010,5,FALSE)</f>
        <v>Nautilus Environmental Company Inc. - Guelph</v>
      </c>
      <c r="G149" s="222" t="str">
        <f>VLOOKUP($C149,Customers!$A$2:$Z$1010,10,FALSE) &amp; ", " &amp; VLOOKUP($C149,Customers!$A$2:$Z$1010,11,FALSE)</f>
        <v>Puslinch, ON</v>
      </c>
      <c r="H149" s="222" t="str">
        <f>VLOOKUP($C149,Customers!$A$2:$Z$1010,13,FALSE)</f>
        <v>Canada</v>
      </c>
      <c r="I149" s="222" t="str">
        <f>VLOOKUP($C149,Customers!$A$2:$Z$1010,18,FALSE)</f>
        <v>CC</v>
      </c>
      <c r="J149" s="223" t="s">
        <v>306</v>
      </c>
      <c r="K149" s="341">
        <v>37</v>
      </c>
      <c r="L149" s="341">
        <v>1</v>
      </c>
      <c r="M149" s="341">
        <v>15</v>
      </c>
      <c r="N149" s="341">
        <f>1</f>
        <v>1</v>
      </c>
      <c r="O149" s="244" t="s">
        <v>16</v>
      </c>
      <c r="P149" s="341">
        <v>0</v>
      </c>
      <c r="Q149" s="244" t="s">
        <v>16</v>
      </c>
      <c r="R149" s="341">
        <v>0</v>
      </c>
      <c r="S149" s="224" t="s">
        <v>16</v>
      </c>
      <c r="T149" s="226" t="s">
        <v>360</v>
      </c>
      <c r="U149" s="226" t="s">
        <v>417</v>
      </c>
      <c r="V149" s="227">
        <v>200</v>
      </c>
      <c r="W149" s="228" t="s">
        <v>16</v>
      </c>
      <c r="X149" s="228" t="s">
        <v>16</v>
      </c>
      <c r="Y149" s="228" t="s">
        <v>16</v>
      </c>
      <c r="Z149" s="230">
        <f>200</f>
        <v>200</v>
      </c>
      <c r="AA149" s="230">
        <v>25</v>
      </c>
      <c r="AB149" s="229">
        <f>SUM(Z149:AA149)</f>
        <v>225</v>
      </c>
      <c r="AC149" s="230" t="s">
        <v>304</v>
      </c>
      <c r="AD149" s="222" t="s">
        <v>1129</v>
      </c>
      <c r="AE149" s="231">
        <v>45299</v>
      </c>
      <c r="AF149" s="219" t="s">
        <v>1130</v>
      </c>
      <c r="AG149" s="232">
        <v>6.54</v>
      </c>
      <c r="AH149" s="232">
        <v>5.99</v>
      </c>
      <c r="AI149" s="239" t="s">
        <v>304</v>
      </c>
      <c r="AJ149" s="233">
        <v>102886</v>
      </c>
      <c r="AK149" s="234">
        <v>45401</v>
      </c>
      <c r="AL149" s="235" t="s">
        <v>3321</v>
      </c>
    </row>
    <row r="150" spans="1:38" s="236" customFormat="1" ht="39.6" x14ac:dyDescent="0.3">
      <c r="A150" s="257">
        <v>45294</v>
      </c>
      <c r="B150" s="224" t="s">
        <v>1131</v>
      </c>
      <c r="C150" s="283" t="s">
        <v>1054</v>
      </c>
      <c r="D150" s="222" t="str">
        <f>VLOOKUP($C150,Customers!$A$2:$Z$1010,2,FALSE)</f>
        <v>Carlos Cruz</v>
      </c>
      <c r="E150" s="342" t="s">
        <v>16</v>
      </c>
      <c r="F150" s="222" t="str">
        <f xml:space="preserve"> VLOOKUP($C150,Customers!$A$2:$Z$1010,5,FALSE)</f>
        <v>University of Toronto</v>
      </c>
      <c r="G150" s="222" t="str">
        <f>VLOOKUP($C150,Customers!$A$2:$Z$1010,10,FALSE) &amp; ", " &amp; VLOOKUP($C150,Customers!$A$2:$Z$1010,11,FALSE)</f>
        <v>Toronto, ON</v>
      </c>
      <c r="H150" s="222" t="str">
        <f>VLOOKUP($C150,Customers!$A$2:$Z$1010,13,FALSE)</f>
        <v>Canada</v>
      </c>
      <c r="I150" s="222" t="str">
        <f>VLOOKUP($C150,Customers!$A$2:$Z$1010,18,FALSE)</f>
        <v>CA</v>
      </c>
      <c r="J150" s="218" t="s">
        <v>306</v>
      </c>
      <c r="K150" s="224">
        <v>90</v>
      </c>
      <c r="L150" s="224">
        <v>1</v>
      </c>
      <c r="M150" s="224">
        <v>15</v>
      </c>
      <c r="N150" s="224">
        <f>1</f>
        <v>1</v>
      </c>
      <c r="O150" s="225" t="s">
        <v>16</v>
      </c>
      <c r="P150" s="224">
        <v>0</v>
      </c>
      <c r="Q150" s="224" t="s">
        <v>323</v>
      </c>
      <c r="R150" s="224">
        <v>220</v>
      </c>
      <c r="S150" s="224" t="s">
        <v>16</v>
      </c>
      <c r="T150" s="301" t="s">
        <v>1132</v>
      </c>
      <c r="U150" s="301" t="s">
        <v>1133</v>
      </c>
      <c r="V150" s="227">
        <v>135</v>
      </c>
      <c r="W150" s="228" t="s">
        <v>16</v>
      </c>
      <c r="X150" s="227">
        <v>125</v>
      </c>
      <c r="Y150" s="228" t="s">
        <v>16</v>
      </c>
      <c r="Z150" s="241">
        <f>135+125</f>
        <v>260</v>
      </c>
      <c r="AA150" s="241" t="s">
        <v>308</v>
      </c>
      <c r="AB150" s="241">
        <f>SUM(Z150:AA150)</f>
        <v>260</v>
      </c>
      <c r="AC150" s="230" t="s">
        <v>304</v>
      </c>
      <c r="AD150" s="243" t="s">
        <v>16</v>
      </c>
      <c r="AE150" s="231">
        <v>45309</v>
      </c>
      <c r="AF150" s="219" t="s">
        <v>1134</v>
      </c>
      <c r="AG150" s="230" t="s">
        <v>308</v>
      </c>
      <c r="AH150" s="230" t="s">
        <v>308</v>
      </c>
      <c r="AI150" s="322" t="s">
        <v>304</v>
      </c>
      <c r="AJ150" s="233">
        <v>103819</v>
      </c>
      <c r="AK150" s="231">
        <v>45359</v>
      </c>
      <c r="AL150" s="252" t="s">
        <v>1135</v>
      </c>
    </row>
    <row r="151" spans="1:38" s="236" customFormat="1" ht="52.8" x14ac:dyDescent="0.3">
      <c r="A151" s="257">
        <v>45295</v>
      </c>
      <c r="B151" s="224" t="s">
        <v>1136</v>
      </c>
      <c r="C151" s="283" t="s">
        <v>2258</v>
      </c>
      <c r="D151" s="222" t="str">
        <f>VLOOKUP($C151,Customers!$A$2:$Z$1010,2,FALSE)</f>
        <v>Andrew Cameron</v>
      </c>
      <c r="E151" s="219" t="s">
        <v>2155</v>
      </c>
      <c r="F151" s="222" t="str">
        <f xml:space="preserve"> VLOOKUP($C151,Customers!$A$2:$Z$1010,5,FALSE)</f>
        <v>University of Regina</v>
      </c>
      <c r="G151" s="222" t="str">
        <f>VLOOKUP($C151,Customers!$A$2:$Z$1010,10,FALSE) &amp; ", " &amp; VLOOKUP($C151,Customers!$A$2:$Z$1010,11,FALSE)</f>
        <v>Regina, SK</v>
      </c>
      <c r="H151" s="222" t="str">
        <f>VLOOKUP($C151,Customers!$A$2:$Z$1010,13,FALSE)</f>
        <v>Canada</v>
      </c>
      <c r="I151" s="222" t="str">
        <f>VLOOKUP($C151,Customers!$A$2:$Z$1010,18,FALSE)</f>
        <v>CA</v>
      </c>
      <c r="J151" s="218" t="s">
        <v>304</v>
      </c>
      <c r="K151" s="334" t="s">
        <v>407</v>
      </c>
      <c r="L151" s="334">
        <v>2</v>
      </c>
      <c r="M151" s="334" t="s">
        <v>1973</v>
      </c>
      <c r="N151" s="334">
        <f>1+1</f>
        <v>2</v>
      </c>
      <c r="O151" s="244" t="s">
        <v>16</v>
      </c>
      <c r="P151" s="334">
        <v>0</v>
      </c>
      <c r="Q151" s="244" t="s">
        <v>16</v>
      </c>
      <c r="R151" s="334">
        <v>0</v>
      </c>
      <c r="S151" s="224" t="s">
        <v>16</v>
      </c>
      <c r="T151" s="226" t="s">
        <v>1137</v>
      </c>
      <c r="U151" s="226" t="s">
        <v>1138</v>
      </c>
      <c r="V151" s="227">
        <f>135*2</f>
        <v>270</v>
      </c>
      <c r="W151" s="228" t="s">
        <v>16</v>
      </c>
      <c r="X151" s="228" t="s">
        <v>16</v>
      </c>
      <c r="Y151" s="228" t="s">
        <v>16</v>
      </c>
      <c r="Z151" s="240">
        <f>135*2</f>
        <v>270</v>
      </c>
      <c r="AA151" s="240">
        <v>30</v>
      </c>
      <c r="AB151" s="230">
        <f>SUM(Z151:AA151)</f>
        <v>300</v>
      </c>
      <c r="AC151" s="230" t="s">
        <v>304</v>
      </c>
      <c r="AD151" s="243" t="s">
        <v>16</v>
      </c>
      <c r="AE151" s="231">
        <v>45320</v>
      </c>
      <c r="AF151" s="219" t="s">
        <v>1139</v>
      </c>
      <c r="AG151" s="232">
        <v>22.98</v>
      </c>
      <c r="AH151" s="232">
        <v>22.25</v>
      </c>
      <c r="AI151" s="322" t="s">
        <v>304</v>
      </c>
      <c r="AJ151" s="233">
        <v>107933</v>
      </c>
      <c r="AK151" s="231">
        <v>45359</v>
      </c>
      <c r="AL151" s="252" t="s">
        <v>1140</v>
      </c>
    </row>
    <row r="152" spans="1:38" s="236" customFormat="1" ht="52.8" x14ac:dyDescent="0.3">
      <c r="A152" s="257">
        <v>45300</v>
      </c>
      <c r="B152" s="224" t="s">
        <v>1141</v>
      </c>
      <c r="C152" s="283" t="s">
        <v>1036</v>
      </c>
      <c r="D152" s="222" t="str">
        <f>VLOOKUP($C152,Customers!$A$2:$Z$1010,2,FALSE)</f>
        <v>Karyne Plante</v>
      </c>
      <c r="E152" s="342" t="s">
        <v>16</v>
      </c>
      <c r="F152" s="222" t="str">
        <f xml:space="preserve"> VLOOKUP($C152,Customers!$A$2:$Z$1010,5,FALSE)</f>
        <v>Eurofins - EnvironeX</v>
      </c>
      <c r="G152" s="222" t="str">
        <f>VLOOKUP($C152,Customers!$A$2:$Z$1010,10,FALSE) &amp; ", " &amp; VLOOKUP($C152,Customers!$A$2:$Z$1010,11,FALSE)</f>
        <v>Quebec, QC</v>
      </c>
      <c r="H152" s="222" t="str">
        <f>VLOOKUP($C152,Customers!$A$2:$Z$1010,13,FALSE)</f>
        <v>Canada</v>
      </c>
      <c r="I152" s="222" t="str">
        <f>VLOOKUP($C152,Customers!$A$2:$Z$1010,18,FALSE)</f>
        <v>CC</v>
      </c>
      <c r="J152" s="259" t="s">
        <v>306</v>
      </c>
      <c r="K152" s="334" t="s">
        <v>320</v>
      </c>
      <c r="L152" s="334">
        <v>2</v>
      </c>
      <c r="M152" s="334" t="s">
        <v>1977</v>
      </c>
      <c r="N152" s="334">
        <f>1+1</f>
        <v>2</v>
      </c>
      <c r="O152" s="244" t="s">
        <v>16</v>
      </c>
      <c r="P152" s="334">
        <v>0</v>
      </c>
      <c r="Q152" s="244" t="s">
        <v>16</v>
      </c>
      <c r="R152" s="334">
        <v>0</v>
      </c>
      <c r="S152" s="224" t="s">
        <v>16</v>
      </c>
      <c r="T152" s="226" t="s">
        <v>357</v>
      </c>
      <c r="U152" s="316" t="s">
        <v>420</v>
      </c>
      <c r="V152" s="317">
        <f>200*2</f>
        <v>400</v>
      </c>
      <c r="W152" s="228" t="s">
        <v>16</v>
      </c>
      <c r="X152" s="228" t="s">
        <v>16</v>
      </c>
      <c r="Y152" s="228" t="s">
        <v>16</v>
      </c>
      <c r="Z152" s="240">
        <f>200*2</f>
        <v>400</v>
      </c>
      <c r="AA152" s="230">
        <v>25</v>
      </c>
      <c r="AB152" s="240">
        <f t="shared" ref="AB152:AB164" si="36">SUM(Z152:AA152)</f>
        <v>425</v>
      </c>
      <c r="AC152" s="230" t="s">
        <v>304</v>
      </c>
      <c r="AD152" s="318" t="s">
        <v>1142</v>
      </c>
      <c r="AE152" s="231">
        <v>45313</v>
      </c>
      <c r="AF152" s="219" t="s">
        <v>1143</v>
      </c>
      <c r="AG152" s="232">
        <v>8.5299999999999994</v>
      </c>
      <c r="AH152" s="232">
        <v>10.65</v>
      </c>
      <c r="AI152" s="248" t="s">
        <v>304</v>
      </c>
      <c r="AJ152" s="223">
        <v>104582</v>
      </c>
      <c r="AK152" s="231">
        <v>45359</v>
      </c>
      <c r="AL152" s="255" t="s">
        <v>3322</v>
      </c>
    </row>
    <row r="153" spans="1:38" s="236" customFormat="1" ht="39.6" customHeight="1" x14ac:dyDescent="0.3">
      <c r="A153" s="257">
        <v>45307</v>
      </c>
      <c r="B153" s="224" t="s">
        <v>1144</v>
      </c>
      <c r="C153" s="283" t="s">
        <v>1041</v>
      </c>
      <c r="D153" s="222" t="str">
        <f>VLOOKUP($C153,Customers!$A$2:$Z$1010,2,FALSE)</f>
        <v>David Haight</v>
      </c>
      <c r="E153" s="342" t="s">
        <v>822</v>
      </c>
      <c r="F153" s="222" t="str">
        <f xml:space="preserve"> VLOOKUP($C153,Customers!$A$2:$Z$1010,5,FALSE)</f>
        <v>Lethbridge College</v>
      </c>
      <c r="G153" s="222" t="str">
        <f>VLOOKUP($C153,Customers!$A$2:$Z$1010,10,FALSE) &amp; ", " &amp; VLOOKUP($C153,Customers!$A$2:$Z$1010,11,FALSE)</f>
        <v>Lethbridge, AB</v>
      </c>
      <c r="H153" s="222" t="str">
        <f>VLOOKUP($C153,Customers!$A$2:$Z$1010,13,FALSE)</f>
        <v>Canada</v>
      </c>
      <c r="I153" s="222" t="str">
        <f>VLOOKUP($C153,Customers!$A$2:$Z$1010,18,FALSE)</f>
        <v>CA</v>
      </c>
      <c r="J153" s="218" t="s">
        <v>306</v>
      </c>
      <c r="K153" s="224">
        <v>492</v>
      </c>
      <c r="L153" s="224">
        <v>1</v>
      </c>
      <c r="M153" s="224">
        <v>50</v>
      </c>
      <c r="N153" s="224">
        <f>2</f>
        <v>2</v>
      </c>
      <c r="O153" s="224" t="s">
        <v>371</v>
      </c>
      <c r="P153" s="224">
        <v>2</v>
      </c>
      <c r="Q153" s="225" t="s">
        <v>16</v>
      </c>
      <c r="R153" s="224">
        <v>0</v>
      </c>
      <c r="S153" s="224" t="s">
        <v>16</v>
      </c>
      <c r="T153" s="301" t="s">
        <v>1145</v>
      </c>
      <c r="U153" s="301" t="s">
        <v>1146</v>
      </c>
      <c r="V153" s="227">
        <v>175</v>
      </c>
      <c r="W153" s="227">
        <f>65*2</f>
        <v>130</v>
      </c>
      <c r="X153" s="228" t="s">
        <v>16</v>
      </c>
      <c r="Y153" s="228" t="s">
        <v>16</v>
      </c>
      <c r="Z153" s="241">
        <f>175+65*2</f>
        <v>305</v>
      </c>
      <c r="AA153" s="241">
        <v>40</v>
      </c>
      <c r="AB153" s="240">
        <f t="shared" si="36"/>
        <v>345</v>
      </c>
      <c r="AC153" s="230" t="s">
        <v>304</v>
      </c>
      <c r="AD153" s="243" t="s">
        <v>1147</v>
      </c>
      <c r="AE153" s="231">
        <v>45320</v>
      </c>
      <c r="AF153" s="219" t="s">
        <v>1148</v>
      </c>
      <c r="AG153" s="232">
        <v>31.99</v>
      </c>
      <c r="AH153" s="232">
        <v>30.97</v>
      </c>
      <c r="AI153" s="245" t="s">
        <v>304</v>
      </c>
      <c r="AJ153" s="218">
        <v>105436</v>
      </c>
      <c r="AK153" s="231">
        <v>45363</v>
      </c>
      <c r="AL153" s="252" t="s">
        <v>1149</v>
      </c>
    </row>
    <row r="154" spans="1:38" s="236" customFormat="1" ht="92.4" x14ac:dyDescent="0.3">
      <c r="A154" s="231">
        <v>45310</v>
      </c>
      <c r="B154" s="222" t="s">
        <v>1150</v>
      </c>
      <c r="C154" s="283" t="s">
        <v>1049</v>
      </c>
      <c r="D154" s="222" t="str">
        <f>VLOOKUP($C154,Customers!$A$2:$Z$1010,2,FALSE)</f>
        <v>Katheryn Klajman</v>
      </c>
      <c r="E154" s="342" t="s">
        <v>16</v>
      </c>
      <c r="F154" s="222" t="str">
        <f xml:space="preserve"> VLOOKUP($C154,Customers!$A$2:$Z$1010,5,FALSE)</f>
        <v>Testmark Laboratories Ltd.</v>
      </c>
      <c r="G154" s="222" t="str">
        <f>VLOOKUP($C154,Customers!$A$2:$Z$1010,10,FALSE) &amp; ", " &amp; VLOOKUP($C154,Customers!$A$2:$Z$1010,11,FALSE)</f>
        <v>Garson, ON</v>
      </c>
      <c r="H154" s="222" t="str">
        <f>VLOOKUP($C154,Customers!$A$2:$Z$1010,13,FALSE)</f>
        <v>Canada</v>
      </c>
      <c r="I154" s="222" t="str">
        <f>VLOOKUP($C154,Customers!$A$2:$Z$1010,18,FALSE)</f>
        <v>CC</v>
      </c>
      <c r="J154" s="223" t="s">
        <v>306</v>
      </c>
      <c r="K154" s="242" t="s">
        <v>16</v>
      </c>
      <c r="L154" s="341">
        <v>0</v>
      </c>
      <c r="M154" s="341">
        <v>0</v>
      </c>
      <c r="N154" s="341">
        <v>0</v>
      </c>
      <c r="O154" s="341" t="s">
        <v>371</v>
      </c>
      <c r="P154" s="341">
        <v>2</v>
      </c>
      <c r="Q154" s="244" t="s">
        <v>16</v>
      </c>
      <c r="R154" s="341">
        <v>0</v>
      </c>
      <c r="S154" s="224" t="s">
        <v>16</v>
      </c>
      <c r="T154" s="226" t="s">
        <v>3323</v>
      </c>
      <c r="U154" s="313" t="s">
        <v>1151</v>
      </c>
      <c r="V154" s="228" t="s">
        <v>16</v>
      </c>
      <c r="W154" s="314">
        <f>80*2</f>
        <v>160</v>
      </c>
      <c r="X154" s="228" t="s">
        <v>16</v>
      </c>
      <c r="Y154" s="228" t="s">
        <v>16</v>
      </c>
      <c r="Z154" s="229">
        <f>80*2</f>
        <v>160</v>
      </c>
      <c r="AA154" s="229">
        <v>25</v>
      </c>
      <c r="AB154" s="240">
        <f t="shared" si="36"/>
        <v>185</v>
      </c>
      <c r="AC154" s="230" t="s">
        <v>304</v>
      </c>
      <c r="AD154" s="657" t="s">
        <v>1152</v>
      </c>
      <c r="AE154" s="238">
        <v>45320</v>
      </c>
      <c r="AF154" s="219" t="s">
        <v>1153</v>
      </c>
      <c r="AG154" s="230">
        <v>8.57</v>
      </c>
      <c r="AH154" s="230">
        <v>7.84</v>
      </c>
      <c r="AI154" s="230" t="s">
        <v>304</v>
      </c>
      <c r="AJ154" s="233">
        <v>103703</v>
      </c>
      <c r="AK154" s="231">
        <v>45363</v>
      </c>
      <c r="AL154" s="252" t="s">
        <v>2871</v>
      </c>
    </row>
    <row r="155" spans="1:38" s="236" customFormat="1" ht="52.8" x14ac:dyDescent="0.3">
      <c r="A155" s="257">
        <v>45315</v>
      </c>
      <c r="B155" s="218" t="s">
        <v>3324</v>
      </c>
      <c r="C155" s="283" t="s">
        <v>2489</v>
      </c>
      <c r="D155" s="222" t="str">
        <f>VLOOKUP($C155,Customers!$A$2:$Z$1010,2,FALSE)</f>
        <v>Kirsten Müller</v>
      </c>
      <c r="E155" s="219" t="s">
        <v>2086</v>
      </c>
      <c r="F155" s="222" t="str">
        <f xml:space="preserve"> VLOOKUP($C155,Customers!$A$2:$Z$1010,5,FALSE)</f>
        <v>University of Waterloo</v>
      </c>
      <c r="G155" s="222" t="str">
        <f>VLOOKUP($C155,Customers!$A$2:$Z$1010,10,FALSE) &amp; ", " &amp; VLOOKUP($C155,Customers!$A$2:$Z$1010,11,FALSE)</f>
        <v>Waterloo, ON</v>
      </c>
      <c r="H155" s="222" t="str">
        <f>VLOOKUP($C155,Customers!$A$2:$Z$1010,13,FALSE)</f>
        <v>Canada</v>
      </c>
      <c r="I155" s="222" t="str">
        <f>VLOOKUP($C155,Customers!$A$2:$Z$1010,18,FALSE)</f>
        <v>CA</v>
      </c>
      <c r="J155" s="218" t="s">
        <v>304</v>
      </c>
      <c r="K155" s="243" t="s">
        <v>16</v>
      </c>
      <c r="L155" s="224">
        <v>0</v>
      </c>
      <c r="M155" s="224">
        <v>0</v>
      </c>
      <c r="N155" s="224">
        <v>0</v>
      </c>
      <c r="O155" s="243" t="s">
        <v>16</v>
      </c>
      <c r="P155" s="224">
        <v>0</v>
      </c>
      <c r="Q155" s="243" t="s">
        <v>16</v>
      </c>
      <c r="R155" s="224">
        <v>0</v>
      </c>
      <c r="S155" s="224" t="s">
        <v>2303</v>
      </c>
      <c r="T155" s="1136" t="s">
        <v>421</v>
      </c>
      <c r="U155" s="1136" t="s">
        <v>1154</v>
      </c>
      <c r="V155" s="228" t="s">
        <v>16</v>
      </c>
      <c r="W155" s="228" t="s">
        <v>16</v>
      </c>
      <c r="X155" s="228" t="s">
        <v>16</v>
      </c>
      <c r="Y155" s="227">
        <v>600</v>
      </c>
      <c r="Z155" s="241">
        <f>600</f>
        <v>600</v>
      </c>
      <c r="AA155" s="241" t="s">
        <v>308</v>
      </c>
      <c r="AB155" s="240">
        <f t="shared" si="36"/>
        <v>600</v>
      </c>
      <c r="AC155" s="230" t="s">
        <v>308</v>
      </c>
      <c r="AD155" s="243" t="s">
        <v>16</v>
      </c>
      <c r="AE155" s="224" t="s">
        <v>1155</v>
      </c>
      <c r="AF155" s="218" t="s">
        <v>308</v>
      </c>
      <c r="AG155" s="241" t="s">
        <v>308</v>
      </c>
      <c r="AH155" s="241" t="s">
        <v>308</v>
      </c>
      <c r="AI155" s="319" t="s">
        <v>308</v>
      </c>
      <c r="AJ155" s="218" t="s">
        <v>308</v>
      </c>
      <c r="AK155" s="231">
        <v>45394</v>
      </c>
      <c r="AL155" s="323" t="s">
        <v>3325</v>
      </c>
    </row>
    <row r="156" spans="1:38" s="236" customFormat="1" ht="52.8" x14ac:dyDescent="0.3">
      <c r="A156" s="257">
        <v>45315</v>
      </c>
      <c r="B156" s="224" t="s">
        <v>3326</v>
      </c>
      <c r="C156" s="283" t="s">
        <v>2524</v>
      </c>
      <c r="D156" s="222" t="str">
        <f>VLOOKUP($C156,Customers!$A$2:$Z$1010,2,FALSE)</f>
        <v>Monica Emelko</v>
      </c>
      <c r="E156" s="219" t="s">
        <v>2099</v>
      </c>
      <c r="F156" s="222" t="str">
        <f xml:space="preserve"> VLOOKUP($C156,Customers!$A$2:$Z$1010,5,FALSE)</f>
        <v>University of Waterloo</v>
      </c>
      <c r="G156" s="222" t="str">
        <f>VLOOKUP($C156,Customers!$A$2:$Z$1010,10,FALSE) &amp; ", " &amp; VLOOKUP($C156,Customers!$A$2:$Z$1010,11,FALSE)</f>
        <v>Waterloo, ON</v>
      </c>
      <c r="H156" s="222" t="str">
        <f>VLOOKUP($C156,Customers!$A$2:$Z$1010,13,FALSE)</f>
        <v>Canada</v>
      </c>
      <c r="I156" s="222" t="str">
        <f>VLOOKUP($C156,Customers!$A$2:$Z$1010,18,FALSE)</f>
        <v>CA</v>
      </c>
      <c r="J156" s="218" t="s">
        <v>304</v>
      </c>
      <c r="K156" s="243" t="s">
        <v>16</v>
      </c>
      <c r="L156" s="224">
        <v>0</v>
      </c>
      <c r="M156" s="224">
        <v>0</v>
      </c>
      <c r="N156" s="224">
        <v>0</v>
      </c>
      <c r="O156" s="243" t="s">
        <v>16</v>
      </c>
      <c r="P156" s="224">
        <v>0</v>
      </c>
      <c r="Q156" s="243" t="s">
        <v>16</v>
      </c>
      <c r="R156" s="224">
        <v>0</v>
      </c>
      <c r="S156" s="224" t="s">
        <v>2303</v>
      </c>
      <c r="T156" s="1136"/>
      <c r="U156" s="1136"/>
      <c r="V156" s="228" t="s">
        <v>16</v>
      </c>
      <c r="W156" s="228" t="s">
        <v>16</v>
      </c>
      <c r="X156" s="228" t="s">
        <v>16</v>
      </c>
      <c r="Y156" s="227">
        <v>600</v>
      </c>
      <c r="Z156" s="241">
        <f>600</f>
        <v>600</v>
      </c>
      <c r="AA156" s="241" t="s">
        <v>308</v>
      </c>
      <c r="AB156" s="240">
        <f t="shared" si="36"/>
        <v>600</v>
      </c>
      <c r="AC156" s="230" t="s">
        <v>308</v>
      </c>
      <c r="AD156" s="243" t="s">
        <v>16</v>
      </c>
      <c r="AE156" s="224" t="s">
        <v>1155</v>
      </c>
      <c r="AF156" s="218" t="s">
        <v>308</v>
      </c>
      <c r="AG156" s="241" t="s">
        <v>308</v>
      </c>
      <c r="AH156" s="241" t="s">
        <v>308</v>
      </c>
      <c r="AI156" s="319" t="s">
        <v>308</v>
      </c>
      <c r="AJ156" s="218" t="s">
        <v>308</v>
      </c>
      <c r="AK156" s="231">
        <v>45394</v>
      </c>
      <c r="AL156" s="323" t="s">
        <v>3327</v>
      </c>
    </row>
    <row r="157" spans="1:38" s="236" customFormat="1" ht="52.8" x14ac:dyDescent="0.3">
      <c r="A157" s="257">
        <v>45321</v>
      </c>
      <c r="B157" s="224" t="s">
        <v>1156</v>
      </c>
      <c r="C157" s="283" t="s">
        <v>2259</v>
      </c>
      <c r="D157" s="222" t="str">
        <f>VLOOKUP($C157,Customers!$A$2:$Z$1010,2,FALSE)</f>
        <v>Ellen Fanning</v>
      </c>
      <c r="E157" s="342" t="s">
        <v>16</v>
      </c>
      <c r="F157" s="222" t="str">
        <f xml:space="preserve"> VLOOKUP($C157,Customers!$A$2:$Z$1010,5,FALSE)</f>
        <v>Huntsman Marine Science Centre</v>
      </c>
      <c r="G157" s="222" t="str">
        <f>VLOOKUP($C157,Customers!$A$2:$Z$1010,10,FALSE) &amp; ", " &amp; VLOOKUP($C157,Customers!$A$2:$Z$1010,11,FALSE)</f>
        <v>Saint Andrews, NB</v>
      </c>
      <c r="H157" s="222" t="str">
        <f>VLOOKUP($C157,Customers!$A$2:$Z$1010,13,FALSE)</f>
        <v>Canada</v>
      </c>
      <c r="I157" s="222" t="str">
        <f>VLOOKUP($C157,Customers!$A$2:$Z$1010,18,FALSE)</f>
        <v>CA</v>
      </c>
      <c r="J157" s="223" t="s">
        <v>304</v>
      </c>
      <c r="K157" s="341" t="s">
        <v>3328</v>
      </c>
      <c r="L157" s="341">
        <v>2</v>
      </c>
      <c r="M157" s="341" t="s">
        <v>1978</v>
      </c>
      <c r="N157" s="341">
        <f>1+1</f>
        <v>2</v>
      </c>
      <c r="O157" s="225" t="s">
        <v>16</v>
      </c>
      <c r="P157" s="341">
        <v>0</v>
      </c>
      <c r="Q157" s="341" t="s">
        <v>318</v>
      </c>
      <c r="R157" s="341">
        <v>500</v>
      </c>
      <c r="S157" s="224" t="s">
        <v>16</v>
      </c>
      <c r="T157" s="226" t="s">
        <v>1157</v>
      </c>
      <c r="U157" s="226" t="s">
        <v>4092</v>
      </c>
      <c r="V157" s="518">
        <f>175*2</f>
        <v>350</v>
      </c>
      <c r="W157" s="519" t="s">
        <v>16</v>
      </c>
      <c r="X157" s="518">
        <v>180</v>
      </c>
      <c r="Y157" s="519" t="s">
        <v>16</v>
      </c>
      <c r="Z157" s="229">
        <f>175*2+180</f>
        <v>530</v>
      </c>
      <c r="AA157" s="230">
        <v>50</v>
      </c>
      <c r="AB157" s="240">
        <f t="shared" si="36"/>
        <v>580</v>
      </c>
      <c r="AC157" s="230" t="s">
        <v>304</v>
      </c>
      <c r="AD157" s="242" t="s">
        <v>1158</v>
      </c>
      <c r="AE157" s="238">
        <v>45327</v>
      </c>
      <c r="AF157" s="219" t="s">
        <v>1159</v>
      </c>
      <c r="AG157" s="520">
        <v>44.91</v>
      </c>
      <c r="AH157" s="241">
        <v>40.590000000000003</v>
      </c>
      <c r="AI157" s="330" t="s">
        <v>304</v>
      </c>
      <c r="AJ157" s="223">
        <v>106159</v>
      </c>
      <c r="AK157" s="231">
        <v>45379</v>
      </c>
      <c r="AL157" s="343" t="s">
        <v>3329</v>
      </c>
    </row>
    <row r="158" spans="1:38" s="344" customFormat="1" ht="26.4" x14ac:dyDescent="0.3">
      <c r="A158" s="257">
        <v>45321</v>
      </c>
      <c r="B158" s="224" t="s">
        <v>1160</v>
      </c>
      <c r="C158" s="521" t="s">
        <v>1432</v>
      </c>
      <c r="D158" s="222" t="str">
        <f>VLOOKUP($C158,Customers!$A$2:$Z$1010,2,FALSE)</f>
        <v>Ryan Prosser</v>
      </c>
      <c r="E158" s="293" t="s">
        <v>2233</v>
      </c>
      <c r="F158" s="222" t="str">
        <f xml:space="preserve"> VLOOKUP($C158,Customers!$A$2:$Z$1010,5,FALSE)</f>
        <v>University of Guelph</v>
      </c>
      <c r="G158" s="222" t="str">
        <f>VLOOKUP($C158,Customers!$A$2:$Z$1010,10,FALSE) &amp; ", " &amp; VLOOKUP($C158,Customers!$A$2:$Z$1010,11,FALSE)</f>
        <v>Guelph, ON</v>
      </c>
      <c r="H158" s="222" t="str">
        <f>VLOOKUP($C158,Customers!$A$2:$Z$1010,13,FALSE)</f>
        <v>Canada</v>
      </c>
      <c r="I158" s="222" t="str">
        <f>VLOOKUP($C158,Customers!$A$2:$Z$1010,18,FALSE)</f>
        <v>CA</v>
      </c>
      <c r="J158" s="257" t="s">
        <v>306</v>
      </c>
      <c r="K158" s="341">
        <v>492</v>
      </c>
      <c r="L158" s="341">
        <v>1</v>
      </c>
      <c r="M158" s="341">
        <v>75</v>
      </c>
      <c r="N158" s="341">
        <f>3</f>
        <v>3</v>
      </c>
      <c r="O158" s="224" t="s">
        <v>371</v>
      </c>
      <c r="P158" s="341">
        <v>3</v>
      </c>
      <c r="Q158" s="225" t="s">
        <v>16</v>
      </c>
      <c r="R158" s="341">
        <v>0</v>
      </c>
      <c r="S158" s="224" t="s">
        <v>16</v>
      </c>
      <c r="T158" s="226" t="s">
        <v>1161</v>
      </c>
      <c r="U158" s="316" t="s">
        <v>1162</v>
      </c>
      <c r="V158" s="522">
        <v>195</v>
      </c>
      <c r="W158" s="522">
        <f>60*3</f>
        <v>180</v>
      </c>
      <c r="X158" s="519" t="s">
        <v>16</v>
      </c>
      <c r="Y158" s="519" t="s">
        <v>16</v>
      </c>
      <c r="Z158" s="229">
        <f>195+60*3</f>
        <v>375</v>
      </c>
      <c r="AA158" s="240">
        <v>5</v>
      </c>
      <c r="AB158" s="240">
        <f t="shared" si="36"/>
        <v>380</v>
      </c>
      <c r="AC158" s="230" t="s">
        <v>304</v>
      </c>
      <c r="AD158" s="243" t="s">
        <v>1163</v>
      </c>
      <c r="AE158" s="238">
        <v>45330</v>
      </c>
      <c r="AF158" s="238" t="s">
        <v>1164</v>
      </c>
      <c r="AG158" s="241" t="s">
        <v>308</v>
      </c>
      <c r="AH158" s="241" t="s">
        <v>308</v>
      </c>
      <c r="AI158" s="319" t="s">
        <v>304</v>
      </c>
      <c r="AJ158" s="233">
        <v>103794</v>
      </c>
      <c r="AK158" s="231">
        <v>45363</v>
      </c>
      <c r="AL158" s="260" t="s">
        <v>1165</v>
      </c>
    </row>
    <row r="159" spans="1:38" s="281" customFormat="1" ht="48" customHeight="1" thickBot="1" x14ac:dyDescent="0.35">
      <c r="A159" s="297">
        <v>45321</v>
      </c>
      <c r="B159" s="261" t="s">
        <v>1166</v>
      </c>
      <c r="C159" s="284" t="s">
        <v>2306</v>
      </c>
      <c r="D159" s="264" t="str">
        <f>VLOOKUP($C159,Customers!$A$2:$Z$1010,2,FALSE)</f>
        <v>Megan Bauer</v>
      </c>
      <c r="E159" s="586" t="s">
        <v>16</v>
      </c>
      <c r="F159" s="264" t="str">
        <f xml:space="preserve"> VLOOKUP($C159,Customers!$A$2:$Z$1010,5,FALSE)</f>
        <v>Environment and Climate Change Canada (ECCC) - Atlantic Laboratory for Environmental Testing (ALET)</v>
      </c>
      <c r="G159" s="264" t="str">
        <f>VLOOKUP($C159,Customers!$A$2:$Z$1010,10,FALSE) &amp; ", " &amp; VLOOKUP($C159,Customers!$A$2:$Z$1010,11,FALSE)</f>
        <v>Moncton, NB</v>
      </c>
      <c r="H159" s="264" t="str">
        <f>VLOOKUP($C159,Customers!$A$2:$Z$1010,13,FALSE)</f>
        <v>Canada</v>
      </c>
      <c r="I159" s="264" t="str">
        <f>VLOOKUP($C159,Customers!$A$2:$Z$1010,18,FALSE)</f>
        <v>CG</v>
      </c>
      <c r="J159" s="265" t="s">
        <v>306</v>
      </c>
      <c r="K159" s="345" t="s">
        <v>2305</v>
      </c>
      <c r="L159" s="346">
        <v>2</v>
      </c>
      <c r="M159" s="346" t="s">
        <v>1978</v>
      </c>
      <c r="N159" s="346">
        <f>2+2</f>
        <v>4</v>
      </c>
      <c r="O159" s="275" t="s">
        <v>16</v>
      </c>
      <c r="P159" s="345">
        <v>0</v>
      </c>
      <c r="Q159" s="275" t="s">
        <v>16</v>
      </c>
      <c r="R159" s="345">
        <v>0</v>
      </c>
      <c r="S159" s="261" t="s">
        <v>16</v>
      </c>
      <c r="T159" s="269" t="s">
        <v>1167</v>
      </c>
      <c r="U159" s="269" t="s">
        <v>1168</v>
      </c>
      <c r="V159" s="271">
        <f>175*2</f>
        <v>350</v>
      </c>
      <c r="W159" s="270" t="s">
        <v>16</v>
      </c>
      <c r="X159" s="270" t="s">
        <v>16</v>
      </c>
      <c r="Y159" s="270" t="s">
        <v>16</v>
      </c>
      <c r="Z159" s="272">
        <f>175*2</f>
        <v>350</v>
      </c>
      <c r="AA159" s="274">
        <v>45</v>
      </c>
      <c r="AB159" s="273">
        <f t="shared" si="36"/>
        <v>395</v>
      </c>
      <c r="AC159" s="274" t="s">
        <v>304</v>
      </c>
      <c r="AD159" s="654" t="s">
        <v>16</v>
      </c>
      <c r="AE159" s="320">
        <v>45327</v>
      </c>
      <c r="AF159" s="263" t="s">
        <v>1169</v>
      </c>
      <c r="AG159" s="277">
        <v>39.97</v>
      </c>
      <c r="AH159" s="277">
        <v>36.130000000000003</v>
      </c>
      <c r="AI159" s="274" t="s">
        <v>304</v>
      </c>
      <c r="AJ159" s="262">
        <v>103165</v>
      </c>
      <c r="AK159" s="276">
        <v>45363</v>
      </c>
      <c r="AL159" s="280" t="s">
        <v>1170</v>
      </c>
    </row>
    <row r="160" spans="1:38" s="747" customFormat="1" ht="66" x14ac:dyDescent="0.3">
      <c r="A160" s="257">
        <v>45323</v>
      </c>
      <c r="B160" s="224" t="s">
        <v>1171</v>
      </c>
      <c r="C160" s="283" t="s">
        <v>1349</v>
      </c>
      <c r="D160" s="222" t="str">
        <f>VLOOKUP($C160,Customers!$A$2:$Z$1010,2,FALSE)</f>
        <v>Hélène Loranger</v>
      </c>
      <c r="E160" s="342" t="s">
        <v>16</v>
      </c>
      <c r="F160" s="222" t="str">
        <f xml:space="preserve"> VLOOKUP($C160,Customers!$A$2:$Z$1010,5,FALSE)</f>
        <v>Centre d'Expertise en Analyse Environnementale du Quebec (CEAEQ)</v>
      </c>
      <c r="G160" s="222" t="str">
        <f>VLOOKUP($C160,Customers!$A$2:$Z$1010,10,FALSE) &amp; ", " &amp; VLOOKUP($C160,Customers!$A$2:$Z$1010,11,FALSE)</f>
        <v>Quebec, QC</v>
      </c>
      <c r="H160" s="222" t="str">
        <f>VLOOKUP($C160,Customers!$A$2:$Z$1010,13,FALSE)</f>
        <v>Canada</v>
      </c>
      <c r="I160" s="222" t="str">
        <f>VLOOKUP($C160,Customers!$A$2:$Z$1010,18,FALSE)</f>
        <v>CG</v>
      </c>
      <c r="J160" s="223" t="s">
        <v>306</v>
      </c>
      <c r="K160" s="334">
        <v>490</v>
      </c>
      <c r="L160" s="334">
        <v>1</v>
      </c>
      <c r="M160" s="334">
        <v>25</v>
      </c>
      <c r="N160" s="334">
        <f>1</f>
        <v>1</v>
      </c>
      <c r="O160" s="224" t="s">
        <v>371</v>
      </c>
      <c r="P160" s="334">
        <v>1</v>
      </c>
      <c r="Q160" s="225" t="s">
        <v>16</v>
      </c>
      <c r="R160" s="334">
        <v>0</v>
      </c>
      <c r="S160" s="224" t="s">
        <v>16</v>
      </c>
      <c r="T160" s="226" t="s">
        <v>1172</v>
      </c>
      <c r="U160" s="226" t="s">
        <v>1173</v>
      </c>
      <c r="V160" s="227">
        <v>135</v>
      </c>
      <c r="W160" s="227">
        <v>65</v>
      </c>
      <c r="X160" s="228" t="s">
        <v>16</v>
      </c>
      <c r="Y160" s="228" t="s">
        <v>16</v>
      </c>
      <c r="Z160" s="240">
        <f>135+65</f>
        <v>200</v>
      </c>
      <c r="AA160" s="229">
        <v>25</v>
      </c>
      <c r="AB160" s="240">
        <f t="shared" si="36"/>
        <v>225</v>
      </c>
      <c r="AC160" s="230" t="s">
        <v>304</v>
      </c>
      <c r="AD160" s="242" t="s">
        <v>1174</v>
      </c>
      <c r="AE160" s="238">
        <v>45334</v>
      </c>
      <c r="AF160" s="219" t="s">
        <v>1175</v>
      </c>
      <c r="AG160" s="230">
        <v>9.77</v>
      </c>
      <c r="AH160" s="230">
        <v>10.06</v>
      </c>
      <c r="AI160" s="330" t="s">
        <v>304</v>
      </c>
      <c r="AJ160" s="223">
        <v>100033</v>
      </c>
      <c r="AK160" s="231">
        <v>45373</v>
      </c>
      <c r="AL160" s="255" t="s">
        <v>1176</v>
      </c>
    </row>
    <row r="161" spans="1:38" s="604" customFormat="1" ht="17.399999999999999" x14ac:dyDescent="0.3">
      <c r="A161" s="588" t="s">
        <v>3330</v>
      </c>
      <c r="B161" s="589"/>
      <c r="C161" s="589"/>
      <c r="D161" s="589"/>
      <c r="E161" s="590"/>
      <c r="F161" s="591"/>
      <c r="G161" s="591"/>
      <c r="H161" s="592"/>
      <c r="I161" s="592"/>
      <c r="J161" s="593"/>
      <c r="K161" s="593"/>
      <c r="L161" s="593"/>
      <c r="M161" s="594"/>
      <c r="N161" s="595"/>
      <c r="O161" s="596"/>
      <c r="P161" s="597"/>
      <c r="Q161" s="597"/>
      <c r="R161" s="597"/>
      <c r="S161" s="598"/>
      <c r="T161" s="599"/>
      <c r="U161" s="600"/>
      <c r="V161" s="598"/>
      <c r="W161" s="601"/>
      <c r="X161" s="601"/>
      <c r="Y161" s="598"/>
      <c r="Z161" s="595"/>
      <c r="AA161" s="602"/>
      <c r="AB161" s="603"/>
      <c r="AD161" s="653"/>
      <c r="AG161" s="605"/>
      <c r="AH161" s="605"/>
    </row>
    <row r="162" spans="1:38" s="236" customFormat="1" ht="26.4" x14ac:dyDescent="0.3">
      <c r="A162" s="257">
        <v>45324</v>
      </c>
      <c r="B162" s="224" t="s">
        <v>1177</v>
      </c>
      <c r="C162" s="283" t="s">
        <v>2487</v>
      </c>
      <c r="D162" s="222" t="str">
        <f>VLOOKUP($C162,Customers!$A$2:$Z$1010,2,FALSE)</f>
        <v>Kim Cuddington</v>
      </c>
      <c r="E162" s="219" t="s">
        <v>2058</v>
      </c>
      <c r="F162" s="222" t="str">
        <f xml:space="preserve"> VLOOKUP($C162,Customers!$A$2:$Z$1010,5,FALSE)</f>
        <v>University of Waterloo</v>
      </c>
      <c r="G162" s="222" t="str">
        <f>VLOOKUP($C162,Customers!$A$2:$Z$1010,10,FALSE) &amp; ", " &amp; VLOOKUP($C162,Customers!$A$2:$Z$1010,11,FALSE)</f>
        <v>Waterloo, ON</v>
      </c>
      <c r="H162" s="222" t="str">
        <f>VLOOKUP($C162,Customers!$A$2:$Z$1010,13,FALSE)</f>
        <v>Canada</v>
      </c>
      <c r="I162" s="222" t="str">
        <f>VLOOKUP($C162,Customers!$A$2:$Z$1010,18,FALSE)</f>
        <v>CA</v>
      </c>
      <c r="J162" s="223" t="s">
        <v>306</v>
      </c>
      <c r="K162" s="242" t="s">
        <v>16</v>
      </c>
      <c r="L162" s="341">
        <v>0</v>
      </c>
      <c r="M162" s="341">
        <v>0</v>
      </c>
      <c r="N162" s="341">
        <v>0</v>
      </c>
      <c r="O162" s="224" t="s">
        <v>3541</v>
      </c>
      <c r="P162" s="341">
        <v>4</v>
      </c>
      <c r="Q162" s="225" t="s">
        <v>16</v>
      </c>
      <c r="R162" s="341">
        <v>0</v>
      </c>
      <c r="S162" s="224" t="s">
        <v>16</v>
      </c>
      <c r="T162" s="226" t="s">
        <v>422</v>
      </c>
      <c r="U162" s="226" t="s">
        <v>339</v>
      </c>
      <c r="V162" s="228" t="s">
        <v>16</v>
      </c>
      <c r="W162" s="227">
        <f>50*4</f>
        <v>200</v>
      </c>
      <c r="X162" s="228" t="s">
        <v>16</v>
      </c>
      <c r="Y162" s="228" t="s">
        <v>16</v>
      </c>
      <c r="Z162" s="229">
        <f>50*4</f>
        <v>200</v>
      </c>
      <c r="AA162" s="230" t="s">
        <v>308</v>
      </c>
      <c r="AB162" s="240">
        <f t="shared" si="36"/>
        <v>200</v>
      </c>
      <c r="AC162" s="230" t="s">
        <v>304</v>
      </c>
      <c r="AD162" s="242" t="s">
        <v>16</v>
      </c>
      <c r="AE162" s="231">
        <v>45336</v>
      </c>
      <c r="AF162" s="256" t="s">
        <v>423</v>
      </c>
      <c r="AG162" s="232" t="s">
        <v>308</v>
      </c>
      <c r="AH162" s="232" t="s">
        <v>308</v>
      </c>
      <c r="AI162" s="223" t="s">
        <v>308</v>
      </c>
      <c r="AJ162" s="218" t="s">
        <v>308</v>
      </c>
      <c r="AK162" s="257">
        <v>45394</v>
      </c>
      <c r="AL162" s="252" t="s">
        <v>1178</v>
      </c>
    </row>
    <row r="163" spans="1:38" s="236" customFormat="1" ht="39.6" customHeight="1" x14ac:dyDescent="0.3">
      <c r="A163" s="257">
        <v>45328</v>
      </c>
      <c r="B163" s="224" t="s">
        <v>1179</v>
      </c>
      <c r="C163" s="283" t="s">
        <v>2260</v>
      </c>
      <c r="D163" s="222" t="str">
        <f>VLOOKUP($C163,Customers!$A$2:$Z$1010,2,FALSE)</f>
        <v>Stan Pankratz</v>
      </c>
      <c r="E163" s="583" t="s">
        <v>16</v>
      </c>
      <c r="F163" s="222" t="str">
        <f xml:space="preserve"> VLOOKUP($C163,Customers!$A$2:$Z$1010,5,FALSE)</f>
        <v>Rainforest Algae Corp.</v>
      </c>
      <c r="G163" s="222" t="str">
        <f>VLOOKUP($C163,Customers!$A$2:$Z$1010,10,FALSE) &amp; ", " &amp; VLOOKUP($C163,Customers!$A$2:$Z$1010,11,FALSE)</f>
        <v>Calgary, AB</v>
      </c>
      <c r="H163" s="222" t="str">
        <f>VLOOKUP($C163,Customers!$A$2:$Z$1010,13,FALSE)</f>
        <v>Canada</v>
      </c>
      <c r="I163" s="222" t="str">
        <f>VLOOKUP($C163,Customers!$A$2:$Z$1010,18,FALSE)</f>
        <v>CC</v>
      </c>
      <c r="J163" s="335" t="s">
        <v>304</v>
      </c>
      <c r="K163" s="224">
        <v>90</v>
      </c>
      <c r="L163" s="748">
        <v>1</v>
      </c>
      <c r="M163" s="748">
        <v>45</v>
      </c>
      <c r="N163" s="748">
        <f>1</f>
        <v>1</v>
      </c>
      <c r="O163" s="225" t="s">
        <v>16</v>
      </c>
      <c r="P163" s="748">
        <v>0</v>
      </c>
      <c r="Q163" s="225" t="s">
        <v>16</v>
      </c>
      <c r="R163" s="224">
        <v>0</v>
      </c>
      <c r="S163" s="224" t="s">
        <v>16</v>
      </c>
      <c r="T163" s="301" t="s">
        <v>1180</v>
      </c>
      <c r="U163" s="301" t="s">
        <v>1181</v>
      </c>
      <c r="V163" s="227">
        <v>255</v>
      </c>
      <c r="W163" s="228" t="s">
        <v>16</v>
      </c>
      <c r="X163" s="228" t="s">
        <v>16</v>
      </c>
      <c r="Y163" s="228" t="s">
        <v>16</v>
      </c>
      <c r="Z163" s="749">
        <f>255</f>
        <v>255</v>
      </c>
      <c r="AA163" s="240">
        <v>40</v>
      </c>
      <c r="AB163" s="240">
        <f t="shared" si="36"/>
        <v>295</v>
      </c>
      <c r="AC163" s="230" t="s">
        <v>304</v>
      </c>
      <c r="AD163" s="243" t="s">
        <v>16</v>
      </c>
      <c r="AE163" s="231">
        <v>45334</v>
      </c>
      <c r="AF163" s="219" t="s">
        <v>1182</v>
      </c>
      <c r="AG163" s="230">
        <v>31.99</v>
      </c>
      <c r="AH163" s="230">
        <v>30.97</v>
      </c>
      <c r="AI163" s="245" t="s">
        <v>304</v>
      </c>
      <c r="AJ163" s="218">
        <v>111483</v>
      </c>
      <c r="AK163" s="231">
        <v>45394</v>
      </c>
      <c r="AL163" s="252" t="s">
        <v>1183</v>
      </c>
    </row>
    <row r="164" spans="1:38" s="344" customFormat="1" ht="26.4" x14ac:dyDescent="0.3">
      <c r="A164" s="257">
        <v>45330</v>
      </c>
      <c r="B164" s="250" t="s">
        <v>1184</v>
      </c>
      <c r="C164" s="521" t="s">
        <v>1432</v>
      </c>
      <c r="D164" s="222" t="str">
        <f>VLOOKUP($C164,Customers!$A$2:$Z$1010,2,FALSE)</f>
        <v>Ryan Prosser</v>
      </c>
      <c r="E164" s="219" t="s">
        <v>2248</v>
      </c>
      <c r="F164" s="222" t="str">
        <f xml:space="preserve"> VLOOKUP($C164,Customers!$A$2:$Z$1010,5,FALSE)</f>
        <v>University of Guelph</v>
      </c>
      <c r="G164" s="222" t="str">
        <f>VLOOKUP($C164,Customers!$A$2:$Z$1010,10,FALSE) &amp; ", " &amp; VLOOKUP($C164,Customers!$A$2:$Z$1010,11,FALSE)</f>
        <v>Guelph, ON</v>
      </c>
      <c r="H164" s="222" t="str">
        <f>VLOOKUP($C164,Customers!$A$2:$Z$1010,13,FALSE)</f>
        <v>Canada</v>
      </c>
      <c r="I164" s="222" t="str">
        <f>VLOOKUP($C164,Customers!$A$2:$Z$1010,18,FALSE)</f>
        <v>CA</v>
      </c>
      <c r="J164" s="251" t="s">
        <v>304</v>
      </c>
      <c r="K164" s="222">
        <v>552</v>
      </c>
      <c r="L164" s="341">
        <v>1</v>
      </c>
      <c r="M164" s="341">
        <v>100</v>
      </c>
      <c r="N164" s="341">
        <f>2</f>
        <v>2</v>
      </c>
      <c r="O164" s="222" t="s">
        <v>393</v>
      </c>
      <c r="P164" s="341">
        <v>2</v>
      </c>
      <c r="Q164" s="244" t="s">
        <v>16</v>
      </c>
      <c r="R164" s="222">
        <v>0</v>
      </c>
      <c r="S164" s="224" t="s">
        <v>16</v>
      </c>
      <c r="T164" s="226" t="s">
        <v>3331</v>
      </c>
      <c r="U164" s="313" t="s">
        <v>1185</v>
      </c>
      <c r="V164" s="339">
        <v>230</v>
      </c>
      <c r="W164" s="339">
        <f>65*2</f>
        <v>130</v>
      </c>
      <c r="X164" s="228" t="s">
        <v>16</v>
      </c>
      <c r="Y164" s="228" t="s">
        <v>16</v>
      </c>
      <c r="Z164" s="229">
        <f>230+(65*2)</f>
        <v>360</v>
      </c>
      <c r="AA164" s="229">
        <v>5</v>
      </c>
      <c r="AB164" s="240">
        <f t="shared" si="36"/>
        <v>365</v>
      </c>
      <c r="AC164" s="230" t="s">
        <v>304</v>
      </c>
      <c r="AD164" s="222" t="s">
        <v>1186</v>
      </c>
      <c r="AE164" s="231">
        <v>45355</v>
      </c>
      <c r="AF164" s="256" t="s">
        <v>370</v>
      </c>
      <c r="AG164" s="232" t="s">
        <v>308</v>
      </c>
      <c r="AH164" s="232" t="s">
        <v>308</v>
      </c>
      <c r="AI164" s="330" t="s">
        <v>304</v>
      </c>
      <c r="AJ164" s="233">
        <v>103794</v>
      </c>
      <c r="AK164" s="231">
        <v>45394</v>
      </c>
      <c r="AL164" s="260" t="s">
        <v>1187</v>
      </c>
    </row>
    <row r="165" spans="1:38" s="344" customFormat="1" ht="45" customHeight="1" x14ac:dyDescent="0.3">
      <c r="A165" s="257">
        <v>45330</v>
      </c>
      <c r="B165" s="224" t="s">
        <v>3332</v>
      </c>
      <c r="C165" s="521" t="s">
        <v>1432</v>
      </c>
      <c r="D165" s="222" t="str">
        <f>VLOOKUP($C165,Customers!$A$2:$Z$1010,2,FALSE)</f>
        <v>Ryan Prosser</v>
      </c>
      <c r="E165" s="219" t="s">
        <v>2248</v>
      </c>
      <c r="F165" s="222" t="str">
        <f xml:space="preserve"> VLOOKUP($C165,Customers!$A$2:$Z$1010,5,FALSE)</f>
        <v>University of Guelph</v>
      </c>
      <c r="G165" s="222" t="str">
        <f>VLOOKUP($C165,Customers!$A$2:$Z$1010,10,FALSE) &amp; ", " &amp; VLOOKUP($C165,Customers!$A$2:$Z$1010,11,FALSE)</f>
        <v>Guelph, ON</v>
      </c>
      <c r="H165" s="222" t="str">
        <f>VLOOKUP($C165,Customers!$A$2:$Z$1010,13,FALSE)</f>
        <v>Canada</v>
      </c>
      <c r="I165" s="222" t="str">
        <f>VLOOKUP($C165,Customers!$A$2:$Z$1010,18,FALSE)</f>
        <v>CA</v>
      </c>
      <c r="J165" s="1156" t="s">
        <v>306</v>
      </c>
      <c r="K165" s="222">
        <v>552</v>
      </c>
      <c r="L165" s="341">
        <v>1</v>
      </c>
      <c r="M165" s="341">
        <v>1000</v>
      </c>
      <c r="N165" s="341">
        <f>1</f>
        <v>1</v>
      </c>
      <c r="O165" s="244" t="s">
        <v>16</v>
      </c>
      <c r="P165" s="341">
        <v>0</v>
      </c>
      <c r="Q165" s="244" t="s">
        <v>16</v>
      </c>
      <c r="R165" s="222">
        <v>0</v>
      </c>
      <c r="S165" s="224" t="s">
        <v>16</v>
      </c>
      <c r="T165" s="292" t="s">
        <v>1188</v>
      </c>
      <c r="U165" s="1157" t="s">
        <v>1189</v>
      </c>
      <c r="V165" s="339">
        <v>135</v>
      </c>
      <c r="W165" s="228" t="s">
        <v>16</v>
      </c>
      <c r="X165" s="228" t="s">
        <v>16</v>
      </c>
      <c r="Y165" s="228" t="s">
        <v>16</v>
      </c>
      <c r="Z165" s="1155">
        <v>675</v>
      </c>
      <c r="AA165" s="229">
        <v>5</v>
      </c>
      <c r="AB165" s="1140">
        <f>SUM(Z165:AA169)</f>
        <v>700</v>
      </c>
      <c r="AC165" s="230" t="s">
        <v>304</v>
      </c>
      <c r="AD165" s="1158" t="s">
        <v>1190</v>
      </c>
      <c r="AE165" s="231">
        <v>45384</v>
      </c>
      <c r="AF165" s="256" t="s">
        <v>370</v>
      </c>
      <c r="AG165" s="232" t="s">
        <v>308</v>
      </c>
      <c r="AH165" s="232" t="s">
        <v>308</v>
      </c>
      <c r="AI165" s="1150" t="s">
        <v>304</v>
      </c>
      <c r="AJ165" s="1144">
        <v>103794</v>
      </c>
      <c r="AK165" s="750">
        <v>45517</v>
      </c>
      <c r="AL165" s="1141" t="s">
        <v>3961</v>
      </c>
    </row>
    <row r="166" spans="1:38" s="344" customFormat="1" ht="45" customHeight="1" x14ac:dyDescent="0.3">
      <c r="A166" s="257">
        <v>45330</v>
      </c>
      <c r="B166" s="224" t="s">
        <v>3333</v>
      </c>
      <c r="C166" s="521" t="s">
        <v>1432</v>
      </c>
      <c r="D166" s="222" t="str">
        <f>VLOOKUP($C166,Customers!$A$2:$Z$1010,2,FALSE)</f>
        <v>Ryan Prosser</v>
      </c>
      <c r="E166" s="219" t="s">
        <v>2248</v>
      </c>
      <c r="F166" s="222" t="str">
        <f xml:space="preserve"> VLOOKUP($C166,Customers!$A$2:$Z$1010,5,FALSE)</f>
        <v>University of Guelph</v>
      </c>
      <c r="G166" s="222" t="str">
        <f>VLOOKUP($C166,Customers!$A$2:$Z$1010,10,FALSE) &amp; ", " &amp; VLOOKUP($C166,Customers!$A$2:$Z$1010,11,FALSE)</f>
        <v>Guelph, ON</v>
      </c>
      <c r="H166" s="222" t="str">
        <f>VLOOKUP($C166,Customers!$A$2:$Z$1010,13,FALSE)</f>
        <v>Canada</v>
      </c>
      <c r="I166" s="222" t="str">
        <f>VLOOKUP($C166,Customers!$A$2:$Z$1010,18,FALSE)</f>
        <v>CA</v>
      </c>
      <c r="J166" s="1156"/>
      <c r="K166" s="222">
        <v>552</v>
      </c>
      <c r="L166" s="341">
        <v>1</v>
      </c>
      <c r="M166" s="341">
        <v>1000</v>
      </c>
      <c r="N166" s="341">
        <f>1</f>
        <v>1</v>
      </c>
      <c r="O166" s="244" t="s">
        <v>16</v>
      </c>
      <c r="P166" s="341">
        <v>0</v>
      </c>
      <c r="Q166" s="244" t="s">
        <v>16</v>
      </c>
      <c r="R166" s="222">
        <v>0</v>
      </c>
      <c r="S166" s="224" t="s">
        <v>16</v>
      </c>
      <c r="T166" s="292" t="s">
        <v>1188</v>
      </c>
      <c r="U166" s="1157"/>
      <c r="V166" s="339">
        <v>135</v>
      </c>
      <c r="W166" s="228" t="s">
        <v>16</v>
      </c>
      <c r="X166" s="228" t="s">
        <v>16</v>
      </c>
      <c r="Y166" s="228" t="s">
        <v>16</v>
      </c>
      <c r="Z166" s="1155"/>
      <c r="AA166" s="229">
        <v>5</v>
      </c>
      <c r="AB166" s="1140"/>
      <c r="AC166" s="230" t="s">
        <v>304</v>
      </c>
      <c r="AD166" s="1158"/>
      <c r="AE166" s="231">
        <v>45407</v>
      </c>
      <c r="AF166" s="256" t="s">
        <v>370</v>
      </c>
      <c r="AG166" s="232" t="s">
        <v>308</v>
      </c>
      <c r="AH166" s="232" t="s">
        <v>308</v>
      </c>
      <c r="AI166" s="1150"/>
      <c r="AJ166" s="1144"/>
      <c r="AK166" s="750">
        <v>45517</v>
      </c>
      <c r="AL166" s="1141"/>
    </row>
    <row r="167" spans="1:38" s="344" customFormat="1" ht="45" customHeight="1" x14ac:dyDescent="0.3">
      <c r="A167" s="257">
        <v>45330</v>
      </c>
      <c r="B167" s="224" t="s">
        <v>3334</v>
      </c>
      <c r="C167" s="521" t="s">
        <v>1432</v>
      </c>
      <c r="D167" s="222" t="str">
        <f>VLOOKUP($C167,Customers!$A$2:$Z$1010,2,FALSE)</f>
        <v>Ryan Prosser</v>
      </c>
      <c r="E167" s="219" t="s">
        <v>2248</v>
      </c>
      <c r="F167" s="222" t="str">
        <f xml:space="preserve"> VLOOKUP($C167,Customers!$A$2:$Z$1010,5,FALSE)</f>
        <v>University of Guelph</v>
      </c>
      <c r="G167" s="222" t="str">
        <f>VLOOKUP($C167,Customers!$A$2:$Z$1010,10,FALSE) &amp; ", " &amp; VLOOKUP($C167,Customers!$A$2:$Z$1010,11,FALSE)</f>
        <v>Guelph, ON</v>
      </c>
      <c r="H167" s="222" t="str">
        <f>VLOOKUP($C167,Customers!$A$2:$Z$1010,13,FALSE)</f>
        <v>Canada</v>
      </c>
      <c r="I167" s="222" t="str">
        <f>VLOOKUP($C167,Customers!$A$2:$Z$1010,18,FALSE)</f>
        <v>CA</v>
      </c>
      <c r="J167" s="1156"/>
      <c r="K167" s="222">
        <v>552</v>
      </c>
      <c r="L167" s="341">
        <v>1</v>
      </c>
      <c r="M167" s="341">
        <v>1000</v>
      </c>
      <c r="N167" s="341">
        <f>1</f>
        <v>1</v>
      </c>
      <c r="O167" s="244" t="s">
        <v>16</v>
      </c>
      <c r="P167" s="341">
        <v>0</v>
      </c>
      <c r="Q167" s="244" t="s">
        <v>16</v>
      </c>
      <c r="R167" s="222">
        <v>0</v>
      </c>
      <c r="S167" s="224" t="s">
        <v>16</v>
      </c>
      <c r="T167" s="292" t="s">
        <v>1188</v>
      </c>
      <c r="U167" s="1157"/>
      <c r="V167" s="339">
        <v>135</v>
      </c>
      <c r="W167" s="228" t="s">
        <v>16</v>
      </c>
      <c r="X167" s="228" t="s">
        <v>16</v>
      </c>
      <c r="Y167" s="228" t="s">
        <v>16</v>
      </c>
      <c r="Z167" s="1155"/>
      <c r="AA167" s="229">
        <v>5</v>
      </c>
      <c r="AB167" s="1140"/>
      <c r="AC167" s="230" t="s">
        <v>304</v>
      </c>
      <c r="AD167" s="1158"/>
      <c r="AE167" s="231">
        <v>45427</v>
      </c>
      <c r="AF167" s="256" t="s">
        <v>370</v>
      </c>
      <c r="AG167" s="232" t="s">
        <v>308</v>
      </c>
      <c r="AH167" s="232" t="s">
        <v>308</v>
      </c>
      <c r="AI167" s="1150"/>
      <c r="AJ167" s="1144"/>
      <c r="AK167" s="750">
        <v>45517</v>
      </c>
      <c r="AL167" s="1141"/>
    </row>
    <row r="168" spans="1:38" s="344" customFormat="1" ht="45" customHeight="1" x14ac:dyDescent="0.3">
      <c r="A168" s="257">
        <v>45330</v>
      </c>
      <c r="B168" s="224" t="s">
        <v>3335</v>
      </c>
      <c r="C168" s="521" t="s">
        <v>1432</v>
      </c>
      <c r="D168" s="222" t="str">
        <f>VLOOKUP($C168,Customers!$A$2:$Z$1010,2,FALSE)</f>
        <v>Ryan Prosser</v>
      </c>
      <c r="E168" s="219" t="s">
        <v>2248</v>
      </c>
      <c r="F168" s="222" t="str">
        <f xml:space="preserve"> VLOOKUP($C168,Customers!$A$2:$Z$1010,5,FALSE)</f>
        <v>University of Guelph</v>
      </c>
      <c r="G168" s="222" t="str">
        <f>VLOOKUP($C168,Customers!$A$2:$Z$1010,10,FALSE) &amp; ", " &amp; VLOOKUP($C168,Customers!$A$2:$Z$1010,11,FALSE)</f>
        <v>Guelph, ON</v>
      </c>
      <c r="H168" s="222" t="str">
        <f>VLOOKUP($C168,Customers!$A$2:$Z$1010,13,FALSE)</f>
        <v>Canada</v>
      </c>
      <c r="I168" s="222" t="str">
        <f>VLOOKUP($C168,Customers!$A$2:$Z$1010,18,FALSE)</f>
        <v>CA</v>
      </c>
      <c r="J168" s="1156"/>
      <c r="K168" s="222">
        <v>552</v>
      </c>
      <c r="L168" s="341">
        <v>1</v>
      </c>
      <c r="M168" s="341">
        <v>1000</v>
      </c>
      <c r="N168" s="341">
        <f>1</f>
        <v>1</v>
      </c>
      <c r="O168" s="244" t="s">
        <v>16</v>
      </c>
      <c r="P168" s="341">
        <v>0</v>
      </c>
      <c r="Q168" s="244" t="s">
        <v>16</v>
      </c>
      <c r="R168" s="222">
        <v>0</v>
      </c>
      <c r="S168" s="224" t="s">
        <v>16</v>
      </c>
      <c r="T168" s="292" t="s">
        <v>1188</v>
      </c>
      <c r="U168" s="1157"/>
      <c r="V168" s="339">
        <v>135</v>
      </c>
      <c r="W168" s="228" t="s">
        <v>16</v>
      </c>
      <c r="X168" s="228" t="s">
        <v>16</v>
      </c>
      <c r="Y168" s="228" t="s">
        <v>16</v>
      </c>
      <c r="Z168" s="1155"/>
      <c r="AA168" s="229">
        <v>5</v>
      </c>
      <c r="AB168" s="1140"/>
      <c r="AC168" s="230" t="s">
        <v>304</v>
      </c>
      <c r="AD168" s="1158"/>
      <c r="AE168" s="231">
        <v>45454</v>
      </c>
      <c r="AF168" s="256" t="s">
        <v>370</v>
      </c>
      <c r="AG168" s="232" t="s">
        <v>308</v>
      </c>
      <c r="AH168" s="232" t="s">
        <v>308</v>
      </c>
      <c r="AI168" s="1150"/>
      <c r="AJ168" s="1144"/>
      <c r="AK168" s="750">
        <v>45517</v>
      </c>
      <c r="AL168" s="1141"/>
    </row>
    <row r="169" spans="1:38" s="344" customFormat="1" ht="57" customHeight="1" x14ac:dyDescent="0.3">
      <c r="A169" s="257">
        <v>45330</v>
      </c>
      <c r="B169" s="224" t="s">
        <v>3336</v>
      </c>
      <c r="C169" s="521" t="s">
        <v>1432</v>
      </c>
      <c r="D169" s="222" t="str">
        <f>VLOOKUP($C169,Customers!$A$2:$Z$1010,2,FALSE)</f>
        <v>Ryan Prosser</v>
      </c>
      <c r="E169" s="219" t="s">
        <v>2248</v>
      </c>
      <c r="F169" s="222" t="str">
        <f xml:space="preserve"> VLOOKUP($C169,Customers!$A$2:$Z$1010,5,FALSE)</f>
        <v>University of Guelph</v>
      </c>
      <c r="G169" s="222" t="str">
        <f>VLOOKUP($C169,Customers!$A$2:$Z$1010,10,FALSE) &amp; ", " &amp; VLOOKUP($C169,Customers!$A$2:$Z$1010,11,FALSE)</f>
        <v>Guelph, ON</v>
      </c>
      <c r="H169" s="222" t="str">
        <f>VLOOKUP($C169,Customers!$A$2:$Z$1010,13,FALSE)</f>
        <v>Canada</v>
      </c>
      <c r="I169" s="222" t="str">
        <f>VLOOKUP($C169,Customers!$A$2:$Z$1010,18,FALSE)</f>
        <v>CA</v>
      </c>
      <c r="J169" s="1156"/>
      <c r="K169" s="222">
        <v>552</v>
      </c>
      <c r="L169" s="341">
        <v>1</v>
      </c>
      <c r="M169" s="341">
        <v>1000</v>
      </c>
      <c r="N169" s="341">
        <f>1</f>
        <v>1</v>
      </c>
      <c r="O169" s="244" t="s">
        <v>16</v>
      </c>
      <c r="P169" s="341">
        <v>0</v>
      </c>
      <c r="Q169" s="244" t="s">
        <v>16</v>
      </c>
      <c r="R169" s="222">
        <v>0</v>
      </c>
      <c r="S169" s="224" t="s">
        <v>16</v>
      </c>
      <c r="T169" s="292" t="s">
        <v>1188</v>
      </c>
      <c r="U169" s="1157"/>
      <c r="V169" s="339">
        <v>135</v>
      </c>
      <c r="W169" s="228" t="s">
        <v>16</v>
      </c>
      <c r="X169" s="228" t="s">
        <v>16</v>
      </c>
      <c r="Y169" s="228" t="s">
        <v>16</v>
      </c>
      <c r="Z169" s="1155"/>
      <c r="AA169" s="229">
        <v>5</v>
      </c>
      <c r="AB169" s="1140"/>
      <c r="AC169" s="230" t="s">
        <v>304</v>
      </c>
      <c r="AD169" s="1158"/>
      <c r="AE169" s="231">
        <v>45476</v>
      </c>
      <c r="AF169" s="256" t="s">
        <v>370</v>
      </c>
      <c r="AG169" s="232" t="s">
        <v>308</v>
      </c>
      <c r="AH169" s="232" t="s">
        <v>308</v>
      </c>
      <c r="AI169" s="1150"/>
      <c r="AJ169" s="1144"/>
      <c r="AK169" s="750">
        <v>45517</v>
      </c>
      <c r="AL169" s="1141"/>
    </row>
    <row r="170" spans="1:38" s="236" customFormat="1" ht="52.8" x14ac:dyDescent="0.3">
      <c r="A170" s="257">
        <v>45331</v>
      </c>
      <c r="B170" s="224" t="s">
        <v>1191</v>
      </c>
      <c r="C170" s="283" t="s">
        <v>1045</v>
      </c>
      <c r="D170" s="222" t="str">
        <f>VLOOKUP($C170,Customers!$A$2:$Z$1010,2,FALSE)</f>
        <v>Adam Wartman</v>
      </c>
      <c r="E170" s="342" t="s">
        <v>16</v>
      </c>
      <c r="F170" s="222" t="str">
        <f xml:space="preserve"> VLOOKUP($C170,Customers!$A$2:$Z$1010,5,FALSE)</f>
        <v>Nautilus Environmental Company Inc. - Guelph</v>
      </c>
      <c r="G170" s="222" t="str">
        <f>VLOOKUP($C170,Customers!$A$2:$Z$1010,10,FALSE) &amp; ", " &amp; VLOOKUP($C170,Customers!$A$2:$Z$1010,11,FALSE)</f>
        <v>Puslinch, ON</v>
      </c>
      <c r="H170" s="222" t="str">
        <f>VLOOKUP($C170,Customers!$A$2:$Z$1010,13,FALSE)</f>
        <v>Canada</v>
      </c>
      <c r="I170" s="222" t="str">
        <f>VLOOKUP($C170,Customers!$A$2:$Z$1010,18,FALSE)</f>
        <v>CC</v>
      </c>
      <c r="J170" s="223" t="s">
        <v>306</v>
      </c>
      <c r="K170" s="242" t="s">
        <v>16</v>
      </c>
      <c r="L170" s="341">
        <v>0</v>
      </c>
      <c r="M170" s="341">
        <v>0</v>
      </c>
      <c r="N170" s="341">
        <v>0</v>
      </c>
      <c r="O170" s="225" t="s">
        <v>16</v>
      </c>
      <c r="P170" s="341">
        <v>0</v>
      </c>
      <c r="Q170" s="341" t="s">
        <v>318</v>
      </c>
      <c r="R170" s="341">
        <v>2000</v>
      </c>
      <c r="S170" s="224" t="s">
        <v>16</v>
      </c>
      <c r="T170" s="226" t="s">
        <v>1192</v>
      </c>
      <c r="U170" s="226" t="s">
        <v>1193</v>
      </c>
      <c r="V170" s="228" t="s">
        <v>16</v>
      </c>
      <c r="W170" s="228" t="s">
        <v>16</v>
      </c>
      <c r="X170" s="227">
        <f>520+25</f>
        <v>545</v>
      </c>
      <c r="Y170" s="228" t="s">
        <v>16</v>
      </c>
      <c r="Z170" s="229">
        <f>520+25</f>
        <v>545</v>
      </c>
      <c r="AA170" s="240">
        <v>25</v>
      </c>
      <c r="AB170" s="240">
        <f t="shared" ref="AB170" si="37">SUM(Z170:AA170)</f>
        <v>570</v>
      </c>
      <c r="AC170" s="230" t="s">
        <v>304</v>
      </c>
      <c r="AD170" s="242" t="s">
        <v>16</v>
      </c>
      <c r="AE170" s="238">
        <v>45342</v>
      </c>
      <c r="AF170" s="219" t="s">
        <v>1194</v>
      </c>
      <c r="AG170" s="232">
        <v>7.48</v>
      </c>
      <c r="AH170" s="241">
        <v>7.46</v>
      </c>
      <c r="AI170" s="239" t="s">
        <v>304</v>
      </c>
      <c r="AJ170" s="233">
        <v>102886</v>
      </c>
      <c r="AK170" s="231">
        <v>45373</v>
      </c>
      <c r="AL170" s="235" t="s">
        <v>1195</v>
      </c>
    </row>
    <row r="171" spans="1:38" s="236" customFormat="1" ht="52.8" x14ac:dyDescent="0.3">
      <c r="A171" s="257">
        <v>45331</v>
      </c>
      <c r="B171" s="224" t="s">
        <v>1196</v>
      </c>
      <c r="C171" s="283" t="s">
        <v>2427</v>
      </c>
      <c r="D171" s="222" t="str">
        <f>VLOOKUP($C171,Customers!$A$2:$Z$1010,2,FALSE)</f>
        <v>David Depew</v>
      </c>
      <c r="E171" s="342" t="s">
        <v>16</v>
      </c>
      <c r="F171" s="222" t="str">
        <f xml:space="preserve"> VLOOKUP($C171,Customers!$A$2:$Z$1010,5,FALSE)</f>
        <v>Environment and Climate Change Canada (ECCC) - Watershed Hydrology and Ecology Research Division (WHERD)</v>
      </c>
      <c r="G171" s="222" t="str">
        <f>VLOOKUP($C171,Customers!$A$2:$Z$1010,10,FALSE) &amp; ", " &amp; VLOOKUP($C171,Customers!$A$2:$Z$1010,11,FALSE)</f>
        <v>Burlington, ON</v>
      </c>
      <c r="H171" s="222" t="str">
        <f>VLOOKUP($C171,Customers!$A$2:$Z$1010,13,FALSE)</f>
        <v>Canada</v>
      </c>
      <c r="I171" s="222" t="str">
        <f>VLOOKUP($C171,Customers!$A$2:$Z$1010,18,FALSE)</f>
        <v>CG</v>
      </c>
      <c r="J171" s="218" t="s">
        <v>306</v>
      </c>
      <c r="K171" s="224" t="s">
        <v>1972</v>
      </c>
      <c r="L171" s="224">
        <v>2</v>
      </c>
      <c r="M171" s="224" t="s">
        <v>1979</v>
      </c>
      <c r="N171" s="224">
        <f>2+2</f>
        <v>4</v>
      </c>
      <c r="O171" s="225" t="s">
        <v>16</v>
      </c>
      <c r="P171" s="224">
        <v>0</v>
      </c>
      <c r="Q171" s="225" t="s">
        <v>16</v>
      </c>
      <c r="R171" s="224">
        <v>0</v>
      </c>
      <c r="S171" s="224" t="s">
        <v>16</v>
      </c>
      <c r="T171" s="301" t="s">
        <v>1197</v>
      </c>
      <c r="U171" s="301" t="s">
        <v>1198</v>
      </c>
      <c r="V171" s="227">
        <f>175*2</f>
        <v>350</v>
      </c>
      <c r="W171" s="228" t="s">
        <v>16</v>
      </c>
      <c r="X171" s="228" t="s">
        <v>16</v>
      </c>
      <c r="Y171" s="228" t="s">
        <v>16</v>
      </c>
      <c r="Z171" s="241">
        <f>175*2</f>
        <v>350</v>
      </c>
      <c r="AA171" s="241">
        <v>25</v>
      </c>
      <c r="AB171" s="240">
        <f>SUM(Z171:AA171)</f>
        <v>375</v>
      </c>
      <c r="AC171" s="230" t="s">
        <v>304</v>
      </c>
      <c r="AD171" s="243" t="s">
        <v>3337</v>
      </c>
      <c r="AE171" s="231">
        <v>45405</v>
      </c>
      <c r="AF171" s="219" t="s">
        <v>1199</v>
      </c>
      <c r="AG171" s="241">
        <v>6.09</v>
      </c>
      <c r="AH171" s="232">
        <v>5.57</v>
      </c>
      <c r="AI171" s="239" t="s">
        <v>304</v>
      </c>
      <c r="AJ171" s="701">
        <v>103177</v>
      </c>
      <c r="AK171" s="702">
        <v>45443</v>
      </c>
      <c r="AL171" s="252" t="s">
        <v>3338</v>
      </c>
    </row>
    <row r="172" spans="1:38" s="344" customFormat="1" ht="39.6" customHeight="1" x14ac:dyDescent="0.3">
      <c r="A172" s="257">
        <v>45335</v>
      </c>
      <c r="B172" s="250" t="s">
        <v>1200</v>
      </c>
      <c r="C172" s="283" t="s">
        <v>2261</v>
      </c>
      <c r="D172" s="222" t="str">
        <f>VLOOKUP($C172,Customers!$A$2:$Z$1010,2,FALSE)</f>
        <v>Kevin Wilkinson</v>
      </c>
      <c r="E172" s="293" t="s">
        <v>2096</v>
      </c>
      <c r="F172" s="222" t="str">
        <f xml:space="preserve"> VLOOKUP($C172,Customers!$A$2:$Z$1010,5,FALSE)</f>
        <v>Universite de Montreal</v>
      </c>
      <c r="G172" s="222" t="str">
        <f>VLOOKUP($C172,Customers!$A$2:$Z$1010,10,FALSE) &amp; ", " &amp; VLOOKUP($C172,Customers!$A$2:$Z$1010,11,FALSE)</f>
        <v>Montreal, QC</v>
      </c>
      <c r="H172" s="222" t="str">
        <f>VLOOKUP($C172,Customers!$A$2:$Z$1010,13,FALSE)</f>
        <v>Canada</v>
      </c>
      <c r="I172" s="222" t="str">
        <f>VLOOKUP($C172,Customers!$A$2:$Z$1010,18,FALSE)</f>
        <v>CA</v>
      </c>
      <c r="J172" s="257" t="s">
        <v>304</v>
      </c>
      <c r="K172" s="222">
        <v>11</v>
      </c>
      <c r="L172" s="222">
        <v>1</v>
      </c>
      <c r="M172" s="222">
        <v>15</v>
      </c>
      <c r="N172" s="222">
        <f>1</f>
        <v>1</v>
      </c>
      <c r="O172" s="244" t="s">
        <v>16</v>
      </c>
      <c r="P172" s="222">
        <v>0</v>
      </c>
      <c r="Q172" s="244" t="s">
        <v>16</v>
      </c>
      <c r="R172" s="222">
        <v>0</v>
      </c>
      <c r="S172" s="224" t="s">
        <v>16</v>
      </c>
      <c r="T172" s="226" t="s">
        <v>1201</v>
      </c>
      <c r="U172" s="226" t="s">
        <v>1202</v>
      </c>
      <c r="V172" s="227">
        <v>135</v>
      </c>
      <c r="W172" s="228" t="s">
        <v>16</v>
      </c>
      <c r="X172" s="228" t="s">
        <v>16</v>
      </c>
      <c r="Y172" s="228" t="s">
        <v>16</v>
      </c>
      <c r="Z172" s="230">
        <f>135</f>
        <v>135</v>
      </c>
      <c r="AA172" s="230">
        <v>25</v>
      </c>
      <c r="AB172" s="240">
        <f>SUM(Z172:AA172)</f>
        <v>160</v>
      </c>
      <c r="AC172" s="230" t="s">
        <v>304</v>
      </c>
      <c r="AD172" s="243" t="s">
        <v>16</v>
      </c>
      <c r="AE172" s="231">
        <v>45355</v>
      </c>
      <c r="AF172" s="219" t="s">
        <v>1203</v>
      </c>
      <c r="AG172" s="232">
        <v>5.71</v>
      </c>
      <c r="AH172" s="232">
        <v>5.53</v>
      </c>
      <c r="AI172" s="239" t="s">
        <v>304</v>
      </c>
      <c r="AJ172" s="233">
        <v>109270</v>
      </c>
      <c r="AK172" s="231">
        <v>45398</v>
      </c>
      <c r="AL172" s="260" t="s">
        <v>1204</v>
      </c>
    </row>
    <row r="173" spans="1:38" s="236" customFormat="1" ht="39.6" customHeight="1" x14ac:dyDescent="0.3">
      <c r="A173" s="257">
        <v>45335</v>
      </c>
      <c r="B173" s="224" t="s">
        <v>1205</v>
      </c>
      <c r="C173" s="283" t="s">
        <v>1052</v>
      </c>
      <c r="D173" s="222" t="str">
        <f>VLOOKUP($C173,Customers!$A$2:$Z$1010,2,FALSE)</f>
        <v>Karsten Liber</v>
      </c>
      <c r="E173" s="293" t="s">
        <v>335</v>
      </c>
      <c r="F173" s="222" t="str">
        <f xml:space="preserve"> VLOOKUP($C173,Customers!$A$2:$Z$1010,5,FALSE)</f>
        <v>University of Saskatchewan</v>
      </c>
      <c r="G173" s="222" t="str">
        <f>VLOOKUP($C173,Customers!$A$2:$Z$1010,10,FALSE) &amp; ", " &amp; VLOOKUP($C173,Customers!$A$2:$Z$1010,11,FALSE)</f>
        <v>Saskatoon, SK</v>
      </c>
      <c r="H173" s="222" t="str">
        <f>VLOOKUP($C173,Customers!$A$2:$Z$1010,13,FALSE)</f>
        <v>Canada</v>
      </c>
      <c r="I173" s="222" t="str">
        <f>VLOOKUP($C173,Customers!$A$2:$Z$1010,18,FALSE)</f>
        <v>CA</v>
      </c>
      <c r="J173" s="335" t="s">
        <v>306</v>
      </c>
      <c r="K173" s="224" t="s">
        <v>337</v>
      </c>
      <c r="L173" s="748">
        <v>2</v>
      </c>
      <c r="M173" s="748" t="s">
        <v>1983</v>
      </c>
      <c r="N173" s="748">
        <f>1+1</f>
        <v>2</v>
      </c>
      <c r="O173" s="225" t="s">
        <v>16</v>
      </c>
      <c r="P173" s="748">
        <v>0</v>
      </c>
      <c r="Q173" s="225" t="s">
        <v>16</v>
      </c>
      <c r="R173" s="224">
        <v>0</v>
      </c>
      <c r="S173" s="224" t="s">
        <v>16</v>
      </c>
      <c r="T173" s="301" t="s">
        <v>338</v>
      </c>
      <c r="U173" s="301" t="s">
        <v>1206</v>
      </c>
      <c r="V173" s="227">
        <f>220*2</f>
        <v>440</v>
      </c>
      <c r="W173" s="228" t="s">
        <v>16</v>
      </c>
      <c r="X173" s="228" t="s">
        <v>16</v>
      </c>
      <c r="Y173" s="228" t="s">
        <v>16</v>
      </c>
      <c r="Z173" s="749">
        <f>220*2</f>
        <v>440</v>
      </c>
      <c r="AA173" s="240">
        <v>40</v>
      </c>
      <c r="AB173" s="240">
        <f>SUM(Z173:AA173)</f>
        <v>480</v>
      </c>
      <c r="AC173" s="230" t="s">
        <v>304</v>
      </c>
      <c r="AD173" s="243" t="s">
        <v>16</v>
      </c>
      <c r="AE173" s="238">
        <v>45342</v>
      </c>
      <c r="AF173" s="219" t="s">
        <v>1207</v>
      </c>
      <c r="AG173" s="232">
        <v>31.99</v>
      </c>
      <c r="AH173" s="232">
        <v>30.97</v>
      </c>
      <c r="AI173" s="218" t="s">
        <v>304</v>
      </c>
      <c r="AJ173" s="218">
        <v>103813</v>
      </c>
      <c r="AK173" s="231">
        <v>45394</v>
      </c>
      <c r="AL173" s="252" t="s">
        <v>1208</v>
      </c>
    </row>
    <row r="174" spans="1:38" s="236" customFormat="1" ht="63" customHeight="1" x14ac:dyDescent="0.3">
      <c r="A174" s="257">
        <v>45348</v>
      </c>
      <c r="B174" s="224" t="s">
        <v>1209</v>
      </c>
      <c r="C174" s="283" t="s">
        <v>2262</v>
      </c>
      <c r="D174" s="222" t="str">
        <f>VLOOKUP($C174,Customers!$A$2:$Z$1010,2,FALSE)</f>
        <v>Marc Strous</v>
      </c>
      <c r="E174" s="293" t="s">
        <v>3339</v>
      </c>
      <c r="F174" s="222" t="str">
        <f xml:space="preserve"> VLOOKUP($C174,Customers!$A$2:$Z$1010,5,FALSE)</f>
        <v>University of Calgary</v>
      </c>
      <c r="G174" s="222" t="str">
        <f>VLOOKUP($C174,Customers!$A$2:$Z$1010,10,FALSE) &amp; ", " &amp; VLOOKUP($C174,Customers!$A$2:$Z$1010,11,FALSE)</f>
        <v>Calgary, AB</v>
      </c>
      <c r="H174" s="222" t="str">
        <f>VLOOKUP($C174,Customers!$A$2:$Z$1010,13,FALSE)</f>
        <v>Canada</v>
      </c>
      <c r="I174" s="222" t="str">
        <f>VLOOKUP($C174,Customers!$A$2:$Z$1010,18,FALSE)</f>
        <v>CA</v>
      </c>
      <c r="J174" s="223" t="s">
        <v>304</v>
      </c>
      <c r="K174" s="222" t="s">
        <v>1971</v>
      </c>
      <c r="L174" s="334">
        <v>3</v>
      </c>
      <c r="M174" s="334" t="s">
        <v>1980</v>
      </c>
      <c r="N174" s="334">
        <f>1+1+1</f>
        <v>3</v>
      </c>
      <c r="O174" s="225" t="s">
        <v>16</v>
      </c>
      <c r="P174" s="334">
        <v>0</v>
      </c>
      <c r="Q174" s="222" t="s">
        <v>330</v>
      </c>
      <c r="R174" s="222">
        <v>510</v>
      </c>
      <c r="S174" s="224" t="s">
        <v>16</v>
      </c>
      <c r="T174" s="226" t="s">
        <v>1210</v>
      </c>
      <c r="U174" s="226" t="s">
        <v>1211</v>
      </c>
      <c r="V174" s="227">
        <f>195*3</f>
        <v>585</v>
      </c>
      <c r="W174" s="228" t="s">
        <v>16</v>
      </c>
      <c r="X174" s="227">
        <v>75</v>
      </c>
      <c r="Y174" s="228" t="s">
        <v>16</v>
      </c>
      <c r="Z174" s="240">
        <f>(195*3)+75</f>
        <v>660</v>
      </c>
      <c r="AA174" s="302">
        <v>35</v>
      </c>
      <c r="AB174" s="240">
        <f t="shared" ref="AB174" si="38">SUM(Z174:AA174)</f>
        <v>695</v>
      </c>
      <c r="AC174" s="230" t="s">
        <v>304</v>
      </c>
      <c r="AD174" s="242" t="s">
        <v>1212</v>
      </c>
      <c r="AE174" s="231">
        <v>45363</v>
      </c>
      <c r="AF174" s="219" t="s">
        <v>1213</v>
      </c>
      <c r="AG174" s="232">
        <v>27.49</v>
      </c>
      <c r="AH174" s="232">
        <v>26.61</v>
      </c>
      <c r="AI174" s="250" t="s">
        <v>304</v>
      </c>
      <c r="AJ174" s="233">
        <v>103791</v>
      </c>
      <c r="AK174" s="234">
        <v>45401</v>
      </c>
      <c r="AL174" s="252" t="s">
        <v>1214</v>
      </c>
    </row>
    <row r="175" spans="1:38" s="236" customFormat="1" ht="39.6" customHeight="1" x14ac:dyDescent="0.3">
      <c r="A175" s="257">
        <v>45349</v>
      </c>
      <c r="B175" s="224" t="s">
        <v>1215</v>
      </c>
      <c r="C175" s="283" t="s">
        <v>2265</v>
      </c>
      <c r="D175" s="222" t="str">
        <f>VLOOKUP($C175,Customers!$A$2:$Z$1010,2,FALSE)</f>
        <v>Francois Fournier</v>
      </c>
      <c r="E175" s="293" t="s">
        <v>2113</v>
      </c>
      <c r="F175" s="222" t="str">
        <f xml:space="preserve"> VLOOKUP($C175,Customers!$A$2:$Z$1010,5,FALSE)</f>
        <v>College Montmorency</v>
      </c>
      <c r="G175" s="222" t="str">
        <f>VLOOKUP($C175,Customers!$A$2:$Z$1010,10,FALSE) &amp; ", " &amp; VLOOKUP($C175,Customers!$A$2:$Z$1010,11,FALSE)</f>
        <v>Laval, QC</v>
      </c>
      <c r="H175" s="222" t="str">
        <f>VLOOKUP($C175,Customers!$A$2:$Z$1010,13,FALSE)</f>
        <v>Canada</v>
      </c>
      <c r="I175" s="222" t="str">
        <f>VLOOKUP($C175,Customers!$A$2:$Z$1010,18,FALSE)</f>
        <v>CA</v>
      </c>
      <c r="J175" s="335" t="s">
        <v>304</v>
      </c>
      <c r="K175" s="224">
        <v>124</v>
      </c>
      <c r="L175" s="748">
        <v>1</v>
      </c>
      <c r="M175" s="748">
        <v>100</v>
      </c>
      <c r="N175" s="748">
        <f>2</f>
        <v>2</v>
      </c>
      <c r="O175" s="225" t="s">
        <v>16</v>
      </c>
      <c r="P175" s="748">
        <v>0</v>
      </c>
      <c r="Q175" s="225" t="s">
        <v>16</v>
      </c>
      <c r="R175" s="224">
        <v>0</v>
      </c>
      <c r="S175" s="224" t="s">
        <v>16</v>
      </c>
      <c r="T175" s="301" t="s">
        <v>1216</v>
      </c>
      <c r="U175" s="301" t="s">
        <v>1217</v>
      </c>
      <c r="V175" s="227">
        <v>255</v>
      </c>
      <c r="W175" s="228" t="s">
        <v>16</v>
      </c>
      <c r="X175" s="228" t="s">
        <v>16</v>
      </c>
      <c r="Y175" s="228" t="s">
        <v>16</v>
      </c>
      <c r="Z175" s="749">
        <f>255</f>
        <v>255</v>
      </c>
      <c r="AA175" s="230">
        <v>15</v>
      </c>
      <c r="AB175" s="240">
        <f>SUM(Z175:AA175)</f>
        <v>270</v>
      </c>
      <c r="AC175" s="230" t="s">
        <v>304</v>
      </c>
      <c r="AD175" s="242" t="s">
        <v>1218</v>
      </c>
      <c r="AE175" s="231">
        <v>45357</v>
      </c>
      <c r="AF175" s="219" t="s">
        <v>1219</v>
      </c>
      <c r="AG175" s="232">
        <v>7.57</v>
      </c>
      <c r="AH175" s="232">
        <v>7.93</v>
      </c>
      <c r="AI175" s="245" t="s">
        <v>304</v>
      </c>
      <c r="AJ175" s="218">
        <v>111525</v>
      </c>
      <c r="AK175" s="231">
        <v>45398</v>
      </c>
      <c r="AL175" s="252" t="s">
        <v>1220</v>
      </c>
    </row>
    <row r="176" spans="1:38" s="236" customFormat="1" ht="39.6" customHeight="1" x14ac:dyDescent="0.3">
      <c r="A176" s="257">
        <v>45349</v>
      </c>
      <c r="B176" s="224" t="s">
        <v>1221</v>
      </c>
      <c r="C176" s="521" t="s">
        <v>1043</v>
      </c>
      <c r="D176" s="222" t="str">
        <f>VLOOKUP($C176,Customers!$A$2:$Z$1010,2,FALSE)</f>
        <v>Lidan Tao</v>
      </c>
      <c r="E176" s="583" t="s">
        <v>16</v>
      </c>
      <c r="F176" s="222" t="str">
        <f xml:space="preserve"> VLOOKUP($C176,Customers!$A$2:$Z$1010,5,FALSE)</f>
        <v>Memorial University of Newfoundland</v>
      </c>
      <c r="G176" s="222" t="str">
        <f>VLOOKUP($C176,Customers!$A$2:$Z$1010,10,FALSE) &amp; ", " &amp; VLOOKUP($C176,Customers!$A$2:$Z$1010,11,FALSE)</f>
        <v>St. John’s, NL</v>
      </c>
      <c r="H176" s="222" t="str">
        <f>VLOOKUP($C176,Customers!$A$2:$Z$1010,13,FALSE)</f>
        <v>Canada</v>
      </c>
      <c r="I176" s="222" t="str">
        <f>VLOOKUP($C176,Customers!$A$2:$Z$1010,18,FALSE)</f>
        <v>CA</v>
      </c>
      <c r="J176" s="335" t="s">
        <v>304</v>
      </c>
      <c r="K176" s="243" t="s">
        <v>16</v>
      </c>
      <c r="L176" s="748">
        <v>0</v>
      </c>
      <c r="M176" s="748">
        <v>0</v>
      </c>
      <c r="N176" s="748">
        <v>0</v>
      </c>
      <c r="O176" s="224" t="s">
        <v>352</v>
      </c>
      <c r="P176" s="748">
        <v>1</v>
      </c>
      <c r="Q176" s="225" t="s">
        <v>16</v>
      </c>
      <c r="R176" s="224">
        <v>0</v>
      </c>
      <c r="S176" s="224" t="s">
        <v>16</v>
      </c>
      <c r="T176" s="301" t="s">
        <v>1222</v>
      </c>
      <c r="U176" s="301" t="s">
        <v>386</v>
      </c>
      <c r="V176" s="228" t="s">
        <v>16</v>
      </c>
      <c r="W176" s="227">
        <v>65</v>
      </c>
      <c r="X176" s="228" t="s">
        <v>16</v>
      </c>
      <c r="Y176" s="228" t="s">
        <v>16</v>
      </c>
      <c r="Z176" s="749">
        <f>65</f>
        <v>65</v>
      </c>
      <c r="AA176" s="230">
        <v>25</v>
      </c>
      <c r="AB176" s="240">
        <f>SUM(Z176:AA176)</f>
        <v>90</v>
      </c>
      <c r="AC176" s="230" t="s">
        <v>304</v>
      </c>
      <c r="AD176" s="242" t="s">
        <v>1223</v>
      </c>
      <c r="AE176" s="231">
        <v>45356</v>
      </c>
      <c r="AF176" s="219" t="s">
        <v>1224</v>
      </c>
      <c r="AG176" s="232">
        <v>20.239999999999998</v>
      </c>
      <c r="AH176" s="232">
        <v>18.29</v>
      </c>
      <c r="AI176" s="250" t="s">
        <v>304</v>
      </c>
      <c r="AJ176" s="218">
        <v>108138</v>
      </c>
      <c r="AK176" s="231">
        <v>45398</v>
      </c>
      <c r="AL176" s="252" t="s">
        <v>1225</v>
      </c>
    </row>
    <row r="177" spans="1:38" s="236" customFormat="1" ht="52.8" x14ac:dyDescent="0.3">
      <c r="A177" s="257">
        <v>45350</v>
      </c>
      <c r="B177" s="224" t="s">
        <v>1226</v>
      </c>
      <c r="C177" s="283" t="s">
        <v>1049</v>
      </c>
      <c r="D177" s="222" t="str">
        <f>VLOOKUP($C177,Customers!$A$2:$Z$1010,2,FALSE)</f>
        <v>Katheryn Klajman</v>
      </c>
      <c r="E177" s="342" t="s">
        <v>16</v>
      </c>
      <c r="F177" s="222" t="str">
        <f xml:space="preserve"> VLOOKUP($C177,Customers!$A$2:$Z$1010,5,FALSE)</f>
        <v>Testmark Laboratories Ltd.</v>
      </c>
      <c r="G177" s="222" t="str">
        <f>VLOOKUP($C177,Customers!$A$2:$Z$1010,10,FALSE) &amp; ", " &amp; VLOOKUP($C177,Customers!$A$2:$Z$1010,11,FALSE)</f>
        <v>Garson, ON</v>
      </c>
      <c r="H177" s="222" t="str">
        <f>VLOOKUP($C177,Customers!$A$2:$Z$1010,13,FALSE)</f>
        <v>Canada</v>
      </c>
      <c r="I177" s="222" t="str">
        <f>VLOOKUP($C177,Customers!$A$2:$Z$1010,18,FALSE)</f>
        <v>CC</v>
      </c>
      <c r="J177" s="223" t="s">
        <v>306</v>
      </c>
      <c r="K177" s="341" t="s">
        <v>346</v>
      </c>
      <c r="L177" s="341">
        <v>2</v>
      </c>
      <c r="M177" s="341" t="s">
        <v>1978</v>
      </c>
      <c r="N177" s="341">
        <f>1+1</f>
        <v>2</v>
      </c>
      <c r="O177" s="224" t="s">
        <v>371</v>
      </c>
      <c r="P177" s="341">
        <v>2</v>
      </c>
      <c r="Q177" s="225" t="s">
        <v>16</v>
      </c>
      <c r="R177" s="341">
        <v>0</v>
      </c>
      <c r="S177" s="224" t="s">
        <v>16</v>
      </c>
      <c r="T177" s="226" t="s">
        <v>1227</v>
      </c>
      <c r="U177" s="313" t="s">
        <v>1228</v>
      </c>
      <c r="V177" s="314">
        <f>260*2</f>
        <v>520</v>
      </c>
      <c r="W177" s="314">
        <f>85*2</f>
        <v>170</v>
      </c>
      <c r="X177" s="228" t="s">
        <v>16</v>
      </c>
      <c r="Y177" s="228" t="s">
        <v>16</v>
      </c>
      <c r="Z177" s="749">
        <f>260*2+85*2</f>
        <v>690</v>
      </c>
      <c r="AA177" s="230">
        <v>25</v>
      </c>
      <c r="AB177" s="240">
        <f>SUM(Z177:AA177)</f>
        <v>715</v>
      </c>
      <c r="AC177" s="230" t="s">
        <v>304</v>
      </c>
      <c r="AD177" s="243" t="s">
        <v>1229</v>
      </c>
      <c r="AE177" s="231">
        <v>45363</v>
      </c>
      <c r="AF177" s="219" t="s">
        <v>1230</v>
      </c>
      <c r="AG177" s="232">
        <v>8.57</v>
      </c>
      <c r="AH177" s="241">
        <v>7.84</v>
      </c>
      <c r="AI177" s="230" t="s">
        <v>304</v>
      </c>
      <c r="AJ177" s="233">
        <v>103703</v>
      </c>
      <c r="AK177" s="231">
        <v>45401</v>
      </c>
      <c r="AL177" s="252" t="s">
        <v>2871</v>
      </c>
    </row>
    <row r="178" spans="1:38" s="281" customFormat="1" ht="53.4" thickBot="1" x14ac:dyDescent="0.35">
      <c r="A178" s="297">
        <v>45351</v>
      </c>
      <c r="B178" s="261" t="s">
        <v>1231</v>
      </c>
      <c r="C178" s="284" t="s">
        <v>2263</v>
      </c>
      <c r="D178" s="264" t="str">
        <f>VLOOKUP($C178,Customers!$A$2:$Z$1010,2,FALSE)</f>
        <v>Romy Leger-Daigle</v>
      </c>
      <c r="E178" s="586" t="s">
        <v>16</v>
      </c>
      <c r="F178" s="264" t="str">
        <f xml:space="preserve"> VLOOKUP($C178,Customers!$A$2:$Z$1010,5,FALSE)</f>
        <v>Fisheries and Oceans Canada (DFO) - Maurice-Lamontagne Institute</v>
      </c>
      <c r="G178" s="264" t="str">
        <f>VLOOKUP($C178,Customers!$A$2:$Z$1010,10,FALSE) &amp; ", " &amp; VLOOKUP($C178,Customers!$A$2:$Z$1010,11,FALSE)</f>
        <v>Mont-joli, QC</v>
      </c>
      <c r="H178" s="264" t="str">
        <f>VLOOKUP($C178,Customers!$A$2:$Z$1010,13,FALSE)</f>
        <v>Canada</v>
      </c>
      <c r="I178" s="264" t="str">
        <f>VLOOKUP($C178,Customers!$A$2:$Z$1010,18,FALSE)</f>
        <v>CG</v>
      </c>
      <c r="J178" s="262" t="s">
        <v>306</v>
      </c>
      <c r="K178" s="345" t="s">
        <v>1970</v>
      </c>
      <c r="L178" s="261">
        <v>3</v>
      </c>
      <c r="M178" s="261" t="s">
        <v>1980</v>
      </c>
      <c r="N178" s="261">
        <f>1+1+1</f>
        <v>3</v>
      </c>
      <c r="O178" s="268" t="s">
        <v>16</v>
      </c>
      <c r="P178" s="261">
        <v>0</v>
      </c>
      <c r="Q178" s="268" t="s">
        <v>16</v>
      </c>
      <c r="R178" s="261">
        <v>0</v>
      </c>
      <c r="S178" s="261" t="s">
        <v>16</v>
      </c>
      <c r="T178" s="286" t="s">
        <v>1232</v>
      </c>
      <c r="U178" s="269" t="s">
        <v>1233</v>
      </c>
      <c r="V178" s="271">
        <f>195*3</f>
        <v>585</v>
      </c>
      <c r="W178" s="270" t="s">
        <v>16</v>
      </c>
      <c r="X178" s="270" t="s">
        <v>16</v>
      </c>
      <c r="Y178" s="270" t="s">
        <v>16</v>
      </c>
      <c r="Z178" s="296">
        <f>195*3</f>
        <v>585</v>
      </c>
      <c r="AA178" s="273">
        <v>30</v>
      </c>
      <c r="AB178" s="273">
        <f t="shared" ref="AB178" si="39">SUM(Z178:AA178)</f>
        <v>615</v>
      </c>
      <c r="AC178" s="274" t="s">
        <v>304</v>
      </c>
      <c r="AD178" s="654" t="s">
        <v>16</v>
      </c>
      <c r="AE178" s="276">
        <v>45369</v>
      </c>
      <c r="AF178" s="263" t="s">
        <v>1234</v>
      </c>
      <c r="AG178" s="277">
        <v>23.66</v>
      </c>
      <c r="AH178" s="277">
        <v>22.9</v>
      </c>
      <c r="AI178" s="337" t="s">
        <v>304</v>
      </c>
      <c r="AJ178" s="265">
        <v>103197</v>
      </c>
      <c r="AK178" s="289">
        <v>45377</v>
      </c>
      <c r="AL178" s="299" t="s">
        <v>1235</v>
      </c>
    </row>
    <row r="179" spans="1:38" s="236" customFormat="1" ht="52.8" x14ac:dyDescent="0.3">
      <c r="A179" s="250">
        <v>45352</v>
      </c>
      <c r="B179" s="224" t="s">
        <v>1236</v>
      </c>
      <c r="C179" s="521" t="s">
        <v>1039</v>
      </c>
      <c r="D179" s="222" t="str">
        <f>VLOOKUP($C179,Customers!$A$2:$Z$1010,2,FALSE)</f>
        <v>Jerome Comte</v>
      </c>
      <c r="E179" s="293" t="s">
        <v>2176</v>
      </c>
      <c r="F179" s="222" t="str">
        <f xml:space="preserve"> VLOOKUP($C179,Customers!$A$2:$Z$1010,5,FALSE)</f>
        <v>Institut National de la Recherche Scientifique (INRS) - Eau Terre Environnement (ETE)</v>
      </c>
      <c r="G179" s="222" t="str">
        <f>VLOOKUP($C179,Customers!$A$2:$Z$1010,10,FALSE) &amp; ", " &amp; VLOOKUP($C179,Customers!$A$2:$Z$1010,11,FALSE)</f>
        <v>Quebec, QC</v>
      </c>
      <c r="H179" s="222" t="str">
        <f>VLOOKUP($C179,Customers!$A$2:$Z$1010,13,FALSE)</f>
        <v>Canada</v>
      </c>
      <c r="I179" s="222" t="str">
        <f>VLOOKUP($C179,Customers!$A$2:$Z$1010,18,FALSE)</f>
        <v>CA</v>
      </c>
      <c r="J179" s="223" t="s">
        <v>306</v>
      </c>
      <c r="K179" s="341" t="s">
        <v>1969</v>
      </c>
      <c r="L179" s="334">
        <v>6</v>
      </c>
      <c r="M179" s="334" t="s">
        <v>3340</v>
      </c>
      <c r="N179" s="334">
        <f>1+1+1+1+1+1</f>
        <v>6</v>
      </c>
      <c r="O179" s="222" t="s">
        <v>1967</v>
      </c>
      <c r="P179" s="334" t="s">
        <v>2246</v>
      </c>
      <c r="Q179" s="244" t="s">
        <v>16</v>
      </c>
      <c r="R179" s="222">
        <v>0</v>
      </c>
      <c r="S179" s="224" t="s">
        <v>16</v>
      </c>
      <c r="T179" s="226" t="s">
        <v>1237</v>
      </c>
      <c r="U179" s="226" t="s">
        <v>1238</v>
      </c>
      <c r="V179" s="227">
        <f>150*6</f>
        <v>900</v>
      </c>
      <c r="W179" s="227">
        <f>65*2</f>
        <v>130</v>
      </c>
      <c r="X179" s="228" t="s">
        <v>16</v>
      </c>
      <c r="Y179" s="228" t="s">
        <v>16</v>
      </c>
      <c r="Z179" s="240">
        <f>(150*6)+(65*2)</f>
        <v>1030</v>
      </c>
      <c r="AA179" s="302">
        <v>25</v>
      </c>
      <c r="AB179" s="240">
        <f>SUM(Z179:AA179)</f>
        <v>1055</v>
      </c>
      <c r="AC179" s="230" t="s">
        <v>304</v>
      </c>
      <c r="AD179" s="243" t="s">
        <v>1239</v>
      </c>
      <c r="AE179" s="231">
        <v>45391</v>
      </c>
      <c r="AF179" s="219" t="s">
        <v>1240</v>
      </c>
      <c r="AG179" s="232">
        <v>8.19</v>
      </c>
      <c r="AH179" s="241">
        <v>7.93</v>
      </c>
      <c r="AI179" s="239" t="s">
        <v>304</v>
      </c>
      <c r="AJ179" s="233">
        <v>104897</v>
      </c>
      <c r="AK179" s="702">
        <v>45440</v>
      </c>
      <c r="AL179" s="252" t="s">
        <v>3341</v>
      </c>
    </row>
    <row r="180" spans="1:38" s="236" customFormat="1" ht="39.6" customHeight="1" x14ac:dyDescent="0.3">
      <c r="A180" s="257">
        <v>45355</v>
      </c>
      <c r="B180" s="224" t="s">
        <v>1241</v>
      </c>
      <c r="C180" s="283" t="s">
        <v>2265</v>
      </c>
      <c r="D180" s="222" t="str">
        <f>VLOOKUP($C180,Customers!$A$2:$Z$1010,2,FALSE)</f>
        <v>Francois Fournier</v>
      </c>
      <c r="E180" s="293" t="s">
        <v>2113</v>
      </c>
      <c r="F180" s="222" t="str">
        <f xml:space="preserve"> VLOOKUP($C180,Customers!$A$2:$Z$1010,5,FALSE)</f>
        <v>College Montmorency</v>
      </c>
      <c r="G180" s="222" t="str">
        <f>VLOOKUP($C180,Customers!$A$2:$Z$1010,10,FALSE) &amp; ", " &amp; VLOOKUP($C180,Customers!$A$2:$Z$1010,11,FALSE)</f>
        <v>Laval, QC</v>
      </c>
      <c r="H180" s="222" t="str">
        <f>VLOOKUP($C180,Customers!$A$2:$Z$1010,13,FALSE)</f>
        <v>Canada</v>
      </c>
      <c r="I180" s="222" t="str">
        <f>VLOOKUP($C180,Customers!$A$2:$Z$1010,18,FALSE)</f>
        <v>CA</v>
      </c>
      <c r="J180" s="335" t="s">
        <v>306</v>
      </c>
      <c r="K180" s="242" t="s">
        <v>16</v>
      </c>
      <c r="L180" s="748">
        <v>0</v>
      </c>
      <c r="M180" s="748">
        <v>0</v>
      </c>
      <c r="N180" s="748">
        <v>0</v>
      </c>
      <c r="O180" s="225" t="s">
        <v>16</v>
      </c>
      <c r="P180" s="748">
        <v>0</v>
      </c>
      <c r="Q180" s="222" t="s">
        <v>330</v>
      </c>
      <c r="R180" s="224">
        <v>2550</v>
      </c>
      <c r="S180" s="224" t="s">
        <v>16</v>
      </c>
      <c r="T180" s="301" t="s">
        <v>1242</v>
      </c>
      <c r="U180" s="301" t="s">
        <v>1243</v>
      </c>
      <c r="V180" s="228" t="s">
        <v>16</v>
      </c>
      <c r="W180" s="228" t="s">
        <v>16</v>
      </c>
      <c r="X180" s="227">
        <v>165</v>
      </c>
      <c r="Y180" s="228" t="s">
        <v>16</v>
      </c>
      <c r="Z180" s="749">
        <f>165</f>
        <v>165</v>
      </c>
      <c r="AA180" s="230">
        <v>10</v>
      </c>
      <c r="AB180" s="240">
        <f>SUM(Z180:AA180)</f>
        <v>175</v>
      </c>
      <c r="AC180" s="230" t="s">
        <v>304</v>
      </c>
      <c r="AD180" s="242" t="s">
        <v>1244</v>
      </c>
      <c r="AE180" s="231">
        <v>45357</v>
      </c>
      <c r="AF180" s="219" t="s">
        <v>1219</v>
      </c>
      <c r="AG180" s="232">
        <v>7.57</v>
      </c>
      <c r="AH180" s="232">
        <v>7.93</v>
      </c>
      <c r="AI180" s="245" t="s">
        <v>304</v>
      </c>
      <c r="AJ180" s="218">
        <v>111525</v>
      </c>
      <c r="AK180" s="231">
        <v>45398</v>
      </c>
      <c r="AL180" s="252" t="s">
        <v>1245</v>
      </c>
    </row>
    <row r="181" spans="1:38" s="747" customFormat="1" ht="52.8" x14ac:dyDescent="0.3">
      <c r="A181" s="257">
        <v>45357</v>
      </c>
      <c r="B181" s="224" t="s">
        <v>1246</v>
      </c>
      <c r="C181" s="224" t="s">
        <v>1349</v>
      </c>
      <c r="D181" s="222" t="str">
        <f>VLOOKUP($C181,Customers!$A$2:$Z$1010,2,FALSE)</f>
        <v>Hélène Loranger</v>
      </c>
      <c r="E181" s="342" t="s">
        <v>16</v>
      </c>
      <c r="F181" s="222" t="str">
        <f xml:space="preserve"> VLOOKUP($C181,Customers!$A$2:$Z$1010,5,FALSE)</f>
        <v>Centre d'Expertise en Analyse Environnementale du Quebec (CEAEQ)</v>
      </c>
      <c r="G181" s="222" t="str">
        <f>VLOOKUP($C181,Customers!$A$2:$Z$1010,10,FALSE) &amp; ", " &amp; VLOOKUP($C181,Customers!$A$2:$Z$1010,11,FALSE)</f>
        <v>Quebec, QC</v>
      </c>
      <c r="H181" s="222" t="str">
        <f>VLOOKUP($C181,Customers!$A$2:$Z$1010,13,FALSE)</f>
        <v>Canada</v>
      </c>
      <c r="I181" s="222" t="str">
        <f>VLOOKUP($C181,Customers!$A$2:$Z$1010,18,FALSE)</f>
        <v>CG</v>
      </c>
      <c r="J181" s="223" t="s">
        <v>306</v>
      </c>
      <c r="K181" s="242" t="s">
        <v>16</v>
      </c>
      <c r="L181" s="334">
        <v>0</v>
      </c>
      <c r="M181" s="334">
        <v>0</v>
      </c>
      <c r="N181" s="334">
        <v>0</v>
      </c>
      <c r="O181" s="224" t="s">
        <v>371</v>
      </c>
      <c r="P181" s="334">
        <v>1</v>
      </c>
      <c r="Q181" s="225" t="s">
        <v>16</v>
      </c>
      <c r="R181" s="334">
        <v>0</v>
      </c>
      <c r="S181" s="224" t="s">
        <v>16</v>
      </c>
      <c r="T181" s="226" t="s">
        <v>1247</v>
      </c>
      <c r="U181" s="226" t="s">
        <v>386</v>
      </c>
      <c r="V181" s="228" t="s">
        <v>16</v>
      </c>
      <c r="W181" s="227">
        <v>65</v>
      </c>
      <c r="X181" s="228" t="s">
        <v>16</v>
      </c>
      <c r="Y181" s="228" t="s">
        <v>16</v>
      </c>
      <c r="Z181" s="240">
        <f>65</f>
        <v>65</v>
      </c>
      <c r="AA181" s="229">
        <v>25</v>
      </c>
      <c r="AB181" s="240">
        <f t="shared" ref="AB181" si="40">SUM(Z181:AA181)</f>
        <v>90</v>
      </c>
      <c r="AC181" s="230" t="s">
        <v>304</v>
      </c>
      <c r="AD181" s="242" t="s">
        <v>1248</v>
      </c>
      <c r="AE181" s="238">
        <v>45362</v>
      </c>
      <c r="AF181" s="219" t="s">
        <v>1249</v>
      </c>
      <c r="AG181" s="232">
        <v>5.71</v>
      </c>
      <c r="AH181" s="230">
        <v>5.53</v>
      </c>
      <c r="AI181" s="330" t="s">
        <v>304</v>
      </c>
      <c r="AJ181" s="223">
        <v>100033</v>
      </c>
      <c r="AK181" s="238">
        <v>45373</v>
      </c>
      <c r="AL181" s="255" t="s">
        <v>1250</v>
      </c>
    </row>
    <row r="182" spans="1:38" s="344" customFormat="1" ht="48.6" customHeight="1" x14ac:dyDescent="0.3">
      <c r="A182" s="257">
        <v>45363</v>
      </c>
      <c r="B182" s="224" t="s">
        <v>3342</v>
      </c>
      <c r="C182" s="521" t="s">
        <v>1432</v>
      </c>
      <c r="D182" s="222" t="str">
        <f>VLOOKUP($C182,Customers!$A$2:$Z$1010,2,FALSE)</f>
        <v>Ryan Prosser</v>
      </c>
      <c r="E182" s="293" t="s">
        <v>2233</v>
      </c>
      <c r="F182" s="222" t="str">
        <f xml:space="preserve"> VLOOKUP($C182,Customers!$A$2:$Z$1010,5,FALSE)</f>
        <v>University of Guelph</v>
      </c>
      <c r="G182" s="222" t="str">
        <f>VLOOKUP($C182,Customers!$A$2:$Z$1010,10,FALSE) &amp; ", " &amp; VLOOKUP($C182,Customers!$A$2:$Z$1010,11,FALSE)</f>
        <v>Guelph, ON</v>
      </c>
      <c r="H182" s="222" t="str">
        <f>VLOOKUP($C182,Customers!$A$2:$Z$1010,13,FALSE)</f>
        <v>Canada</v>
      </c>
      <c r="I182" s="222" t="str">
        <f>VLOOKUP($C182,Customers!$A$2:$Z$1010,18,FALSE)</f>
        <v>CA</v>
      </c>
      <c r="J182" s="1142" t="s">
        <v>306</v>
      </c>
      <c r="K182" s="242" t="s">
        <v>16</v>
      </c>
      <c r="L182" s="341">
        <v>0</v>
      </c>
      <c r="M182" s="341">
        <v>0</v>
      </c>
      <c r="N182" s="341">
        <v>0</v>
      </c>
      <c r="O182" s="224" t="s">
        <v>371</v>
      </c>
      <c r="P182" s="341">
        <v>3</v>
      </c>
      <c r="Q182" s="225" t="s">
        <v>16</v>
      </c>
      <c r="R182" s="341">
        <v>0</v>
      </c>
      <c r="S182" s="224" t="s">
        <v>16</v>
      </c>
      <c r="T182" s="226" t="s">
        <v>372</v>
      </c>
      <c r="U182" s="316" t="s">
        <v>373</v>
      </c>
      <c r="V182" s="228" t="s">
        <v>16</v>
      </c>
      <c r="W182" s="317">
        <f>60*3</f>
        <v>180</v>
      </c>
      <c r="X182" s="228" t="s">
        <v>16</v>
      </c>
      <c r="Y182" s="228" t="s">
        <v>16</v>
      </c>
      <c r="Z182" s="229">
        <f>60*3</f>
        <v>180</v>
      </c>
      <c r="AA182" s="1140">
        <v>5</v>
      </c>
      <c r="AB182" s="1140">
        <f>SUM(Z182:AA183)</f>
        <v>305</v>
      </c>
      <c r="AC182" s="230" t="s">
        <v>304</v>
      </c>
      <c r="AD182" s="1138" t="s">
        <v>1251</v>
      </c>
      <c r="AE182" s="238">
        <v>45369</v>
      </c>
      <c r="AF182" s="238" t="s">
        <v>1164</v>
      </c>
      <c r="AG182" s="1121" t="s">
        <v>308</v>
      </c>
      <c r="AH182" s="1121" t="s">
        <v>308</v>
      </c>
      <c r="AI182" s="1143" t="s">
        <v>304</v>
      </c>
      <c r="AJ182" s="1144">
        <v>103794</v>
      </c>
      <c r="AK182" s="709">
        <v>45408</v>
      </c>
      <c r="AL182" s="1141" t="s">
        <v>1252</v>
      </c>
    </row>
    <row r="183" spans="1:38" s="344" customFormat="1" ht="43.2" customHeight="1" x14ac:dyDescent="0.3">
      <c r="A183" s="257">
        <v>45363</v>
      </c>
      <c r="B183" s="224" t="s">
        <v>3343</v>
      </c>
      <c r="C183" s="521" t="s">
        <v>1432</v>
      </c>
      <c r="D183" s="222" t="str">
        <f>VLOOKUP($C183,Customers!$A$2:$Z$1010,2,FALSE)</f>
        <v>Ryan Prosser</v>
      </c>
      <c r="E183" s="293" t="s">
        <v>2233</v>
      </c>
      <c r="F183" s="222" t="str">
        <f xml:space="preserve"> VLOOKUP($C183,Customers!$A$2:$Z$1010,5,FALSE)</f>
        <v>University of Guelph</v>
      </c>
      <c r="G183" s="222" t="str">
        <f>VLOOKUP($C183,Customers!$A$2:$Z$1010,10,FALSE) &amp; ", " &amp; VLOOKUP($C183,Customers!$A$2:$Z$1010,11,FALSE)</f>
        <v>Guelph, ON</v>
      </c>
      <c r="H183" s="222" t="str">
        <f>VLOOKUP($C183,Customers!$A$2:$Z$1010,13,FALSE)</f>
        <v>Canada</v>
      </c>
      <c r="I183" s="222" t="str">
        <f>VLOOKUP($C183,Customers!$A$2:$Z$1010,18,FALSE)</f>
        <v>CA</v>
      </c>
      <c r="J183" s="1142"/>
      <c r="K183" s="242" t="s">
        <v>16</v>
      </c>
      <c r="L183" s="341">
        <v>0</v>
      </c>
      <c r="M183" s="341">
        <v>0</v>
      </c>
      <c r="N183" s="341">
        <v>0</v>
      </c>
      <c r="O183" s="224" t="s">
        <v>371</v>
      </c>
      <c r="P183" s="341">
        <v>2</v>
      </c>
      <c r="Q183" s="225" t="s">
        <v>16</v>
      </c>
      <c r="R183" s="341">
        <v>0</v>
      </c>
      <c r="S183" s="224" t="s">
        <v>16</v>
      </c>
      <c r="T183" s="226" t="s">
        <v>1253</v>
      </c>
      <c r="U183" s="316" t="s">
        <v>1254</v>
      </c>
      <c r="V183" s="228" t="s">
        <v>16</v>
      </c>
      <c r="W183" s="317">
        <f>60*2</f>
        <v>120</v>
      </c>
      <c r="X183" s="228" t="s">
        <v>16</v>
      </c>
      <c r="Y183" s="228" t="s">
        <v>16</v>
      </c>
      <c r="Z183" s="229">
        <f>60*2</f>
        <v>120</v>
      </c>
      <c r="AA183" s="1140"/>
      <c r="AB183" s="1140"/>
      <c r="AC183" s="230" t="s">
        <v>304</v>
      </c>
      <c r="AD183" s="1138"/>
      <c r="AE183" s="238">
        <v>45372</v>
      </c>
      <c r="AF183" s="238" t="s">
        <v>1164</v>
      </c>
      <c r="AG183" s="1121"/>
      <c r="AH183" s="1121"/>
      <c r="AI183" s="1143"/>
      <c r="AJ183" s="1144"/>
      <c r="AK183" s="709">
        <v>45408</v>
      </c>
      <c r="AL183" s="1141"/>
    </row>
    <row r="184" spans="1:38" s="236" customFormat="1" ht="39.6" customHeight="1" x14ac:dyDescent="0.3">
      <c r="A184" s="257">
        <v>45364</v>
      </c>
      <c r="B184" s="224" t="s">
        <v>1255</v>
      </c>
      <c r="C184" s="521" t="s">
        <v>1018</v>
      </c>
      <c r="D184" s="222" t="str">
        <f>VLOOKUP($C184,Customers!$A$2:$Z$1010,2,FALSE)</f>
        <v>Caroline Leblanc-Houde</v>
      </c>
      <c r="E184" s="583" t="s">
        <v>394</v>
      </c>
      <c r="F184" s="222" t="str">
        <f xml:space="preserve"> VLOOKUP($C184,Customers!$A$2:$Z$1010,5,FALSE)</f>
        <v>Agat Laboratories</v>
      </c>
      <c r="G184" s="222" t="str">
        <f>VLOOKUP($C184,Customers!$A$2:$Z$1010,10,FALSE) &amp; ", " &amp; VLOOKUP($C184,Customers!$A$2:$Z$1010,11,FALSE)</f>
        <v>Saint-Laurent, QC</v>
      </c>
      <c r="H184" s="222" t="str">
        <f>VLOOKUP($C184,Customers!$A$2:$Z$1010,13,FALSE)</f>
        <v>Canada</v>
      </c>
      <c r="I184" s="222" t="str">
        <f>VLOOKUP($C184,Customers!$A$2:$Z$1010,18,FALSE)</f>
        <v>CC</v>
      </c>
      <c r="J184" s="253" t="s">
        <v>306</v>
      </c>
      <c r="K184" s="224">
        <v>37</v>
      </c>
      <c r="L184" s="751">
        <v>1</v>
      </c>
      <c r="M184" s="751">
        <v>45</v>
      </c>
      <c r="N184" s="751">
        <f>3</f>
        <v>3</v>
      </c>
      <c r="O184" s="225" t="s">
        <v>16</v>
      </c>
      <c r="P184" s="751">
        <v>0</v>
      </c>
      <c r="Q184" s="225" t="s">
        <v>16</v>
      </c>
      <c r="R184" s="224">
        <v>0</v>
      </c>
      <c r="S184" s="224" t="s">
        <v>16</v>
      </c>
      <c r="T184" s="301" t="s">
        <v>1256</v>
      </c>
      <c r="U184" s="301" t="s">
        <v>419</v>
      </c>
      <c r="V184" s="227">
        <v>290</v>
      </c>
      <c r="W184" s="228" t="s">
        <v>16</v>
      </c>
      <c r="X184" s="228" t="s">
        <v>16</v>
      </c>
      <c r="Y184" s="228" t="s">
        <v>16</v>
      </c>
      <c r="Z184" s="302">
        <v>290</v>
      </c>
      <c r="AA184" s="302">
        <v>25</v>
      </c>
      <c r="AB184" s="240">
        <f t="shared" ref="AB184" si="41">SUM(Z184:AA184)</f>
        <v>315</v>
      </c>
      <c r="AC184" s="230" t="s">
        <v>304</v>
      </c>
      <c r="AD184" s="242" t="s">
        <v>1257</v>
      </c>
      <c r="AE184" s="231">
        <v>45370</v>
      </c>
      <c r="AF184" s="219" t="s">
        <v>1258</v>
      </c>
      <c r="AG184" s="232">
        <v>5.71</v>
      </c>
      <c r="AH184" s="241">
        <v>6.13</v>
      </c>
      <c r="AI184" s="245" t="s">
        <v>304</v>
      </c>
      <c r="AJ184" s="223">
        <v>102856</v>
      </c>
      <c r="AK184" s="234">
        <v>45408</v>
      </c>
      <c r="AL184" s="255" t="s">
        <v>1259</v>
      </c>
    </row>
    <row r="185" spans="1:38" s="236" customFormat="1" ht="39.6" customHeight="1" x14ac:dyDescent="0.3">
      <c r="A185" s="257">
        <v>45364</v>
      </c>
      <c r="B185" s="224" t="s">
        <v>1260</v>
      </c>
      <c r="C185" s="521" t="s">
        <v>1038</v>
      </c>
      <c r="D185" s="222" t="str">
        <f>VLOOKUP($C185,Customers!$A$2:$Z$1010,2,FALSE)</f>
        <v>Janetta Fraser</v>
      </c>
      <c r="E185" s="342" t="s">
        <v>16</v>
      </c>
      <c r="F185" s="222" t="str">
        <f xml:space="preserve"> VLOOKUP($C185,Customers!$A$2:$Z$1010,5,FALSE)</f>
        <v>Harris Industrial Testing Service Ltd. (HITS)</v>
      </c>
      <c r="G185" s="222" t="str">
        <f>VLOOKUP($C185,Customers!$A$2:$Z$1010,10,FALSE) &amp; ", " &amp; VLOOKUP($C185,Customers!$A$2:$Z$1010,11,FALSE)</f>
        <v>Waverley, NS</v>
      </c>
      <c r="H185" s="222" t="str">
        <f>VLOOKUP($C185,Customers!$A$2:$Z$1010,13,FALSE)</f>
        <v>Canada</v>
      </c>
      <c r="I185" s="222" t="str">
        <f>VLOOKUP($C185,Customers!$A$2:$Z$1010,18,FALSE)</f>
        <v>CC</v>
      </c>
      <c r="J185" s="223" t="s">
        <v>306</v>
      </c>
      <c r="K185" s="222">
        <v>266</v>
      </c>
      <c r="L185" s="222">
        <v>1</v>
      </c>
      <c r="M185" s="222">
        <v>15</v>
      </c>
      <c r="N185" s="222">
        <f>1</f>
        <v>1</v>
      </c>
      <c r="O185" s="244" t="s">
        <v>16</v>
      </c>
      <c r="P185" s="222">
        <v>0</v>
      </c>
      <c r="Q185" s="244" t="s">
        <v>16</v>
      </c>
      <c r="R185" s="222">
        <v>0</v>
      </c>
      <c r="S185" s="224" t="s">
        <v>16</v>
      </c>
      <c r="T185" s="226" t="s">
        <v>391</v>
      </c>
      <c r="U185" s="226" t="s">
        <v>417</v>
      </c>
      <c r="V185" s="227">
        <v>200</v>
      </c>
      <c r="W185" s="228" t="s">
        <v>16</v>
      </c>
      <c r="X185" s="228" t="s">
        <v>16</v>
      </c>
      <c r="Y185" s="228" t="s">
        <v>16</v>
      </c>
      <c r="Z185" s="230">
        <f>200</f>
        <v>200</v>
      </c>
      <c r="AA185" s="302">
        <v>25</v>
      </c>
      <c r="AB185" s="230">
        <f>SUM(Z185:AA185)</f>
        <v>225</v>
      </c>
      <c r="AC185" s="230" t="s">
        <v>304</v>
      </c>
      <c r="AD185" s="652" t="s">
        <v>16</v>
      </c>
      <c r="AE185" s="231">
        <v>45370</v>
      </c>
      <c r="AF185" s="219" t="s">
        <v>1261</v>
      </c>
      <c r="AG185" s="232">
        <v>20.98</v>
      </c>
      <c r="AH185" s="241">
        <v>18.96</v>
      </c>
      <c r="AI185" s="258" t="s">
        <v>304</v>
      </c>
      <c r="AJ185" s="233">
        <v>103252</v>
      </c>
      <c r="AK185" s="234">
        <v>45408</v>
      </c>
      <c r="AL185" s="255" t="s">
        <v>1262</v>
      </c>
    </row>
    <row r="186" spans="1:38" s="236" customFormat="1" ht="82.95" customHeight="1" x14ac:dyDescent="0.3">
      <c r="A186" s="257">
        <v>45364</v>
      </c>
      <c r="B186" s="224" t="s">
        <v>1263</v>
      </c>
      <c r="C186" s="283" t="s">
        <v>2306</v>
      </c>
      <c r="D186" s="222" t="str">
        <f>VLOOKUP($C186,Customers!$A$2:$Z$1010,2,FALSE)</f>
        <v>Megan Bauer</v>
      </c>
      <c r="E186" s="342" t="s">
        <v>16</v>
      </c>
      <c r="F186" s="222" t="str">
        <f xml:space="preserve"> VLOOKUP($C186,Customers!$A$2:$Z$1010,5,FALSE)</f>
        <v>Environment and Climate Change Canada (ECCC) - Atlantic Laboratory for Environmental Testing (ALET)</v>
      </c>
      <c r="G186" s="222" t="str">
        <f>VLOOKUP($C186,Customers!$A$2:$Z$1010,10,FALSE) &amp; ", " &amp; VLOOKUP($C186,Customers!$A$2:$Z$1010,11,FALSE)</f>
        <v>Moncton, NB</v>
      </c>
      <c r="H186" s="222" t="str">
        <f>VLOOKUP($C186,Customers!$A$2:$Z$1010,13,FALSE)</f>
        <v>Canada</v>
      </c>
      <c r="I186" s="222" t="str">
        <f>VLOOKUP($C186,Customers!$A$2:$Z$1010,18,FALSE)</f>
        <v>CG</v>
      </c>
      <c r="J186" s="223" t="s">
        <v>306</v>
      </c>
      <c r="K186" s="341">
        <v>714</v>
      </c>
      <c r="L186" s="334">
        <v>1</v>
      </c>
      <c r="M186" s="334">
        <v>15</v>
      </c>
      <c r="N186" s="334">
        <f>1</f>
        <v>1</v>
      </c>
      <c r="O186" s="225" t="s">
        <v>16</v>
      </c>
      <c r="P186" s="341">
        <v>0</v>
      </c>
      <c r="Q186" s="341" t="s">
        <v>318</v>
      </c>
      <c r="R186" s="341">
        <v>500</v>
      </c>
      <c r="S186" s="224" t="s">
        <v>16</v>
      </c>
      <c r="T186" s="226" t="s">
        <v>1264</v>
      </c>
      <c r="U186" s="226" t="s">
        <v>1265</v>
      </c>
      <c r="V186" s="227">
        <v>150</v>
      </c>
      <c r="W186" s="228" t="s">
        <v>16</v>
      </c>
      <c r="X186" s="227">
        <v>210</v>
      </c>
      <c r="Y186" s="228" t="s">
        <v>16</v>
      </c>
      <c r="Z186" s="229">
        <f>150+210</f>
        <v>360</v>
      </c>
      <c r="AA186" s="230">
        <v>40</v>
      </c>
      <c r="AB186" s="240">
        <f t="shared" ref="AB186" si="42">SUM(Z186:AA186)</f>
        <v>400</v>
      </c>
      <c r="AC186" s="230" t="s">
        <v>304</v>
      </c>
      <c r="AD186" s="242" t="s">
        <v>16</v>
      </c>
      <c r="AE186" s="238">
        <v>45369</v>
      </c>
      <c r="AF186" s="219" t="s">
        <v>1266</v>
      </c>
      <c r="AG186" s="232">
        <v>30.11</v>
      </c>
      <c r="AH186" s="241">
        <v>27.21</v>
      </c>
      <c r="AI186" s="230" t="s">
        <v>304</v>
      </c>
      <c r="AJ186" s="218">
        <v>103165</v>
      </c>
      <c r="AK186" s="234">
        <v>45377</v>
      </c>
      <c r="AL186" s="235" t="s">
        <v>1267</v>
      </c>
    </row>
    <row r="187" spans="1:38" s="236" customFormat="1" ht="90.6" customHeight="1" x14ac:dyDescent="0.3">
      <c r="A187" s="257">
        <v>45370</v>
      </c>
      <c r="B187" s="224" t="s">
        <v>1268</v>
      </c>
      <c r="C187" s="283" t="s">
        <v>1035</v>
      </c>
      <c r="D187" s="222" t="str">
        <f>VLOOKUP($C187,Customers!$A$2:$Z$1010,2,FALSE)</f>
        <v>Arthur Zastepa</v>
      </c>
      <c r="E187" s="583" t="s">
        <v>16</v>
      </c>
      <c r="F187" s="222" t="str">
        <f xml:space="preserve"> VLOOKUP($C187,Customers!$A$2:$Z$1010,5,FALSE)</f>
        <v>Environment and Climate Change Canada (ECCC) - Watershed Hydrology and Ecology Research Division (WHERD)</v>
      </c>
      <c r="G187" s="222" t="str">
        <f>VLOOKUP($C187,Customers!$A$2:$Z$1010,10,FALSE) &amp; ", " &amp; VLOOKUP($C187,Customers!$A$2:$Z$1010,11,FALSE)</f>
        <v>Burlington, ON</v>
      </c>
      <c r="H187" s="222" t="str">
        <f>VLOOKUP($C187,Customers!$A$2:$Z$1010,13,FALSE)</f>
        <v>Canada</v>
      </c>
      <c r="I187" s="222" t="str">
        <f>VLOOKUP($C187,Customers!$A$2:$Z$1010,18,FALSE)</f>
        <v>CG</v>
      </c>
      <c r="J187" s="218" t="s">
        <v>306</v>
      </c>
      <c r="K187" s="243" t="s">
        <v>16</v>
      </c>
      <c r="L187" s="224">
        <v>0</v>
      </c>
      <c r="M187" s="224">
        <v>0</v>
      </c>
      <c r="N187" s="224">
        <v>0</v>
      </c>
      <c r="O187" s="225" t="s">
        <v>16</v>
      </c>
      <c r="P187" s="224">
        <v>0</v>
      </c>
      <c r="Q187" s="225" t="s">
        <v>16</v>
      </c>
      <c r="R187" s="224">
        <v>0</v>
      </c>
      <c r="S187" s="224" t="s">
        <v>2966</v>
      </c>
      <c r="T187" s="301" t="s">
        <v>4074</v>
      </c>
      <c r="U187" s="301" t="s">
        <v>1269</v>
      </c>
      <c r="V187" s="228" t="s">
        <v>16</v>
      </c>
      <c r="W187" s="228" t="s">
        <v>16</v>
      </c>
      <c r="X187" s="228" t="s">
        <v>16</v>
      </c>
      <c r="Y187" s="227">
        <f>150*5</f>
        <v>750</v>
      </c>
      <c r="Z187" s="241">
        <f>150*5</f>
        <v>750</v>
      </c>
      <c r="AA187" s="241" t="s">
        <v>308</v>
      </c>
      <c r="AB187" s="240">
        <f>SUM(Z187:AA187)</f>
        <v>750</v>
      </c>
      <c r="AC187" s="241" t="s">
        <v>308</v>
      </c>
      <c r="AD187" s="224" t="s">
        <v>1270</v>
      </c>
      <c r="AE187" s="257" t="s">
        <v>308</v>
      </c>
      <c r="AF187" s="218" t="s">
        <v>308</v>
      </c>
      <c r="AG187" s="241" t="s">
        <v>308</v>
      </c>
      <c r="AH187" s="241" t="s">
        <v>308</v>
      </c>
      <c r="AI187" s="250" t="s">
        <v>304</v>
      </c>
      <c r="AJ187" s="218">
        <v>103177</v>
      </c>
      <c r="AK187" s="238">
        <v>45377</v>
      </c>
      <c r="AL187" s="323" t="s">
        <v>1271</v>
      </c>
    </row>
    <row r="188" spans="1:38" s="344" customFormat="1" ht="39.6" x14ac:dyDescent="0.3">
      <c r="A188" s="231">
        <v>45370</v>
      </c>
      <c r="B188" s="250" t="s">
        <v>1272</v>
      </c>
      <c r="C188" s="250" t="s">
        <v>2489</v>
      </c>
      <c r="D188" s="222" t="str">
        <f>VLOOKUP($C188,Customers!$A$2:$Z$1010,2,FALSE)</f>
        <v>Kirsten Müller</v>
      </c>
      <c r="E188" s="293" t="s">
        <v>2247</v>
      </c>
      <c r="F188" s="222" t="str">
        <f xml:space="preserve"> VLOOKUP($C188,Customers!$A$2:$Z$1010,5,FALSE)</f>
        <v>University of Waterloo</v>
      </c>
      <c r="G188" s="222" t="str">
        <f>VLOOKUP($C188,Customers!$A$2:$Z$1010,10,FALSE) &amp; ", " &amp; VLOOKUP($C188,Customers!$A$2:$Z$1010,11,FALSE)</f>
        <v>Waterloo, ON</v>
      </c>
      <c r="H188" s="222" t="str">
        <f>VLOOKUP($C188,Customers!$A$2:$Z$1010,13,FALSE)</f>
        <v>Canada</v>
      </c>
      <c r="I188" s="222" t="str">
        <f>VLOOKUP($C188,Customers!$A$2:$Z$1010,18,FALSE)</f>
        <v>CA</v>
      </c>
      <c r="J188" s="223" t="s">
        <v>306</v>
      </c>
      <c r="K188" s="341">
        <v>299</v>
      </c>
      <c r="L188" s="341">
        <v>1</v>
      </c>
      <c r="M188" s="341">
        <v>45</v>
      </c>
      <c r="N188" s="341">
        <f>1</f>
        <v>1</v>
      </c>
      <c r="O188" s="341" t="s">
        <v>353</v>
      </c>
      <c r="P188" s="341">
        <v>1</v>
      </c>
      <c r="Q188" s="244" t="s">
        <v>16</v>
      </c>
      <c r="R188" s="341">
        <v>0</v>
      </c>
      <c r="S188" s="224" t="s">
        <v>16</v>
      </c>
      <c r="T188" s="226" t="s">
        <v>1273</v>
      </c>
      <c r="U188" s="226" t="s">
        <v>1274</v>
      </c>
      <c r="V188" s="227">
        <v>145</v>
      </c>
      <c r="W188" s="227">
        <v>55</v>
      </c>
      <c r="X188" s="228" t="s">
        <v>16</v>
      </c>
      <c r="Y188" s="228" t="s">
        <v>16</v>
      </c>
      <c r="Z188" s="240">
        <f t="shared" ref="Z188" si="43">SUM(V188:Y188)</f>
        <v>200</v>
      </c>
      <c r="AA188" s="241" t="s">
        <v>308</v>
      </c>
      <c r="AB188" s="240">
        <f>SUM(Z188:AA188)</f>
        <v>200</v>
      </c>
      <c r="AC188" s="230" t="s">
        <v>304</v>
      </c>
      <c r="AD188" s="242" t="s">
        <v>16</v>
      </c>
      <c r="AE188" s="257">
        <v>45405</v>
      </c>
      <c r="AF188" s="256" t="s">
        <v>1275</v>
      </c>
      <c r="AG188" s="230" t="s">
        <v>308</v>
      </c>
      <c r="AH188" s="241" t="s">
        <v>308</v>
      </c>
      <c r="AI188" s="223" t="s">
        <v>308</v>
      </c>
      <c r="AJ188" s="646" t="s">
        <v>308</v>
      </c>
      <c r="AK188" s="703">
        <v>45548</v>
      </c>
      <c r="AL188" s="252" t="s">
        <v>3962</v>
      </c>
    </row>
    <row r="189" spans="1:38" s="755" customFormat="1" ht="40.200000000000003" thickBot="1" x14ac:dyDescent="0.35">
      <c r="A189" s="297">
        <v>45379</v>
      </c>
      <c r="B189" s="337" t="s">
        <v>1276</v>
      </c>
      <c r="C189" s="752" t="s">
        <v>1432</v>
      </c>
      <c r="D189" s="264" t="str">
        <f>VLOOKUP($C189,Customers!$A$2:$Z$1010,2,FALSE)</f>
        <v>Ryan Prosser</v>
      </c>
      <c r="E189" s="263" t="s">
        <v>2248</v>
      </c>
      <c r="F189" s="264" t="str">
        <f xml:space="preserve"> VLOOKUP($C189,Customers!$A$2:$Z$1010,5,FALSE)</f>
        <v>University of Guelph</v>
      </c>
      <c r="G189" s="264" t="str">
        <f>VLOOKUP($C189,Customers!$A$2:$Z$1010,10,FALSE) &amp; ", " &amp; VLOOKUP($C189,Customers!$A$2:$Z$1010,11,FALSE)</f>
        <v>Guelph, ON</v>
      </c>
      <c r="H189" s="264" t="str">
        <f>VLOOKUP($C189,Customers!$A$2:$Z$1010,13,FALSE)</f>
        <v>Canada</v>
      </c>
      <c r="I189" s="264" t="str">
        <f>VLOOKUP($C189,Customers!$A$2:$Z$1010,18,FALSE)</f>
        <v>CA</v>
      </c>
      <c r="J189" s="267" t="s">
        <v>306</v>
      </c>
      <c r="K189" s="654" t="s">
        <v>16</v>
      </c>
      <c r="L189" s="345">
        <v>0</v>
      </c>
      <c r="M189" s="345">
        <v>0</v>
      </c>
      <c r="N189" s="345">
        <v>0</v>
      </c>
      <c r="O189" s="264" t="s">
        <v>393</v>
      </c>
      <c r="P189" s="345">
        <v>3</v>
      </c>
      <c r="Q189" s="275" t="s">
        <v>16</v>
      </c>
      <c r="R189" s="264">
        <v>0</v>
      </c>
      <c r="S189" s="261" t="s">
        <v>16</v>
      </c>
      <c r="T189" s="269" t="s">
        <v>1277</v>
      </c>
      <c r="U189" s="753" t="s">
        <v>373</v>
      </c>
      <c r="V189" s="270" t="s">
        <v>16</v>
      </c>
      <c r="W189" s="754">
        <f>60*3</f>
        <v>180</v>
      </c>
      <c r="X189" s="270" t="s">
        <v>16</v>
      </c>
      <c r="Y189" s="270" t="s">
        <v>16</v>
      </c>
      <c r="Z189" s="272">
        <f>60*3</f>
        <v>180</v>
      </c>
      <c r="AA189" s="296" t="s">
        <v>308</v>
      </c>
      <c r="AB189" s="273">
        <f t="shared" ref="AB189:AB190" si="44">SUM(Z189:AA189)</f>
        <v>180</v>
      </c>
      <c r="AC189" s="274" t="s">
        <v>304</v>
      </c>
      <c r="AD189" s="264" t="s">
        <v>3344</v>
      </c>
      <c r="AE189" s="276">
        <v>45384</v>
      </c>
      <c r="AF189" s="338" t="s">
        <v>370</v>
      </c>
      <c r="AG189" s="277" t="s">
        <v>308</v>
      </c>
      <c r="AH189" s="277" t="s">
        <v>308</v>
      </c>
      <c r="AI189" s="303" t="s">
        <v>304</v>
      </c>
      <c r="AJ189" s="279">
        <v>103794</v>
      </c>
      <c r="AK189" s="276">
        <v>45412</v>
      </c>
      <c r="AL189" s="331" t="s">
        <v>1278</v>
      </c>
    </row>
    <row r="190" spans="1:38" s="747" customFormat="1" ht="52.8" x14ac:dyDescent="0.3">
      <c r="A190" s="257">
        <v>45390</v>
      </c>
      <c r="B190" s="224" t="s">
        <v>1279</v>
      </c>
      <c r="C190" s="224" t="s">
        <v>1349</v>
      </c>
      <c r="D190" s="222" t="str">
        <f>VLOOKUP($C190,Customers!$A$2:$Z$1010,2,FALSE)</f>
        <v>Hélène Loranger</v>
      </c>
      <c r="E190" s="342" t="s">
        <v>414</v>
      </c>
      <c r="F190" s="222" t="str">
        <f xml:space="preserve"> VLOOKUP($C190,Customers!$A$2:$Z$1010,5,FALSE)</f>
        <v>Centre d'Expertise en Analyse Environnementale du Quebec (CEAEQ)</v>
      </c>
      <c r="G190" s="222" t="str">
        <f>VLOOKUP($C190,Customers!$A$2:$Z$1010,10,FALSE) &amp; ", " &amp; VLOOKUP($C190,Customers!$A$2:$Z$1010,11,FALSE)</f>
        <v>Quebec, QC</v>
      </c>
      <c r="H190" s="222" t="str">
        <f>VLOOKUP($C190,Customers!$A$2:$Z$1010,13,FALSE)</f>
        <v>Canada</v>
      </c>
      <c r="I190" s="222" t="str">
        <f>VLOOKUP($C190,Customers!$A$2:$Z$1010,18,FALSE)</f>
        <v>CG</v>
      </c>
      <c r="J190" s="223" t="s">
        <v>306</v>
      </c>
      <c r="K190" s="242" t="s">
        <v>16</v>
      </c>
      <c r="L190" s="334">
        <v>0</v>
      </c>
      <c r="M190" s="334">
        <v>0</v>
      </c>
      <c r="N190" s="334">
        <v>0</v>
      </c>
      <c r="O190" s="224" t="s">
        <v>371</v>
      </c>
      <c r="P190" s="334">
        <v>1</v>
      </c>
      <c r="Q190" s="225" t="s">
        <v>16</v>
      </c>
      <c r="R190" s="334">
        <v>0</v>
      </c>
      <c r="S190" s="224" t="s">
        <v>16</v>
      </c>
      <c r="T190" s="226" t="s">
        <v>1247</v>
      </c>
      <c r="U190" s="226" t="s">
        <v>386</v>
      </c>
      <c r="V190" s="228" t="s">
        <v>16</v>
      </c>
      <c r="W190" s="227">
        <v>65</v>
      </c>
      <c r="X190" s="228" t="s">
        <v>16</v>
      </c>
      <c r="Y190" s="228" t="s">
        <v>16</v>
      </c>
      <c r="Z190" s="240">
        <f>65</f>
        <v>65</v>
      </c>
      <c r="AA190" s="229">
        <v>25</v>
      </c>
      <c r="AB190" s="240">
        <f t="shared" si="44"/>
        <v>90</v>
      </c>
      <c r="AC190" s="230" t="s">
        <v>304</v>
      </c>
      <c r="AD190" s="242" t="s">
        <v>1280</v>
      </c>
      <c r="AE190" s="238">
        <v>45397</v>
      </c>
      <c r="AF190" s="219" t="s">
        <v>1281</v>
      </c>
      <c r="AG190" s="232">
        <v>5.71</v>
      </c>
      <c r="AH190" s="230">
        <v>5.53</v>
      </c>
      <c r="AI190" s="330" t="s">
        <v>304</v>
      </c>
      <c r="AJ190" s="223">
        <v>100033</v>
      </c>
      <c r="AK190" s="703">
        <v>45440</v>
      </c>
      <c r="AL190" s="255" t="s">
        <v>3345</v>
      </c>
    </row>
    <row r="191" spans="1:38" s="236" customFormat="1" ht="26.4" x14ac:dyDescent="0.3">
      <c r="A191" s="250">
        <v>45393</v>
      </c>
      <c r="B191" s="224" t="s">
        <v>1282</v>
      </c>
      <c r="C191" s="521" t="s">
        <v>2524</v>
      </c>
      <c r="D191" s="222" t="str">
        <f>VLOOKUP($C191,Customers!$A$2:$Z$1010,2,FALSE)</f>
        <v>Monica Emelko</v>
      </c>
      <c r="E191" s="342" t="s">
        <v>16</v>
      </c>
      <c r="F191" s="222" t="str">
        <f xml:space="preserve"> VLOOKUP($C191,Customers!$A$2:$Z$1010,5,FALSE)</f>
        <v>University of Waterloo</v>
      </c>
      <c r="G191" s="222" t="str">
        <f>VLOOKUP($C191,Customers!$A$2:$Z$1010,10,FALSE) &amp; ", " &amp; VLOOKUP($C191,Customers!$A$2:$Z$1010,11,FALSE)</f>
        <v>Waterloo, ON</v>
      </c>
      <c r="H191" s="222" t="str">
        <f>VLOOKUP($C191,Customers!$A$2:$Z$1010,13,FALSE)</f>
        <v>Canada</v>
      </c>
      <c r="I191" s="222" t="str">
        <f>VLOOKUP($C191,Customers!$A$2:$Z$1010,18,FALSE)</f>
        <v>CA</v>
      </c>
      <c r="J191" s="259" t="s">
        <v>306</v>
      </c>
      <c r="K191" s="242" t="s">
        <v>16</v>
      </c>
      <c r="L191" s="334">
        <v>0</v>
      </c>
      <c r="M191" s="334">
        <v>0</v>
      </c>
      <c r="N191" s="334">
        <v>0</v>
      </c>
      <c r="O191" s="244" t="s">
        <v>16</v>
      </c>
      <c r="P191" s="334">
        <v>0</v>
      </c>
      <c r="Q191" s="244" t="s">
        <v>16</v>
      </c>
      <c r="R191" s="222">
        <v>0</v>
      </c>
      <c r="S191" s="224" t="s">
        <v>3543</v>
      </c>
      <c r="T191" s="226" t="s">
        <v>405</v>
      </c>
      <c r="U191" s="226" t="s">
        <v>1283</v>
      </c>
      <c r="V191" s="228" t="s">
        <v>16</v>
      </c>
      <c r="W191" s="228" t="s">
        <v>16</v>
      </c>
      <c r="X191" s="228" t="s">
        <v>16</v>
      </c>
      <c r="Y191" s="227">
        <f>30*12</f>
        <v>360</v>
      </c>
      <c r="Z191" s="240">
        <f>30*12</f>
        <v>360</v>
      </c>
      <c r="AA191" s="240" t="s">
        <v>308</v>
      </c>
      <c r="AB191" s="240">
        <f>SUM(Z191:AA191)</f>
        <v>360</v>
      </c>
      <c r="AC191" s="230" t="s">
        <v>308</v>
      </c>
      <c r="AD191" s="242" t="s">
        <v>16</v>
      </c>
      <c r="AE191" s="295" t="s">
        <v>308</v>
      </c>
      <c r="AF191" s="220" t="s">
        <v>308</v>
      </c>
      <c r="AG191" s="241" t="s">
        <v>308</v>
      </c>
      <c r="AH191" s="241" t="s">
        <v>308</v>
      </c>
      <c r="AI191" s="223" t="s">
        <v>308</v>
      </c>
      <c r="AJ191" s="223" t="s">
        <v>308</v>
      </c>
      <c r="AK191" s="234">
        <v>45394</v>
      </c>
      <c r="AL191" s="252" t="s">
        <v>1284</v>
      </c>
    </row>
    <row r="192" spans="1:38" s="236" customFormat="1" ht="39.6" customHeight="1" x14ac:dyDescent="0.3">
      <c r="A192" s="257">
        <v>45397</v>
      </c>
      <c r="B192" s="224" t="s">
        <v>1285</v>
      </c>
      <c r="C192" s="521" t="s">
        <v>1055</v>
      </c>
      <c r="D192" s="222" t="str">
        <f>VLOOKUP($C192,Customers!$A$2:$Z$1010,2,FALSE)</f>
        <v>Michael (Mike) Phillips</v>
      </c>
      <c r="E192" s="583" t="s">
        <v>16</v>
      </c>
      <c r="F192" s="222" t="str">
        <f xml:space="preserve"> VLOOKUP($C192,Customers!$A$2:$Z$1010,5,FALSE)</f>
        <v>University of Toronto Mississauga</v>
      </c>
      <c r="G192" s="222" t="str">
        <f>VLOOKUP($C192,Customers!$A$2:$Z$1010,10,FALSE) &amp; ", " &amp; VLOOKUP($C192,Customers!$A$2:$Z$1010,11,FALSE)</f>
        <v>Mississauga, ON</v>
      </c>
      <c r="H192" s="222" t="str">
        <f>VLOOKUP($C192,Customers!$A$2:$Z$1010,13,FALSE)</f>
        <v>Canada</v>
      </c>
      <c r="I192" s="222" t="str">
        <f>VLOOKUP($C192,Customers!$A$2:$Z$1010,18,FALSE)</f>
        <v>CA</v>
      </c>
      <c r="J192" s="223" t="s">
        <v>306</v>
      </c>
      <c r="K192" s="242" t="s">
        <v>16</v>
      </c>
      <c r="L192" s="334">
        <v>0</v>
      </c>
      <c r="M192" s="334">
        <v>0</v>
      </c>
      <c r="N192" s="334">
        <v>0</v>
      </c>
      <c r="O192" s="225" t="s">
        <v>16</v>
      </c>
      <c r="P192" s="334">
        <v>0</v>
      </c>
      <c r="Q192" s="222" t="s">
        <v>330</v>
      </c>
      <c r="R192" s="222">
        <v>510</v>
      </c>
      <c r="S192" s="224" t="s">
        <v>16</v>
      </c>
      <c r="T192" s="226" t="s">
        <v>369</v>
      </c>
      <c r="U192" s="226" t="s">
        <v>1286</v>
      </c>
      <c r="V192" s="228" t="s">
        <v>16</v>
      </c>
      <c r="W192" s="228" t="s">
        <v>16</v>
      </c>
      <c r="X192" s="227">
        <v>75</v>
      </c>
      <c r="Y192" s="228" t="s">
        <v>16</v>
      </c>
      <c r="Z192" s="240">
        <f>75</f>
        <v>75</v>
      </c>
      <c r="AA192" s="302">
        <v>25</v>
      </c>
      <c r="AB192" s="240">
        <f t="shared" ref="AB192" si="45">SUM(Z192:AA192)</f>
        <v>100</v>
      </c>
      <c r="AC192" s="230" t="s">
        <v>304</v>
      </c>
      <c r="AD192" s="242" t="s">
        <v>1287</v>
      </c>
      <c r="AE192" s="238">
        <v>45399</v>
      </c>
      <c r="AF192" s="219" t="s">
        <v>1288</v>
      </c>
      <c r="AG192" s="232">
        <v>6.09</v>
      </c>
      <c r="AH192" s="232">
        <v>5.57</v>
      </c>
      <c r="AI192" s="239" t="s">
        <v>304</v>
      </c>
      <c r="AJ192" s="233">
        <v>103831</v>
      </c>
      <c r="AK192" s="238">
        <v>45412</v>
      </c>
      <c r="AL192" s="252" t="s">
        <v>1289</v>
      </c>
    </row>
    <row r="193" spans="1:38" s="236" customFormat="1" ht="39.6" customHeight="1" x14ac:dyDescent="0.3">
      <c r="A193" s="257">
        <v>45397</v>
      </c>
      <c r="B193" s="224" t="s">
        <v>1290</v>
      </c>
      <c r="C193" s="521" t="s">
        <v>1043</v>
      </c>
      <c r="D193" s="222" t="str">
        <f>VLOOKUP($C193,Customers!$A$2:$Z$1010,2,FALSE)</f>
        <v>Lidan Tao</v>
      </c>
      <c r="E193" s="583" t="s">
        <v>16</v>
      </c>
      <c r="F193" s="222" t="str">
        <f xml:space="preserve"> VLOOKUP($C193,Customers!$A$2:$Z$1010,5,FALSE)</f>
        <v>Memorial University of Newfoundland</v>
      </c>
      <c r="G193" s="222" t="str">
        <f>VLOOKUP($C193,Customers!$A$2:$Z$1010,10,FALSE) &amp; ", " &amp; VLOOKUP($C193,Customers!$A$2:$Z$1010,11,FALSE)</f>
        <v>St. John’s, NL</v>
      </c>
      <c r="H193" s="222" t="str">
        <f>VLOOKUP($C193,Customers!$A$2:$Z$1010,13,FALSE)</f>
        <v>Canada</v>
      </c>
      <c r="I193" s="222" t="str">
        <f>VLOOKUP($C193,Customers!$A$2:$Z$1010,18,FALSE)</f>
        <v>CA</v>
      </c>
      <c r="J193" s="335" t="s">
        <v>306</v>
      </c>
      <c r="K193" s="243" t="s">
        <v>16</v>
      </c>
      <c r="L193" s="748">
        <v>0</v>
      </c>
      <c r="M193" s="748">
        <v>0</v>
      </c>
      <c r="N193" s="748">
        <v>0</v>
      </c>
      <c r="O193" s="224" t="s">
        <v>352</v>
      </c>
      <c r="P193" s="748">
        <v>4</v>
      </c>
      <c r="Q193" s="225" t="s">
        <v>16</v>
      </c>
      <c r="R193" s="224">
        <v>0</v>
      </c>
      <c r="S193" s="224" t="s">
        <v>16</v>
      </c>
      <c r="T193" s="301" t="s">
        <v>1291</v>
      </c>
      <c r="U193" s="301" t="s">
        <v>1292</v>
      </c>
      <c r="V193" s="228" t="s">
        <v>16</v>
      </c>
      <c r="W193" s="227">
        <f>60*4</f>
        <v>240</v>
      </c>
      <c r="X193" s="228" t="s">
        <v>16</v>
      </c>
      <c r="Y193" s="228" t="s">
        <v>16</v>
      </c>
      <c r="Z193" s="749">
        <f>60*4</f>
        <v>240</v>
      </c>
      <c r="AA193" s="230">
        <v>40</v>
      </c>
      <c r="AB193" s="240">
        <f>SUM(Z193:AA193)</f>
        <v>280</v>
      </c>
      <c r="AC193" s="230" t="s">
        <v>304</v>
      </c>
      <c r="AD193" s="242" t="s">
        <v>1294</v>
      </c>
      <c r="AE193" s="231">
        <v>45405</v>
      </c>
      <c r="AF193" s="219" t="s">
        <v>3346</v>
      </c>
      <c r="AG193" s="232">
        <v>35.04</v>
      </c>
      <c r="AH193" s="232">
        <v>31.67</v>
      </c>
      <c r="AI193" s="250" t="s">
        <v>304</v>
      </c>
      <c r="AJ193" s="218">
        <v>108138</v>
      </c>
      <c r="AK193" s="702">
        <v>45440</v>
      </c>
      <c r="AL193" s="252" t="s">
        <v>3347</v>
      </c>
    </row>
    <row r="194" spans="1:38" s="236" customFormat="1" ht="25.5" customHeight="1" x14ac:dyDescent="0.3">
      <c r="A194" s="257">
        <v>45397</v>
      </c>
      <c r="B194" s="224" t="s">
        <v>3348</v>
      </c>
      <c r="C194" s="521" t="s">
        <v>2524</v>
      </c>
      <c r="D194" s="222" t="str">
        <f>VLOOKUP($C194,Customers!$A$2:$Z$1010,2,FALSE)</f>
        <v>Monica Emelko</v>
      </c>
      <c r="E194" s="219" t="s">
        <v>2099</v>
      </c>
      <c r="F194" s="222" t="str">
        <f xml:space="preserve"> VLOOKUP($C194,Customers!$A$2:$Z$1010,5,FALSE)</f>
        <v>University of Waterloo</v>
      </c>
      <c r="G194" s="222" t="str">
        <f>VLOOKUP($C194,Customers!$A$2:$Z$1010,10,FALSE) &amp; ", " &amp; VLOOKUP($C194,Customers!$A$2:$Z$1010,11,FALSE)</f>
        <v>Waterloo, ON</v>
      </c>
      <c r="H194" s="222" t="str">
        <f>VLOOKUP($C194,Customers!$A$2:$Z$1010,13,FALSE)</f>
        <v>Canada</v>
      </c>
      <c r="I194" s="222" t="str">
        <f>VLOOKUP($C194,Customers!$A$2:$Z$1010,18,FALSE)</f>
        <v>CA</v>
      </c>
      <c r="J194" s="1125" t="s">
        <v>306</v>
      </c>
      <c r="K194" s="242" t="s">
        <v>16</v>
      </c>
      <c r="L194" s="334">
        <v>0</v>
      </c>
      <c r="M194" s="334">
        <v>0</v>
      </c>
      <c r="N194" s="334">
        <v>0</v>
      </c>
      <c r="O194" s="225" t="s">
        <v>16</v>
      </c>
      <c r="P194" s="334">
        <v>0</v>
      </c>
      <c r="Q194" s="341" t="s">
        <v>2855</v>
      </c>
      <c r="R194" s="222">
        <v>5</v>
      </c>
      <c r="S194" s="224" t="s">
        <v>16</v>
      </c>
      <c r="T194" s="226" t="s">
        <v>1295</v>
      </c>
      <c r="U194" s="226" t="s">
        <v>1296</v>
      </c>
      <c r="V194" s="228" t="s">
        <v>16</v>
      </c>
      <c r="W194" s="228" t="s">
        <v>16</v>
      </c>
      <c r="X194" s="227">
        <v>5</v>
      </c>
      <c r="Y194" s="228" t="s">
        <v>16</v>
      </c>
      <c r="Z194" s="240">
        <f t="shared" ref="Z194" si="46">SUM(V194:Y194)</f>
        <v>5</v>
      </c>
      <c r="AA194" s="241" t="s">
        <v>308</v>
      </c>
      <c r="AB194" s="1155">
        <f>SUM(Z194:AA198)</f>
        <v>520</v>
      </c>
      <c r="AC194" s="230" t="s">
        <v>304</v>
      </c>
      <c r="AD194" s="1149" t="s">
        <v>16</v>
      </c>
      <c r="AE194" s="231">
        <v>45329</v>
      </c>
      <c r="AF194" s="231" t="s">
        <v>1297</v>
      </c>
      <c r="AG194" s="1121" t="s">
        <v>308</v>
      </c>
      <c r="AH194" s="1121" t="s">
        <v>308</v>
      </c>
      <c r="AI194" s="1152" t="s">
        <v>308</v>
      </c>
      <c r="AJ194" s="1125" t="s">
        <v>308</v>
      </c>
      <c r="AK194" s="742">
        <v>45548</v>
      </c>
      <c r="AL194" s="1145" t="s">
        <v>3983</v>
      </c>
    </row>
    <row r="195" spans="1:38" s="344" customFormat="1" ht="42" customHeight="1" x14ac:dyDescent="0.3">
      <c r="A195" s="257">
        <v>45397</v>
      </c>
      <c r="B195" s="224" t="s">
        <v>3349</v>
      </c>
      <c r="C195" s="521" t="s">
        <v>2524</v>
      </c>
      <c r="D195" s="222" t="str">
        <f>VLOOKUP($C195,Customers!$A$2:$Z$1010,2,FALSE)</f>
        <v>Monica Emelko</v>
      </c>
      <c r="E195" s="219" t="s">
        <v>2099</v>
      </c>
      <c r="F195" s="222" t="str">
        <f xml:space="preserve"> VLOOKUP($C195,Customers!$A$2:$Z$1010,5,FALSE)</f>
        <v>University of Waterloo</v>
      </c>
      <c r="G195" s="222" t="str">
        <f>VLOOKUP($C195,Customers!$A$2:$Z$1010,10,FALSE) &amp; ", " &amp; VLOOKUP($C195,Customers!$A$2:$Z$1010,11,FALSE)</f>
        <v>Waterloo, ON</v>
      </c>
      <c r="H195" s="222" t="str">
        <f>VLOOKUP($C195,Customers!$A$2:$Z$1010,13,FALSE)</f>
        <v>Canada</v>
      </c>
      <c r="I195" s="222" t="str">
        <f>VLOOKUP($C195,Customers!$A$2:$Z$1010,18,FALSE)</f>
        <v>CA</v>
      </c>
      <c r="J195" s="1125"/>
      <c r="K195" s="341">
        <v>300</v>
      </c>
      <c r="L195" s="341">
        <v>1</v>
      </c>
      <c r="M195" s="341">
        <v>45</v>
      </c>
      <c r="N195" s="341">
        <f>1</f>
        <v>1</v>
      </c>
      <c r="O195" s="341" t="s">
        <v>353</v>
      </c>
      <c r="P195" s="341">
        <v>1</v>
      </c>
      <c r="Q195" s="244" t="s">
        <v>16</v>
      </c>
      <c r="R195" s="341">
        <v>0</v>
      </c>
      <c r="S195" s="224" t="s">
        <v>16</v>
      </c>
      <c r="T195" s="226" t="s">
        <v>1298</v>
      </c>
      <c r="U195" s="226" t="s">
        <v>1274</v>
      </c>
      <c r="V195" s="227">
        <v>145</v>
      </c>
      <c r="W195" s="227">
        <v>55</v>
      </c>
      <c r="X195" s="228" t="s">
        <v>16</v>
      </c>
      <c r="Y195" s="228" t="s">
        <v>16</v>
      </c>
      <c r="Z195" s="229">
        <f>145+55</f>
        <v>200</v>
      </c>
      <c r="AA195" s="241" t="s">
        <v>308</v>
      </c>
      <c r="AB195" s="1155"/>
      <c r="AC195" s="230" t="s">
        <v>304</v>
      </c>
      <c r="AD195" s="1149"/>
      <c r="AE195" s="231">
        <v>45405</v>
      </c>
      <c r="AF195" s="231" t="s">
        <v>1297</v>
      </c>
      <c r="AG195" s="1121"/>
      <c r="AH195" s="1121"/>
      <c r="AI195" s="1152"/>
      <c r="AJ195" s="1125"/>
      <c r="AK195" s="742">
        <v>45548</v>
      </c>
      <c r="AL195" s="1145"/>
    </row>
    <row r="196" spans="1:38" s="344" customFormat="1" ht="42" customHeight="1" x14ac:dyDescent="0.3">
      <c r="A196" s="257">
        <v>45397</v>
      </c>
      <c r="B196" s="224" t="s">
        <v>3350</v>
      </c>
      <c r="C196" s="521" t="s">
        <v>2524</v>
      </c>
      <c r="D196" s="222" t="str">
        <f>VLOOKUP($C196,Customers!$A$2:$Z$1010,2,FALSE)</f>
        <v>Monica Emelko</v>
      </c>
      <c r="E196" s="219" t="s">
        <v>2099</v>
      </c>
      <c r="F196" s="222" t="str">
        <f xml:space="preserve"> VLOOKUP($C196,Customers!$A$2:$Z$1010,5,FALSE)</f>
        <v>University of Waterloo</v>
      </c>
      <c r="G196" s="222" t="str">
        <f>VLOOKUP($C196,Customers!$A$2:$Z$1010,10,FALSE) &amp; ", " &amp; VLOOKUP($C196,Customers!$A$2:$Z$1010,11,FALSE)</f>
        <v>Waterloo, ON</v>
      </c>
      <c r="H196" s="222" t="str">
        <f>VLOOKUP($C196,Customers!$A$2:$Z$1010,13,FALSE)</f>
        <v>Canada</v>
      </c>
      <c r="I196" s="222" t="str">
        <f>VLOOKUP($C196,Customers!$A$2:$Z$1010,18,FALSE)</f>
        <v>CA</v>
      </c>
      <c r="J196" s="1125"/>
      <c r="K196" s="242" t="s">
        <v>16</v>
      </c>
      <c r="L196" s="341">
        <v>0</v>
      </c>
      <c r="M196" s="341">
        <v>0</v>
      </c>
      <c r="N196" s="341">
        <v>0</v>
      </c>
      <c r="O196" s="341" t="s">
        <v>353</v>
      </c>
      <c r="P196" s="341">
        <v>1</v>
      </c>
      <c r="Q196" s="244" t="s">
        <v>16</v>
      </c>
      <c r="R196" s="341">
        <v>0</v>
      </c>
      <c r="S196" s="224" t="s">
        <v>16</v>
      </c>
      <c r="T196" s="226" t="s">
        <v>3351</v>
      </c>
      <c r="U196" s="226" t="s">
        <v>3352</v>
      </c>
      <c r="V196" s="228" t="s">
        <v>16</v>
      </c>
      <c r="W196" s="227">
        <v>55</v>
      </c>
      <c r="X196" s="228" t="s">
        <v>16</v>
      </c>
      <c r="Y196" s="228" t="s">
        <v>16</v>
      </c>
      <c r="Z196" s="229">
        <f>55</f>
        <v>55</v>
      </c>
      <c r="AA196" s="241" t="s">
        <v>308</v>
      </c>
      <c r="AB196" s="1155"/>
      <c r="AC196" s="230" t="s">
        <v>304</v>
      </c>
      <c r="AD196" s="1149"/>
      <c r="AE196" s="231">
        <v>45436</v>
      </c>
      <c r="AF196" s="231" t="s">
        <v>3353</v>
      </c>
      <c r="AG196" s="1121"/>
      <c r="AH196" s="1121"/>
      <c r="AI196" s="1152"/>
      <c r="AJ196" s="1125"/>
      <c r="AK196" s="742">
        <v>45548</v>
      </c>
      <c r="AL196" s="1145"/>
    </row>
    <row r="197" spans="1:38" s="344" customFormat="1" ht="42" customHeight="1" x14ac:dyDescent="0.3">
      <c r="A197" s="257">
        <v>45397</v>
      </c>
      <c r="B197" s="224" t="s">
        <v>3354</v>
      </c>
      <c r="C197" s="521" t="s">
        <v>2524</v>
      </c>
      <c r="D197" s="222" t="str">
        <f>VLOOKUP($C197,Customers!$A$2:$Z$1010,2,FALSE)</f>
        <v>Monica Emelko</v>
      </c>
      <c r="E197" s="219" t="s">
        <v>2099</v>
      </c>
      <c r="F197" s="222" t="str">
        <f xml:space="preserve"> VLOOKUP($C197,Customers!$A$2:$Z$1010,5,FALSE)</f>
        <v>University of Waterloo</v>
      </c>
      <c r="G197" s="222" t="str">
        <f>VLOOKUP($C197,Customers!$A$2:$Z$1010,10,FALSE) &amp; ", " &amp; VLOOKUP($C197,Customers!$A$2:$Z$1010,11,FALSE)</f>
        <v>Waterloo, ON</v>
      </c>
      <c r="H197" s="222" t="str">
        <f>VLOOKUP($C197,Customers!$A$2:$Z$1010,13,FALSE)</f>
        <v>Canada</v>
      </c>
      <c r="I197" s="222" t="str">
        <f>VLOOKUP($C197,Customers!$A$2:$Z$1010,18,FALSE)</f>
        <v>CA</v>
      </c>
      <c r="J197" s="1125"/>
      <c r="K197" s="242" t="s">
        <v>16</v>
      </c>
      <c r="L197" s="341">
        <v>0</v>
      </c>
      <c r="M197" s="341">
        <v>0</v>
      </c>
      <c r="N197" s="341">
        <v>0</v>
      </c>
      <c r="O197" s="341" t="s">
        <v>353</v>
      </c>
      <c r="P197" s="341">
        <v>2</v>
      </c>
      <c r="Q197" s="244" t="s">
        <v>16</v>
      </c>
      <c r="R197" s="341">
        <v>0</v>
      </c>
      <c r="S197" s="224" t="s">
        <v>16</v>
      </c>
      <c r="T197" s="226" t="s">
        <v>3355</v>
      </c>
      <c r="U197" s="226" t="s">
        <v>3356</v>
      </c>
      <c r="V197" s="228" t="s">
        <v>16</v>
      </c>
      <c r="W197" s="227">
        <f>55*2</f>
        <v>110</v>
      </c>
      <c r="X197" s="228" t="s">
        <v>16</v>
      </c>
      <c r="Y197" s="228" t="s">
        <v>16</v>
      </c>
      <c r="Z197" s="229">
        <f>55*2</f>
        <v>110</v>
      </c>
      <c r="AA197" s="241" t="s">
        <v>308</v>
      </c>
      <c r="AB197" s="1155"/>
      <c r="AC197" s="230" t="s">
        <v>304</v>
      </c>
      <c r="AD197" s="1149"/>
      <c r="AE197" s="231">
        <v>45457</v>
      </c>
      <c r="AF197" s="231" t="s">
        <v>1297</v>
      </c>
      <c r="AG197" s="1121"/>
      <c r="AH197" s="1121"/>
      <c r="AI197" s="1152"/>
      <c r="AJ197" s="1125"/>
      <c r="AK197" s="742">
        <v>45548</v>
      </c>
      <c r="AL197" s="1145"/>
    </row>
    <row r="198" spans="1:38" s="344" customFormat="1" ht="42" customHeight="1" x14ac:dyDescent="0.3">
      <c r="A198" s="257">
        <v>45397</v>
      </c>
      <c r="B198" s="224" t="s">
        <v>3357</v>
      </c>
      <c r="C198" s="521" t="s">
        <v>2524</v>
      </c>
      <c r="D198" s="222" t="str">
        <f>VLOOKUP($C198,Customers!$A$2:$Z$1010,2,FALSE)</f>
        <v>Monica Emelko</v>
      </c>
      <c r="E198" s="219" t="s">
        <v>2099</v>
      </c>
      <c r="F198" s="222" t="str">
        <f xml:space="preserve"> VLOOKUP($C198,Customers!$A$2:$Z$1010,5,FALSE)</f>
        <v>University of Waterloo</v>
      </c>
      <c r="G198" s="222" t="str">
        <f>VLOOKUP($C198,Customers!$A$2:$Z$1010,10,FALSE) &amp; ", " &amp; VLOOKUP($C198,Customers!$A$2:$Z$1010,11,FALSE)</f>
        <v>Waterloo, ON</v>
      </c>
      <c r="H198" s="222" t="str">
        <f>VLOOKUP($C198,Customers!$A$2:$Z$1010,13,FALSE)</f>
        <v>Canada</v>
      </c>
      <c r="I198" s="222" t="str">
        <f>VLOOKUP($C198,Customers!$A$2:$Z$1010,18,FALSE)</f>
        <v>CA</v>
      </c>
      <c r="J198" s="1125"/>
      <c r="K198" s="242" t="s">
        <v>16</v>
      </c>
      <c r="L198" s="341">
        <v>0</v>
      </c>
      <c r="M198" s="341">
        <v>0</v>
      </c>
      <c r="N198" s="341">
        <v>0</v>
      </c>
      <c r="O198" s="341" t="s">
        <v>353</v>
      </c>
      <c r="P198" s="341">
        <v>3</v>
      </c>
      <c r="Q198" s="244" t="s">
        <v>16</v>
      </c>
      <c r="R198" s="341">
        <v>0</v>
      </c>
      <c r="S198" s="224" t="s">
        <v>16</v>
      </c>
      <c r="T198" s="226" t="s">
        <v>3358</v>
      </c>
      <c r="U198" s="226" t="s">
        <v>3359</v>
      </c>
      <c r="V198" s="228" t="s">
        <v>16</v>
      </c>
      <c r="W198" s="227">
        <f>50*3</f>
        <v>150</v>
      </c>
      <c r="X198" s="228" t="s">
        <v>16</v>
      </c>
      <c r="Y198" s="228" t="s">
        <v>16</v>
      </c>
      <c r="Z198" s="229">
        <f>50*3</f>
        <v>150</v>
      </c>
      <c r="AA198" s="241" t="s">
        <v>308</v>
      </c>
      <c r="AB198" s="1155"/>
      <c r="AC198" s="230" t="s">
        <v>304</v>
      </c>
      <c r="AD198" s="1149"/>
      <c r="AE198" s="231">
        <v>45471</v>
      </c>
      <c r="AF198" s="231" t="s">
        <v>1297</v>
      </c>
      <c r="AG198" s="1121"/>
      <c r="AH198" s="1121"/>
      <c r="AI198" s="1152"/>
      <c r="AJ198" s="1125"/>
      <c r="AK198" s="742">
        <v>45548</v>
      </c>
      <c r="AL198" s="1145"/>
    </row>
    <row r="199" spans="1:38" s="344" customFormat="1" ht="39.6" customHeight="1" x14ac:dyDescent="0.3">
      <c r="A199" s="231">
        <v>45397</v>
      </c>
      <c r="B199" s="250" t="s">
        <v>3360</v>
      </c>
      <c r="C199" s="257" t="s">
        <v>2266</v>
      </c>
      <c r="D199" s="222" t="str">
        <f>VLOOKUP($C199,Customers!$A$2:$Z$1010,2,FALSE)</f>
        <v>Marc Cadotte</v>
      </c>
      <c r="E199" s="293" t="s">
        <v>2223</v>
      </c>
      <c r="F199" s="222" t="str">
        <f xml:space="preserve"> VLOOKUP($C199,Customers!$A$2:$Z$1010,5,FALSE)</f>
        <v>University of Toronto Scarborough</v>
      </c>
      <c r="G199" s="222" t="str">
        <f>VLOOKUP($C199,Customers!$A$2:$Z$1010,10,FALSE) &amp; ", " &amp; VLOOKUP($C199,Customers!$A$2:$Z$1010,11,FALSE)</f>
        <v>Toronto, ON</v>
      </c>
      <c r="H199" s="222" t="str">
        <f>VLOOKUP($C199,Customers!$A$2:$Z$1010,13,FALSE)</f>
        <v>Canada</v>
      </c>
      <c r="I199" s="222" t="str">
        <f>VLOOKUP($C199,Customers!$A$2:$Z$1010,18,FALSE)</f>
        <v>CA</v>
      </c>
      <c r="J199" s="1125" t="s">
        <v>304</v>
      </c>
      <c r="K199" s="341" t="s">
        <v>3361</v>
      </c>
      <c r="L199" s="341">
        <v>7</v>
      </c>
      <c r="M199" s="341" t="s">
        <v>3362</v>
      </c>
      <c r="N199" s="341">
        <f>1+1+1+1+1+1+1</f>
        <v>7</v>
      </c>
      <c r="O199" s="244" t="s">
        <v>16</v>
      </c>
      <c r="P199" s="341">
        <v>0</v>
      </c>
      <c r="Q199" s="244" t="s">
        <v>16</v>
      </c>
      <c r="R199" s="341">
        <v>0</v>
      </c>
      <c r="S199" s="224" t="s">
        <v>16</v>
      </c>
      <c r="T199" s="301" t="s">
        <v>3363</v>
      </c>
      <c r="U199" s="301" t="s">
        <v>3364</v>
      </c>
      <c r="V199" s="227">
        <f>135*7</f>
        <v>945</v>
      </c>
      <c r="W199" s="228" t="s">
        <v>16</v>
      </c>
      <c r="X199" s="228" t="s">
        <v>16</v>
      </c>
      <c r="Y199" s="228" t="s">
        <v>16</v>
      </c>
      <c r="Z199" s="229">
        <f>135*7</f>
        <v>945</v>
      </c>
      <c r="AA199" s="302">
        <v>25</v>
      </c>
      <c r="AB199" s="1140">
        <f>SUM(Z199:AA200)</f>
        <v>1265</v>
      </c>
      <c r="AC199" s="1146" t="s">
        <v>304</v>
      </c>
      <c r="AD199" s="1149" t="s">
        <v>3365</v>
      </c>
      <c r="AE199" s="257">
        <v>45419</v>
      </c>
      <c r="AF199" s="219" t="s">
        <v>3366</v>
      </c>
      <c r="AG199" s="232">
        <v>6.09</v>
      </c>
      <c r="AH199" s="241">
        <v>5.57</v>
      </c>
      <c r="AI199" s="1152" t="s">
        <v>304</v>
      </c>
      <c r="AJ199" s="1153">
        <v>107313</v>
      </c>
      <c r="AK199" s="741">
        <v>45513</v>
      </c>
      <c r="AL199" s="1145" t="s">
        <v>3984</v>
      </c>
    </row>
    <row r="200" spans="1:38" s="344" customFormat="1" ht="66" x14ac:dyDescent="0.3">
      <c r="A200" s="231">
        <v>45397</v>
      </c>
      <c r="B200" s="250" t="s">
        <v>3367</v>
      </c>
      <c r="C200" s="257" t="s">
        <v>2266</v>
      </c>
      <c r="D200" s="222" t="str">
        <f>VLOOKUP($C200,Customers!$A$2:$Z$1010,2,FALSE)</f>
        <v>Marc Cadotte</v>
      </c>
      <c r="E200" s="293" t="s">
        <v>2223</v>
      </c>
      <c r="F200" s="222" t="str">
        <f xml:space="preserve"> VLOOKUP($C200,Customers!$A$2:$Z$1010,5,FALSE)</f>
        <v>University of Toronto Scarborough</v>
      </c>
      <c r="G200" s="222" t="str">
        <f>VLOOKUP($C200,Customers!$A$2:$Z$1010,10,FALSE) &amp; ", " &amp; VLOOKUP($C200,Customers!$A$2:$Z$1010,11,FALSE)</f>
        <v>Toronto, ON</v>
      </c>
      <c r="H200" s="222" t="str">
        <f>VLOOKUP($C200,Customers!$A$2:$Z$1010,13,FALSE)</f>
        <v>Canada</v>
      </c>
      <c r="I200" s="222" t="str">
        <f>VLOOKUP($C200,Customers!$A$2:$Z$1010,18,FALSE)</f>
        <v>CA</v>
      </c>
      <c r="J200" s="1125"/>
      <c r="K200" s="341" t="s">
        <v>4075</v>
      </c>
      <c r="L200" s="341">
        <v>2</v>
      </c>
      <c r="M200" s="341" t="s">
        <v>3368</v>
      </c>
      <c r="N200" s="341">
        <f>1+1</f>
        <v>2</v>
      </c>
      <c r="O200" s="244" t="s">
        <v>16</v>
      </c>
      <c r="P200" s="341">
        <v>0</v>
      </c>
      <c r="Q200" s="244" t="s">
        <v>16</v>
      </c>
      <c r="R200" s="341">
        <v>0</v>
      </c>
      <c r="S200" s="224" t="s">
        <v>16</v>
      </c>
      <c r="T200" s="301" t="s">
        <v>3369</v>
      </c>
      <c r="U200" s="301" t="s">
        <v>3370</v>
      </c>
      <c r="V200" s="227">
        <f>135*2</f>
        <v>270</v>
      </c>
      <c r="W200" s="228" t="s">
        <v>16</v>
      </c>
      <c r="X200" s="228" t="s">
        <v>16</v>
      </c>
      <c r="Y200" s="228" t="s">
        <v>16</v>
      </c>
      <c r="Z200" s="229">
        <f>135*2</f>
        <v>270</v>
      </c>
      <c r="AA200" s="302">
        <v>25</v>
      </c>
      <c r="AB200" s="1140"/>
      <c r="AC200" s="1146"/>
      <c r="AD200" s="1149"/>
      <c r="AE200" s="257">
        <v>45468</v>
      </c>
      <c r="AF200" s="219" t="s">
        <v>3985</v>
      </c>
      <c r="AG200" s="232">
        <v>5.42</v>
      </c>
      <c r="AH200" s="241">
        <v>4.96</v>
      </c>
      <c r="AI200" s="1152"/>
      <c r="AJ200" s="1153"/>
      <c r="AK200" s="741">
        <v>45513</v>
      </c>
      <c r="AL200" s="1145"/>
    </row>
    <row r="201" spans="1:38" s="344" customFormat="1" ht="79.2" x14ac:dyDescent="0.3">
      <c r="A201" s="231">
        <v>45404</v>
      </c>
      <c r="B201" s="250" t="s">
        <v>1301</v>
      </c>
      <c r="C201" s="521" t="s">
        <v>1045</v>
      </c>
      <c r="D201" s="222" t="str">
        <f>VLOOKUP($C201,Customers!$A$2:$Z$1010,2,FALSE)</f>
        <v>Adam Wartman</v>
      </c>
      <c r="E201" s="342" t="s">
        <v>16</v>
      </c>
      <c r="F201" s="222" t="str">
        <f xml:space="preserve"> VLOOKUP($C201,Customers!$A$2:$Z$1010,5,FALSE)</f>
        <v>Nautilus Environmental Company Inc. - Guelph</v>
      </c>
      <c r="G201" s="222" t="str">
        <f>VLOOKUP($C201,Customers!$A$2:$Z$1010,10,FALSE) &amp; ", " &amp; VLOOKUP($C201,Customers!$A$2:$Z$1010,11,FALSE)</f>
        <v>Puslinch, ON</v>
      </c>
      <c r="H201" s="222" t="str">
        <f>VLOOKUP($C201,Customers!$A$2:$Z$1010,13,FALSE)</f>
        <v>Canada</v>
      </c>
      <c r="I201" s="222" t="str">
        <f>VLOOKUP($C201,Customers!$A$2:$Z$1010,18,FALSE)</f>
        <v>CC</v>
      </c>
      <c r="J201" s="223" t="s">
        <v>306</v>
      </c>
      <c r="K201" s="242" t="s">
        <v>16</v>
      </c>
      <c r="L201" s="341">
        <v>0</v>
      </c>
      <c r="M201" s="341">
        <v>0</v>
      </c>
      <c r="N201" s="341">
        <v>0</v>
      </c>
      <c r="O201" s="225" t="s">
        <v>16</v>
      </c>
      <c r="P201" s="341">
        <v>0</v>
      </c>
      <c r="Q201" s="341" t="s">
        <v>318</v>
      </c>
      <c r="R201" s="341">
        <v>2000</v>
      </c>
      <c r="S201" s="224" t="s">
        <v>16</v>
      </c>
      <c r="T201" s="226" t="s">
        <v>1192</v>
      </c>
      <c r="U201" s="226" t="s">
        <v>3371</v>
      </c>
      <c r="V201" s="228" t="s">
        <v>16</v>
      </c>
      <c r="W201" s="228" t="s">
        <v>16</v>
      </c>
      <c r="X201" s="227">
        <v>570</v>
      </c>
      <c r="Y201" s="228" t="s">
        <v>16</v>
      </c>
      <c r="Z201" s="229">
        <v>570</v>
      </c>
      <c r="AA201" s="302">
        <v>25</v>
      </c>
      <c r="AB201" s="240">
        <f>SUM(Z201:AA201)</f>
        <v>595</v>
      </c>
      <c r="AC201" s="230" t="s">
        <v>304</v>
      </c>
      <c r="AD201" s="222" t="s">
        <v>16</v>
      </c>
      <c r="AE201" s="257">
        <v>45411</v>
      </c>
      <c r="AF201" s="219" t="s">
        <v>1302</v>
      </c>
      <c r="AG201" s="232">
        <v>7.48</v>
      </c>
      <c r="AH201" s="241">
        <v>6.85</v>
      </c>
      <c r="AI201" s="239" t="s">
        <v>304</v>
      </c>
      <c r="AJ201" s="233">
        <v>102886</v>
      </c>
      <c r="AK201" s="702">
        <v>45443</v>
      </c>
      <c r="AL201" s="235" t="s">
        <v>3372</v>
      </c>
    </row>
    <row r="202" spans="1:38" s="344" customFormat="1" ht="76.95" customHeight="1" x14ac:dyDescent="0.3">
      <c r="A202" s="231">
        <v>45405</v>
      </c>
      <c r="B202" s="250" t="s">
        <v>1303</v>
      </c>
      <c r="C202" s="283" t="s">
        <v>2267</v>
      </c>
      <c r="D202" s="222" t="str">
        <f>VLOOKUP($C202,Customers!$A$2:$Z$1010,2,FALSE)</f>
        <v>Xuexiu Chang</v>
      </c>
      <c r="E202" s="293" t="s">
        <v>2253</v>
      </c>
      <c r="F202" s="222" t="str">
        <f xml:space="preserve"> VLOOKUP($C202,Customers!$A$2:$Z$1010,5,FALSE)</f>
        <v>University of Windsor - Great Lakes Institute for Environmental Research (GLIER)</v>
      </c>
      <c r="G202" s="222" t="str">
        <f>VLOOKUP($C202,Customers!$A$2:$Z$1010,10,FALSE) &amp; ", " &amp; VLOOKUP($C202,Customers!$A$2:$Z$1010,11,FALSE)</f>
        <v xml:space="preserve"> Windsor, ON</v>
      </c>
      <c r="H202" s="222" t="str">
        <f>VLOOKUP($C202,Customers!$A$2:$Z$1010,13,FALSE)</f>
        <v>Canada</v>
      </c>
      <c r="I202" s="222" t="str">
        <f>VLOOKUP($C202,Customers!$A$2:$Z$1010,18,FALSE)</f>
        <v>CA</v>
      </c>
      <c r="J202" s="223" t="s">
        <v>304</v>
      </c>
      <c r="K202" s="242" t="s">
        <v>16</v>
      </c>
      <c r="L202" s="341">
        <v>0</v>
      </c>
      <c r="M202" s="341">
        <v>0</v>
      </c>
      <c r="N202" s="341">
        <v>0</v>
      </c>
      <c r="O202" s="225" t="s">
        <v>16</v>
      </c>
      <c r="P202" s="341">
        <v>0</v>
      </c>
      <c r="Q202" s="222" t="s">
        <v>330</v>
      </c>
      <c r="R202" s="341">
        <f>12500+250</f>
        <v>12750</v>
      </c>
      <c r="S202" s="224" t="s">
        <v>16</v>
      </c>
      <c r="T202" s="301" t="s">
        <v>1304</v>
      </c>
      <c r="U202" s="301" t="s">
        <v>3373</v>
      </c>
      <c r="V202" s="228" t="s">
        <v>16</v>
      </c>
      <c r="W202" s="228" t="s">
        <v>16</v>
      </c>
      <c r="X202" s="227">
        <v>420</v>
      </c>
      <c r="Y202" s="228" t="s">
        <v>16</v>
      </c>
      <c r="Z202" s="229">
        <f>420</f>
        <v>420</v>
      </c>
      <c r="AA202" s="240">
        <v>80</v>
      </c>
      <c r="AB202" s="240">
        <f>SUM(Z202:AA202)</f>
        <v>500</v>
      </c>
      <c r="AC202" s="230" t="s">
        <v>304</v>
      </c>
      <c r="AD202" s="242" t="s">
        <v>1305</v>
      </c>
      <c r="AE202" s="257">
        <v>45405</v>
      </c>
      <c r="AF202" s="219" t="s">
        <v>1306</v>
      </c>
      <c r="AG202" s="232">
        <v>16.149999999999999</v>
      </c>
      <c r="AH202" s="241">
        <v>14.78</v>
      </c>
      <c r="AI202" s="239" t="s">
        <v>304</v>
      </c>
      <c r="AJ202" s="701">
        <v>103839</v>
      </c>
      <c r="AK202" s="702">
        <v>45440</v>
      </c>
      <c r="AL202" s="252" t="s">
        <v>3374</v>
      </c>
    </row>
    <row r="203" spans="1:38" s="344" customFormat="1" ht="62.25" customHeight="1" x14ac:dyDescent="0.3">
      <c r="A203" s="257">
        <v>45405</v>
      </c>
      <c r="B203" s="250" t="s">
        <v>3375</v>
      </c>
      <c r="C203" s="283" t="s">
        <v>1031</v>
      </c>
      <c r="D203" s="222" t="str">
        <f>VLOOKUP($C203,Customers!$A$2:$Z$1010,2,FALSE)</f>
        <v>Marie-Josée Lorrain</v>
      </c>
      <c r="E203" s="293" t="s">
        <v>389</v>
      </c>
      <c r="F203" s="222" t="str">
        <f xml:space="preserve"> VLOOKUP($C203,Customers!$A$2:$Z$1010,5,FALSE)</f>
        <v>Conseil National de Recherches Canada (CNRC)</v>
      </c>
      <c r="G203" s="222" t="str">
        <f>VLOOKUP($C203,Customers!$A$2:$Z$1010,10,FALSE) &amp; ", " &amp; VLOOKUP($C203,Customers!$A$2:$Z$1010,11,FALSE)</f>
        <v>Montreal, QC</v>
      </c>
      <c r="H203" s="222" t="str">
        <f>VLOOKUP($C203,Customers!$A$2:$Z$1010,13,FALSE)</f>
        <v>Canada</v>
      </c>
      <c r="I203" s="222" t="str">
        <f>VLOOKUP($C203,Customers!$A$2:$Z$1010,18,FALSE)</f>
        <v>CG</v>
      </c>
      <c r="J203" s="1142" t="s">
        <v>306</v>
      </c>
      <c r="K203" s="341" t="s">
        <v>4250</v>
      </c>
      <c r="L203" s="341">
        <v>4</v>
      </c>
      <c r="M203" s="341" t="s">
        <v>2917</v>
      </c>
      <c r="N203" s="341">
        <f>1+1+1+1</f>
        <v>4</v>
      </c>
      <c r="O203" s="341" t="s">
        <v>3376</v>
      </c>
      <c r="P203" s="341" t="s">
        <v>3377</v>
      </c>
      <c r="Q203" s="244" t="s">
        <v>16</v>
      </c>
      <c r="R203" s="341">
        <v>0</v>
      </c>
      <c r="S203" s="224" t="s">
        <v>16</v>
      </c>
      <c r="T203" s="226" t="s">
        <v>3378</v>
      </c>
      <c r="U203" s="226" t="s">
        <v>3379</v>
      </c>
      <c r="V203" s="227">
        <f>150*4</f>
        <v>600</v>
      </c>
      <c r="W203" s="227">
        <f>60*16</f>
        <v>960</v>
      </c>
      <c r="X203" s="228" t="s">
        <v>16</v>
      </c>
      <c r="Y203" s="228" t="s">
        <v>16</v>
      </c>
      <c r="Z203" s="229">
        <f>150*4+60*16</f>
        <v>1560</v>
      </c>
      <c r="AA203" s="240">
        <v>25</v>
      </c>
      <c r="AB203" s="1140">
        <f>SUM(Z203:AA204)</f>
        <v>2000</v>
      </c>
      <c r="AC203" s="230" t="s">
        <v>304</v>
      </c>
      <c r="AD203" s="1138" t="s">
        <v>16</v>
      </c>
      <c r="AE203" s="231">
        <v>45425</v>
      </c>
      <c r="AF203" s="219" t="s">
        <v>3380</v>
      </c>
      <c r="AG203" s="232">
        <v>18.100000000000001</v>
      </c>
      <c r="AH203" s="232">
        <v>17.52</v>
      </c>
      <c r="AI203" s="1142" t="s">
        <v>304</v>
      </c>
      <c r="AJ203" s="1154">
        <v>107425</v>
      </c>
      <c r="AK203" s="737">
        <v>45485</v>
      </c>
      <c r="AL203" s="1145" t="s">
        <v>3381</v>
      </c>
    </row>
    <row r="204" spans="1:38" s="344" customFormat="1" ht="62.25" customHeight="1" x14ac:dyDescent="0.3">
      <c r="A204" s="257">
        <v>45405</v>
      </c>
      <c r="B204" s="250" t="s">
        <v>3382</v>
      </c>
      <c r="C204" s="283" t="s">
        <v>1031</v>
      </c>
      <c r="D204" s="222" t="str">
        <f>VLOOKUP($C204,Customers!$A$2:$Z$1010,2,FALSE)</f>
        <v>Marie-Josée Lorrain</v>
      </c>
      <c r="E204" s="293" t="s">
        <v>389</v>
      </c>
      <c r="F204" s="222" t="str">
        <f xml:space="preserve"> VLOOKUP($C204,Customers!$A$2:$Z$1010,5,FALSE)</f>
        <v>Conseil National de Recherches Canada (CNRC)</v>
      </c>
      <c r="G204" s="222" t="str">
        <f>VLOOKUP($C204,Customers!$A$2:$Z$1010,10,FALSE) &amp; ", " &amp; VLOOKUP($C204,Customers!$A$2:$Z$1010,11,FALSE)</f>
        <v>Montreal, QC</v>
      </c>
      <c r="H204" s="222" t="str">
        <f>VLOOKUP($C204,Customers!$A$2:$Z$1010,13,FALSE)</f>
        <v>Canada</v>
      </c>
      <c r="I204" s="222" t="str">
        <f>VLOOKUP($C204,Customers!$A$2:$Z$1010,18,FALSE)</f>
        <v>CG</v>
      </c>
      <c r="J204" s="1142"/>
      <c r="K204" s="341">
        <v>471</v>
      </c>
      <c r="L204" s="341">
        <v>1</v>
      </c>
      <c r="M204" s="341">
        <v>15</v>
      </c>
      <c r="N204" s="341">
        <f>1</f>
        <v>1</v>
      </c>
      <c r="O204" s="341" t="s">
        <v>353</v>
      </c>
      <c r="P204" s="341">
        <v>4</v>
      </c>
      <c r="Q204" s="244" t="s">
        <v>16</v>
      </c>
      <c r="R204" s="341">
        <v>0</v>
      </c>
      <c r="S204" s="224" t="s">
        <v>16</v>
      </c>
      <c r="T204" s="226" t="s">
        <v>3383</v>
      </c>
      <c r="U204" s="226" t="s">
        <v>3384</v>
      </c>
      <c r="V204" s="227">
        <v>150</v>
      </c>
      <c r="W204" s="227">
        <f>60*4</f>
        <v>240</v>
      </c>
      <c r="X204" s="228" t="s">
        <v>16</v>
      </c>
      <c r="Y204" s="228" t="s">
        <v>16</v>
      </c>
      <c r="Z204" s="229">
        <f>150+60*4</f>
        <v>390</v>
      </c>
      <c r="AA204" s="240">
        <v>25</v>
      </c>
      <c r="AB204" s="1140"/>
      <c r="AC204" s="230" t="s">
        <v>304</v>
      </c>
      <c r="AD204" s="1138"/>
      <c r="AE204" s="231">
        <v>45440</v>
      </c>
      <c r="AF204" s="219" t="s">
        <v>3385</v>
      </c>
      <c r="AG204" s="232">
        <v>8.19</v>
      </c>
      <c r="AH204" s="232">
        <v>7.93</v>
      </c>
      <c r="AI204" s="1142"/>
      <c r="AJ204" s="1154"/>
      <c r="AK204" s="737">
        <v>45485</v>
      </c>
      <c r="AL204" s="1145"/>
    </row>
    <row r="205" spans="1:38" s="236" customFormat="1" ht="39.6" customHeight="1" x14ac:dyDescent="0.3">
      <c r="A205" s="257">
        <v>45406</v>
      </c>
      <c r="B205" s="224" t="s">
        <v>1308</v>
      </c>
      <c r="C205" s="521" t="s">
        <v>1029</v>
      </c>
      <c r="D205" s="222" t="str">
        <f>VLOOKUP($C205,Customers!$A$2:$Z$1010,2,FALSE)</f>
        <v>Jillian Thompson-Anderson</v>
      </c>
      <c r="E205" s="583" t="s">
        <v>16</v>
      </c>
      <c r="F205" s="222" t="str">
        <f xml:space="preserve"> VLOOKUP($C205,Customers!$A$2:$Z$1010,5,FALSE)</f>
        <v>City of Hamilton Environmental Lab</v>
      </c>
      <c r="G205" s="222" t="str">
        <f>VLOOKUP($C205,Customers!$A$2:$Z$1010,10,FALSE) &amp; ", " &amp; VLOOKUP($C205,Customers!$A$2:$Z$1010,11,FALSE)</f>
        <v>Hamilton, ON</v>
      </c>
      <c r="H205" s="222" t="str">
        <f>VLOOKUP($C205,Customers!$A$2:$Z$1010,13,FALSE)</f>
        <v>Canada</v>
      </c>
      <c r="I205" s="222" t="str">
        <f>VLOOKUP($C205,Customers!$A$2:$Z$1010,18,FALSE)</f>
        <v>CG</v>
      </c>
      <c r="J205" s="253" t="s">
        <v>306</v>
      </c>
      <c r="K205" s="224" t="s">
        <v>399</v>
      </c>
      <c r="L205" s="751">
        <v>2</v>
      </c>
      <c r="M205" s="751" t="s">
        <v>1973</v>
      </c>
      <c r="N205" s="751">
        <f>1+1</f>
        <v>2</v>
      </c>
      <c r="O205" s="225" t="s">
        <v>16</v>
      </c>
      <c r="P205" s="751">
        <v>0</v>
      </c>
      <c r="Q205" s="225" t="s">
        <v>16</v>
      </c>
      <c r="R205" s="224">
        <v>0</v>
      </c>
      <c r="S205" s="224" t="s">
        <v>16</v>
      </c>
      <c r="T205" s="301" t="s">
        <v>400</v>
      </c>
      <c r="U205" s="301" t="s">
        <v>1309</v>
      </c>
      <c r="V205" s="227">
        <f>150*2</f>
        <v>300</v>
      </c>
      <c r="W205" s="228" t="s">
        <v>16</v>
      </c>
      <c r="X205" s="228" t="s">
        <v>16</v>
      </c>
      <c r="Y205" s="228" t="s">
        <v>16</v>
      </c>
      <c r="Z205" s="302">
        <f>150*2</f>
        <v>300</v>
      </c>
      <c r="AA205" s="240">
        <v>25</v>
      </c>
      <c r="AB205" s="240">
        <f t="shared" ref="AB205:AB208" si="47">SUM(Z205:AA205)</f>
        <v>325</v>
      </c>
      <c r="AC205" s="230" t="s">
        <v>304</v>
      </c>
      <c r="AD205" s="242" t="s">
        <v>16</v>
      </c>
      <c r="AE205" s="231">
        <v>45426</v>
      </c>
      <c r="AF205" s="219" t="s">
        <v>3386</v>
      </c>
      <c r="AG205" s="232">
        <v>5.42</v>
      </c>
      <c r="AH205" s="232">
        <v>4.96</v>
      </c>
      <c r="AI205" s="219" t="s">
        <v>304</v>
      </c>
      <c r="AJ205" s="223">
        <v>107755</v>
      </c>
      <c r="AK205" s="702">
        <v>45443</v>
      </c>
      <c r="AL205" s="252" t="s">
        <v>3387</v>
      </c>
    </row>
    <row r="206" spans="1:38" s="236" customFormat="1" ht="39.6" customHeight="1" x14ac:dyDescent="0.3">
      <c r="A206" s="257">
        <v>45407</v>
      </c>
      <c r="B206" s="224" t="s">
        <v>1310</v>
      </c>
      <c r="C206" s="283" t="s">
        <v>2306</v>
      </c>
      <c r="D206" s="222" t="str">
        <f>VLOOKUP($C206,Customers!$A$2:$Z$1010,2,FALSE)</f>
        <v>Megan Bauer</v>
      </c>
      <c r="E206" s="342" t="s">
        <v>16</v>
      </c>
      <c r="F206" s="222" t="str">
        <f xml:space="preserve"> VLOOKUP($C206,Customers!$A$2:$Z$1010,5,FALSE)</f>
        <v>Environment and Climate Change Canada (ECCC) - Atlantic Laboratory for Environmental Testing (ALET)</v>
      </c>
      <c r="G206" s="222" t="str">
        <f>VLOOKUP($C206,Customers!$A$2:$Z$1010,10,FALSE) &amp; ", " &amp; VLOOKUP($C206,Customers!$A$2:$Z$1010,11,FALSE)</f>
        <v>Moncton, NB</v>
      </c>
      <c r="H206" s="222" t="str">
        <f>VLOOKUP($C206,Customers!$A$2:$Z$1010,13,FALSE)</f>
        <v>Canada</v>
      </c>
      <c r="I206" s="222" t="str">
        <f>VLOOKUP($C206,Customers!$A$2:$Z$1010,18,FALSE)</f>
        <v>CG</v>
      </c>
      <c r="J206" s="223" t="s">
        <v>306</v>
      </c>
      <c r="K206" s="341">
        <v>715</v>
      </c>
      <c r="L206" s="334">
        <v>1</v>
      </c>
      <c r="M206" s="334">
        <v>15</v>
      </c>
      <c r="N206" s="334">
        <f>1</f>
        <v>1</v>
      </c>
      <c r="O206" s="244" t="s">
        <v>16</v>
      </c>
      <c r="P206" s="341">
        <v>0</v>
      </c>
      <c r="Q206" s="244" t="s">
        <v>16</v>
      </c>
      <c r="R206" s="341">
        <v>0</v>
      </c>
      <c r="S206" s="224" t="s">
        <v>16</v>
      </c>
      <c r="T206" s="226" t="s">
        <v>1311</v>
      </c>
      <c r="U206" s="226" t="s">
        <v>3388</v>
      </c>
      <c r="V206" s="227">
        <v>150</v>
      </c>
      <c r="W206" s="228" t="s">
        <v>16</v>
      </c>
      <c r="X206" s="228" t="s">
        <v>16</v>
      </c>
      <c r="Y206" s="228" t="s">
        <v>16</v>
      </c>
      <c r="Z206" s="229">
        <f>150</f>
        <v>150</v>
      </c>
      <c r="AA206" s="230">
        <v>30</v>
      </c>
      <c r="AB206" s="240">
        <f t="shared" si="47"/>
        <v>180</v>
      </c>
      <c r="AC206" s="230" t="s">
        <v>304</v>
      </c>
      <c r="AD206" s="242" t="s">
        <v>16</v>
      </c>
      <c r="AE206" s="231">
        <v>45411</v>
      </c>
      <c r="AF206" s="219" t="s">
        <v>1312</v>
      </c>
      <c r="AG206" s="232">
        <v>25.17</v>
      </c>
      <c r="AH206" s="232">
        <v>22.75</v>
      </c>
      <c r="AI206" s="230" t="s">
        <v>304</v>
      </c>
      <c r="AJ206" s="218">
        <v>103165</v>
      </c>
      <c r="AK206" s="702">
        <v>45461</v>
      </c>
      <c r="AL206" s="235" t="s">
        <v>3389</v>
      </c>
    </row>
    <row r="207" spans="1:38" s="281" customFormat="1" ht="79.8" thickBot="1" x14ac:dyDescent="0.35">
      <c r="A207" s="320">
        <v>45407</v>
      </c>
      <c r="B207" s="264" t="s">
        <v>1313</v>
      </c>
      <c r="C207" s="752" t="s">
        <v>1025</v>
      </c>
      <c r="D207" s="264" t="str">
        <f>VLOOKUP($C207,Customers!$A$2:$Z$1010,2,FALSE)</f>
        <v>Chelsea Blake</v>
      </c>
      <c r="E207" s="586" t="s">
        <v>16</v>
      </c>
      <c r="F207" s="264" t="str">
        <f xml:space="preserve"> VLOOKUP($C207,Customers!$A$2:$Z$1010,5,FALSE)</f>
        <v>Bureau Veritas Laboratories - Quebec</v>
      </c>
      <c r="G207" s="264" t="str">
        <f>VLOOKUP($C207,Customers!$A$2:$Z$1010,10,FALSE) &amp; ", " &amp; VLOOKUP($C207,Customers!$A$2:$Z$1010,11,FALSE)</f>
        <v>Quebec, QC</v>
      </c>
      <c r="H207" s="264" t="str">
        <f>VLOOKUP($C207,Customers!$A$2:$Z$1010,13,FALSE)</f>
        <v>Canada</v>
      </c>
      <c r="I207" s="264" t="str">
        <f>VLOOKUP($C207,Customers!$A$2:$Z$1010,18,FALSE)</f>
        <v>CC</v>
      </c>
      <c r="J207" s="265" t="s">
        <v>306</v>
      </c>
      <c r="K207" s="264">
        <v>37</v>
      </c>
      <c r="L207" s="264">
        <v>1</v>
      </c>
      <c r="M207" s="264">
        <v>15</v>
      </c>
      <c r="N207" s="264">
        <f>1</f>
        <v>1</v>
      </c>
      <c r="O207" s="275" t="s">
        <v>16</v>
      </c>
      <c r="P207" s="264">
        <v>0</v>
      </c>
      <c r="Q207" s="275" t="s">
        <v>16</v>
      </c>
      <c r="R207" s="264">
        <v>0</v>
      </c>
      <c r="S207" s="261" t="s">
        <v>16</v>
      </c>
      <c r="T207" s="756" t="s">
        <v>360</v>
      </c>
      <c r="U207" s="269" t="s">
        <v>417</v>
      </c>
      <c r="V207" s="271">
        <v>200</v>
      </c>
      <c r="W207" s="270" t="s">
        <v>16</v>
      </c>
      <c r="X207" s="270" t="s">
        <v>16</v>
      </c>
      <c r="Y207" s="270" t="s">
        <v>16</v>
      </c>
      <c r="Z207" s="274">
        <f>200</f>
        <v>200</v>
      </c>
      <c r="AA207" s="273">
        <v>25</v>
      </c>
      <c r="AB207" s="274">
        <f t="shared" si="47"/>
        <v>225</v>
      </c>
      <c r="AC207" s="274" t="s">
        <v>304</v>
      </c>
      <c r="AD207" s="264" t="s">
        <v>1314</v>
      </c>
      <c r="AE207" s="276">
        <v>45411</v>
      </c>
      <c r="AF207" s="263" t="s">
        <v>1315</v>
      </c>
      <c r="AG207" s="277">
        <v>5.71</v>
      </c>
      <c r="AH207" s="277">
        <v>5.53</v>
      </c>
      <c r="AI207" s="274" t="s">
        <v>304</v>
      </c>
      <c r="AJ207" s="279">
        <v>103380</v>
      </c>
      <c r="AK207" s="757">
        <v>45461</v>
      </c>
      <c r="AL207" s="299" t="s">
        <v>3390</v>
      </c>
    </row>
    <row r="208" spans="1:38" s="747" customFormat="1" ht="39.6" customHeight="1" x14ac:dyDescent="0.3">
      <c r="A208" s="257">
        <v>45413</v>
      </c>
      <c r="B208" s="224" t="s">
        <v>1316</v>
      </c>
      <c r="C208" s="283" t="s">
        <v>2513</v>
      </c>
      <c r="D208" s="222" t="str">
        <f>VLOOKUP($C208,Customers!$A$2:$Z$1010,2,FALSE)</f>
        <v>Mireille Ratté</v>
      </c>
      <c r="E208" s="342" t="s">
        <v>16</v>
      </c>
      <c r="F208" s="222" t="str">
        <f xml:space="preserve"> VLOOKUP($C208,Customers!$A$2:$Z$1010,5,FALSE)</f>
        <v>Centre d'Expertise en Analyse Environnementale du Quebec (CEAEQ)</v>
      </c>
      <c r="G208" s="222" t="str">
        <f>VLOOKUP($C208,Customers!$A$2:$Z$1010,10,FALSE) &amp; ", " &amp; VLOOKUP($C208,Customers!$A$2:$Z$1010,11,FALSE)</f>
        <v>Quebec, QC</v>
      </c>
      <c r="H208" s="222" t="str">
        <f>VLOOKUP($C208,Customers!$A$2:$Z$1010,13,FALSE)</f>
        <v>Canada</v>
      </c>
      <c r="I208" s="222" t="str">
        <f>VLOOKUP($C208,Customers!$A$2:$Z$1010,18,FALSE)</f>
        <v>CG</v>
      </c>
      <c r="J208" s="223" t="s">
        <v>304</v>
      </c>
      <c r="K208" s="242" t="s">
        <v>16</v>
      </c>
      <c r="L208" s="334">
        <v>0</v>
      </c>
      <c r="M208" s="334">
        <v>0</v>
      </c>
      <c r="N208" s="334">
        <v>0</v>
      </c>
      <c r="O208" s="224" t="s">
        <v>371</v>
      </c>
      <c r="P208" s="334">
        <v>1</v>
      </c>
      <c r="Q208" s="225" t="s">
        <v>16</v>
      </c>
      <c r="R208" s="334">
        <v>0</v>
      </c>
      <c r="S208" s="224" t="s">
        <v>16</v>
      </c>
      <c r="T208" s="226" t="s">
        <v>1247</v>
      </c>
      <c r="U208" s="226" t="s">
        <v>386</v>
      </c>
      <c r="V208" s="228" t="s">
        <v>16</v>
      </c>
      <c r="W208" s="227">
        <v>65</v>
      </c>
      <c r="X208" s="228" t="s">
        <v>16</v>
      </c>
      <c r="Y208" s="228" t="s">
        <v>16</v>
      </c>
      <c r="Z208" s="240">
        <f>65</f>
        <v>65</v>
      </c>
      <c r="AA208" s="229">
        <v>25</v>
      </c>
      <c r="AB208" s="240">
        <f t="shared" si="47"/>
        <v>90</v>
      </c>
      <c r="AC208" s="230" t="s">
        <v>304</v>
      </c>
      <c r="AD208" s="242" t="s">
        <v>1317</v>
      </c>
      <c r="AE208" s="238">
        <v>45418</v>
      </c>
      <c r="AF208" s="219" t="s">
        <v>3391</v>
      </c>
      <c r="AG208" s="232">
        <v>5.71</v>
      </c>
      <c r="AH208" s="230">
        <v>5.53</v>
      </c>
      <c r="AI208" s="330" t="s">
        <v>304</v>
      </c>
      <c r="AJ208" s="223">
        <v>100033</v>
      </c>
      <c r="AK208" s="238">
        <v>45443</v>
      </c>
      <c r="AL208" s="255" t="s">
        <v>1318</v>
      </c>
    </row>
    <row r="209" spans="1:38" s="236" customFormat="1" ht="66" x14ac:dyDescent="0.3">
      <c r="A209" s="257">
        <v>45413</v>
      </c>
      <c r="B209" s="224" t="s">
        <v>1319</v>
      </c>
      <c r="C209" s="283" t="s">
        <v>2268</v>
      </c>
      <c r="D209" s="222" t="str">
        <f>VLOOKUP($C209,Customers!$A$2:$Z$1010,2,FALSE)</f>
        <v>Roger C. Levesque</v>
      </c>
      <c r="E209" s="219" t="s">
        <v>2167</v>
      </c>
      <c r="F209" s="222" t="str">
        <f xml:space="preserve"> VLOOKUP($C209,Customers!$A$2:$Z$1010,5,FALSE)</f>
        <v>Universite Laval - Institut de biologie integrative et des systemes (IBIS)</v>
      </c>
      <c r="G209" s="222" t="str">
        <f>VLOOKUP($C209,Customers!$A$2:$Z$1010,10,FALSE) &amp; ", " &amp; VLOOKUP($C209,Customers!$A$2:$Z$1010,11,FALSE)</f>
        <v>Quebec, QC</v>
      </c>
      <c r="H209" s="222" t="str">
        <f>VLOOKUP($C209,Customers!$A$2:$Z$1010,13,FALSE)</f>
        <v>Canada</v>
      </c>
      <c r="I209" s="222" t="str">
        <f>VLOOKUP($C209,Customers!$A$2:$Z$1010,18,FALSE)</f>
        <v>CA</v>
      </c>
      <c r="J209" s="223" t="s">
        <v>306</v>
      </c>
      <c r="K209" s="242" t="s">
        <v>16</v>
      </c>
      <c r="L209" s="222">
        <v>0</v>
      </c>
      <c r="M209" s="222">
        <v>0</v>
      </c>
      <c r="N209" s="222">
        <v>0</v>
      </c>
      <c r="O209" s="225" t="s">
        <v>16</v>
      </c>
      <c r="P209" s="222">
        <v>0</v>
      </c>
      <c r="Q209" s="222" t="s">
        <v>2855</v>
      </c>
      <c r="R209" s="222">
        <v>180</v>
      </c>
      <c r="S209" s="224" t="s">
        <v>16</v>
      </c>
      <c r="T209" s="226" t="s">
        <v>1320</v>
      </c>
      <c r="U209" s="226" t="s">
        <v>3392</v>
      </c>
      <c r="V209" s="228" t="s">
        <v>16</v>
      </c>
      <c r="W209" s="228" t="s">
        <v>16</v>
      </c>
      <c r="X209" s="227">
        <v>260</v>
      </c>
      <c r="Y209" s="228" t="s">
        <v>16</v>
      </c>
      <c r="Z209" s="230">
        <f>60*4+20</f>
        <v>260</v>
      </c>
      <c r="AA209" s="230">
        <v>25</v>
      </c>
      <c r="AB209" s="230">
        <f>SUM(Z209:AA209)</f>
        <v>285</v>
      </c>
      <c r="AC209" s="230" t="s">
        <v>304</v>
      </c>
      <c r="AD209" s="242" t="s">
        <v>3393</v>
      </c>
      <c r="AE209" s="238">
        <v>45425</v>
      </c>
      <c r="AF209" s="219" t="s">
        <v>3394</v>
      </c>
      <c r="AG209" s="232">
        <v>5.71</v>
      </c>
      <c r="AH209" s="230">
        <v>5.53</v>
      </c>
      <c r="AI209" s="330" t="s">
        <v>304</v>
      </c>
      <c r="AJ209" s="223">
        <v>108411</v>
      </c>
      <c r="AK209" s="238">
        <v>45461</v>
      </c>
      <c r="AL209" s="252" t="s">
        <v>3395</v>
      </c>
    </row>
    <row r="210" spans="1:38" s="236" customFormat="1" ht="103.5" customHeight="1" x14ac:dyDescent="0.3">
      <c r="A210" s="257">
        <v>45413</v>
      </c>
      <c r="B210" s="224" t="s">
        <v>3396</v>
      </c>
      <c r="C210" s="521" t="s">
        <v>1040</v>
      </c>
      <c r="D210" s="222" t="str">
        <f>VLOOKUP($C210,Customers!$A$2:$Z$1010,2,FALSE)</f>
        <v>Huy Dang</v>
      </c>
      <c r="E210" s="293" t="s">
        <v>16</v>
      </c>
      <c r="F210" s="222" t="str">
        <f xml:space="preserve"> VLOOKUP($C210,Customers!$A$2:$Z$1010,5,FALSE)</f>
        <v>Trent University</v>
      </c>
      <c r="G210" s="222" t="str">
        <f>VLOOKUP($C210,Customers!$A$2:$Z$1010,10,FALSE) &amp; ", " &amp; VLOOKUP($C210,Customers!$A$2:$Z$1010,11,FALSE)</f>
        <v>Peterborough, ON</v>
      </c>
      <c r="H210" s="222" t="str">
        <f>VLOOKUP($C210,Customers!$A$2:$Z$1010,13,FALSE)</f>
        <v>Canada</v>
      </c>
      <c r="I210" s="222" t="str">
        <f>VLOOKUP($C210,Customers!$A$2:$Z$1010,18,FALSE)</f>
        <v>CA</v>
      </c>
      <c r="J210" s="1151" t="s">
        <v>306</v>
      </c>
      <c r="K210" s="224">
        <v>11</v>
      </c>
      <c r="L210" s="751">
        <v>1</v>
      </c>
      <c r="M210" s="751">
        <v>30</v>
      </c>
      <c r="N210" s="751">
        <f>2</f>
        <v>2</v>
      </c>
      <c r="O210" s="225" t="s">
        <v>16</v>
      </c>
      <c r="P210" s="751">
        <v>0</v>
      </c>
      <c r="Q210" s="225" t="s">
        <v>16</v>
      </c>
      <c r="R210" s="224">
        <v>0</v>
      </c>
      <c r="S210" s="224" t="s">
        <v>16</v>
      </c>
      <c r="T210" s="301" t="s">
        <v>1321</v>
      </c>
      <c r="U210" s="673" t="s">
        <v>3986</v>
      </c>
      <c r="V210" s="227">
        <v>195</v>
      </c>
      <c r="W210" s="228" t="s">
        <v>16</v>
      </c>
      <c r="X210" s="228" t="s">
        <v>16</v>
      </c>
      <c r="Y210" s="228" t="s">
        <v>16</v>
      </c>
      <c r="Z210" s="229">
        <f>195</f>
        <v>195</v>
      </c>
      <c r="AA210" s="230">
        <v>25</v>
      </c>
      <c r="AB210" s="1140">
        <f>SUM(Z210:AA211)</f>
        <v>440</v>
      </c>
      <c r="AC210" s="230" t="s">
        <v>304</v>
      </c>
      <c r="AD210" s="242" t="s">
        <v>16</v>
      </c>
      <c r="AE210" s="231">
        <v>45439</v>
      </c>
      <c r="AF210" s="219" t="s">
        <v>3397</v>
      </c>
      <c r="AG210" s="232">
        <v>6.15</v>
      </c>
      <c r="AH210" s="230">
        <v>5.63</v>
      </c>
      <c r="AI210" s="1146" t="s">
        <v>304</v>
      </c>
      <c r="AJ210" s="1144">
        <v>103748</v>
      </c>
      <c r="AK210" s="740">
        <v>45569</v>
      </c>
      <c r="AL210" s="1145" t="s">
        <v>3398</v>
      </c>
    </row>
    <row r="211" spans="1:38" s="236" customFormat="1" ht="39.6" customHeight="1" x14ac:dyDescent="0.3">
      <c r="A211" s="257">
        <v>45413</v>
      </c>
      <c r="B211" s="224" t="s">
        <v>3399</v>
      </c>
      <c r="C211" s="521" t="s">
        <v>1040</v>
      </c>
      <c r="D211" s="222" t="str">
        <f>VLOOKUP($C211,Customers!$A$2:$Z$1010,2,FALSE)</f>
        <v>Huy Dang</v>
      </c>
      <c r="E211" s="293" t="s">
        <v>16</v>
      </c>
      <c r="F211" s="222" t="str">
        <f xml:space="preserve"> VLOOKUP($C211,Customers!$A$2:$Z$1010,5,FALSE)</f>
        <v>Trent University</v>
      </c>
      <c r="G211" s="222" t="str">
        <f>VLOOKUP($C211,Customers!$A$2:$Z$1010,10,FALSE) &amp; ", " &amp; VLOOKUP($C211,Customers!$A$2:$Z$1010,11,FALSE)</f>
        <v>Peterborough, ON</v>
      </c>
      <c r="H211" s="222" t="str">
        <f>VLOOKUP($C211,Customers!$A$2:$Z$1010,13,FALSE)</f>
        <v>Canada</v>
      </c>
      <c r="I211" s="222" t="str">
        <f>VLOOKUP($C211,Customers!$A$2:$Z$1010,18,FALSE)</f>
        <v>CA</v>
      </c>
      <c r="J211" s="1151"/>
      <c r="K211" s="224">
        <v>532</v>
      </c>
      <c r="L211" s="751">
        <v>1</v>
      </c>
      <c r="M211" s="751">
        <v>30</v>
      </c>
      <c r="N211" s="751">
        <f>2</f>
        <v>2</v>
      </c>
      <c r="O211" s="225" t="s">
        <v>16</v>
      </c>
      <c r="P211" s="751">
        <v>0</v>
      </c>
      <c r="Q211" s="225" t="s">
        <v>16</v>
      </c>
      <c r="R211" s="224">
        <v>0</v>
      </c>
      <c r="S211" s="224" t="s">
        <v>16</v>
      </c>
      <c r="T211" s="301" t="s">
        <v>3400</v>
      </c>
      <c r="U211" s="301" t="s">
        <v>1322</v>
      </c>
      <c r="V211" s="227">
        <v>195</v>
      </c>
      <c r="W211" s="228" t="s">
        <v>16</v>
      </c>
      <c r="X211" s="228" t="s">
        <v>16</v>
      </c>
      <c r="Y211" s="228" t="s">
        <v>16</v>
      </c>
      <c r="Z211" s="229">
        <f>195</f>
        <v>195</v>
      </c>
      <c r="AA211" s="230">
        <v>25</v>
      </c>
      <c r="AB211" s="1140"/>
      <c r="AC211" s="230" t="s">
        <v>304</v>
      </c>
      <c r="AD211" s="242" t="s">
        <v>16</v>
      </c>
      <c r="AE211" s="238">
        <v>45475</v>
      </c>
      <c r="AF211" s="219" t="s">
        <v>3401</v>
      </c>
      <c r="AG211" s="232">
        <v>6.81</v>
      </c>
      <c r="AH211" s="230">
        <v>6.23</v>
      </c>
      <c r="AI211" s="1146"/>
      <c r="AJ211" s="1144"/>
      <c r="AK211" s="740">
        <v>45569</v>
      </c>
      <c r="AL211" s="1145"/>
    </row>
    <row r="212" spans="1:38" s="236" customFormat="1" ht="39.6" customHeight="1" x14ac:dyDescent="0.3">
      <c r="A212" s="250">
        <v>45414</v>
      </c>
      <c r="B212" s="224" t="s">
        <v>1323</v>
      </c>
      <c r="C212" s="283" t="s">
        <v>2269</v>
      </c>
      <c r="D212" s="222" t="str">
        <f>VLOOKUP($C212,Customers!$A$2:$Z$1010,2,FALSE)</f>
        <v>Shane MacLeod</v>
      </c>
      <c r="E212" s="219" t="s">
        <v>2455</v>
      </c>
      <c r="F212" s="222" t="str">
        <f xml:space="preserve"> VLOOKUP($C212,Customers!$A$2:$Z$1010,5,FALSE)</f>
        <v>Dartmouth High School</v>
      </c>
      <c r="G212" s="222" t="str">
        <f>VLOOKUP($C212,Customers!$A$2:$Z$1010,10,FALSE) &amp; ", " &amp; VLOOKUP($C212,Customers!$A$2:$Z$1010,11,FALSE)</f>
        <v>Dartmouth, NS</v>
      </c>
      <c r="H212" s="222" t="str">
        <f>VLOOKUP($C212,Customers!$A$2:$Z$1010,13,FALSE)</f>
        <v>Canada</v>
      </c>
      <c r="I212" s="222" t="str">
        <f>VLOOKUP($C212,Customers!$A$2:$Z$1010,18,FALSE)</f>
        <v>CA</v>
      </c>
      <c r="J212" s="259" t="s">
        <v>304</v>
      </c>
      <c r="K212" s="222">
        <v>95</v>
      </c>
      <c r="L212" s="334">
        <v>1</v>
      </c>
      <c r="M212" s="334">
        <v>15</v>
      </c>
      <c r="N212" s="334">
        <f>1</f>
        <v>1</v>
      </c>
      <c r="O212" s="244" t="s">
        <v>16</v>
      </c>
      <c r="P212" s="334">
        <v>0</v>
      </c>
      <c r="Q212" s="244" t="s">
        <v>16</v>
      </c>
      <c r="R212" s="222">
        <v>0</v>
      </c>
      <c r="S212" s="224" t="s">
        <v>16</v>
      </c>
      <c r="T212" s="226" t="s">
        <v>1324</v>
      </c>
      <c r="U212" s="226" t="s">
        <v>402</v>
      </c>
      <c r="V212" s="227">
        <v>150</v>
      </c>
      <c r="W212" s="228" t="s">
        <v>16</v>
      </c>
      <c r="X212" s="228" t="s">
        <v>16</v>
      </c>
      <c r="Y212" s="228" t="s">
        <v>16</v>
      </c>
      <c r="Z212" s="240">
        <f>150</f>
        <v>150</v>
      </c>
      <c r="AA212" s="230">
        <v>25</v>
      </c>
      <c r="AB212" s="230">
        <f>SUM(Z212:AA212)</f>
        <v>175</v>
      </c>
      <c r="AC212" s="230" t="s">
        <v>304</v>
      </c>
      <c r="AD212" s="242" t="s">
        <v>16</v>
      </c>
      <c r="AE212" s="238">
        <v>45433</v>
      </c>
      <c r="AF212" s="219" t="s">
        <v>3402</v>
      </c>
      <c r="AG212" s="232">
        <v>20.98</v>
      </c>
      <c r="AH212" s="230">
        <v>18.96</v>
      </c>
      <c r="AI212" s="330" t="s">
        <v>304</v>
      </c>
      <c r="AJ212" s="701">
        <v>101854</v>
      </c>
      <c r="AK212" s="234">
        <v>45468</v>
      </c>
      <c r="AL212" s="252" t="s">
        <v>1325</v>
      </c>
    </row>
    <row r="213" spans="1:38" s="218" customFormat="1" ht="79.2" x14ac:dyDescent="0.3">
      <c r="A213" s="257">
        <v>45418</v>
      </c>
      <c r="B213" s="224" t="s">
        <v>3403</v>
      </c>
      <c r="C213" s="218" t="s">
        <v>2523</v>
      </c>
      <c r="D213" s="222" t="str">
        <f>VLOOKUP($C213,Customers!$A$2:$Z$1010,2,FALSE)</f>
        <v>Mohamad T. Araji</v>
      </c>
      <c r="E213" s="219" t="s">
        <v>1491</v>
      </c>
      <c r="F213" s="222" t="str">
        <f xml:space="preserve"> VLOOKUP($C213,Customers!$A$2:$Z$1010,5,FALSE)</f>
        <v>University of Waterloo</v>
      </c>
      <c r="G213" s="222" t="str">
        <f>VLOOKUP($C213,Customers!$A$2:$Z$1010,10,FALSE) &amp; ", " &amp; VLOOKUP($C213,Customers!$A$2:$Z$1010,11,FALSE)</f>
        <v>Waterloo, ON</v>
      </c>
      <c r="H213" s="222" t="str">
        <f>VLOOKUP($C213,Customers!$A$2:$Z$1010,13,FALSE)</f>
        <v>Canada</v>
      </c>
      <c r="I213" s="222" t="str">
        <f>VLOOKUP($C213,Customers!$A$2:$Z$1010,18,FALSE)</f>
        <v>CA</v>
      </c>
      <c r="J213" s="259" t="s">
        <v>306</v>
      </c>
      <c r="K213" s="341">
        <v>0</v>
      </c>
      <c r="L213" s="251">
        <v>0</v>
      </c>
      <c r="M213" s="334">
        <v>0</v>
      </c>
      <c r="N213" s="251">
        <v>0</v>
      </c>
      <c r="O213" s="225" t="s">
        <v>16</v>
      </c>
      <c r="P213" s="334">
        <v>0</v>
      </c>
      <c r="Q213" s="225" t="s">
        <v>16</v>
      </c>
      <c r="R213" s="222">
        <v>0</v>
      </c>
      <c r="S213" s="224" t="s">
        <v>2304</v>
      </c>
      <c r="T213" s="226" t="s">
        <v>3404</v>
      </c>
      <c r="U213" s="226" t="s">
        <v>3405</v>
      </c>
      <c r="V213" s="228" t="s">
        <v>16</v>
      </c>
      <c r="W213" s="228" t="s">
        <v>16</v>
      </c>
      <c r="X213" s="228" t="s">
        <v>16</v>
      </c>
      <c r="Y213" s="227">
        <v>175</v>
      </c>
      <c r="Z213" s="229">
        <f>50*(2-0.25+0.75+0.25+0.25+0.25+0.25)</f>
        <v>175</v>
      </c>
      <c r="AA213" s="230" t="s">
        <v>308</v>
      </c>
      <c r="AB213" s="230">
        <f>SUM(Z213:AA213)</f>
        <v>175</v>
      </c>
      <c r="AC213" s="230" t="s">
        <v>308</v>
      </c>
      <c r="AD213" s="242" t="s">
        <v>16</v>
      </c>
      <c r="AE213" s="230" t="s">
        <v>308</v>
      </c>
      <c r="AF213" s="230" t="s">
        <v>308</v>
      </c>
      <c r="AG213" s="230" t="s">
        <v>308</v>
      </c>
      <c r="AH213" s="230" t="s">
        <v>308</v>
      </c>
      <c r="AI213" s="219" t="s">
        <v>304</v>
      </c>
      <c r="AJ213" s="223">
        <v>110959</v>
      </c>
      <c r="AK213" s="234">
        <v>45468</v>
      </c>
      <c r="AL213" s="323" t="s">
        <v>3406</v>
      </c>
    </row>
    <row r="214" spans="1:38" s="236" customFormat="1" ht="39.6" customHeight="1" x14ac:dyDescent="0.3">
      <c r="A214" s="250">
        <v>45420</v>
      </c>
      <c r="B214" s="224" t="s">
        <v>3407</v>
      </c>
      <c r="C214" s="218" t="s">
        <v>2563</v>
      </c>
      <c r="D214" s="222" t="str">
        <f>VLOOKUP($C214,Customers!$A$2:$Z$1010,2,FALSE)</f>
        <v>Vichaya Charoensuk</v>
      </c>
      <c r="E214" s="219" t="s">
        <v>2399</v>
      </c>
      <c r="F214" s="222" t="str">
        <f xml:space="preserve"> VLOOKUP($C214,Customers!$A$2:$Z$1010,5,FALSE)</f>
        <v>University of Calgary</v>
      </c>
      <c r="G214" s="222" t="str">
        <f>VLOOKUP($C214,Customers!$A$2:$Z$1010,10,FALSE) &amp; ", " &amp; VLOOKUP($C214,Customers!$A$2:$Z$1010,11,FALSE)</f>
        <v>Calgary, AB</v>
      </c>
      <c r="H214" s="222" t="str">
        <f>VLOOKUP($C214,Customers!$A$2:$Z$1010,13,FALSE)</f>
        <v>Canada</v>
      </c>
      <c r="I214" s="222" t="str">
        <f>VLOOKUP($C214,Customers!$A$2:$Z$1010,18,FALSE)</f>
        <v>CA</v>
      </c>
      <c r="J214" s="1125" t="s">
        <v>304</v>
      </c>
      <c r="K214" s="224">
        <v>300</v>
      </c>
      <c r="L214" s="334">
        <v>1</v>
      </c>
      <c r="M214" s="334">
        <v>1000</v>
      </c>
      <c r="N214" s="334">
        <f>1</f>
        <v>1</v>
      </c>
      <c r="O214" s="243" t="s">
        <v>16</v>
      </c>
      <c r="P214" s="656" t="s">
        <v>16</v>
      </c>
      <c r="Q214" s="225" t="s">
        <v>16</v>
      </c>
      <c r="R214" s="222">
        <v>0</v>
      </c>
      <c r="S214" s="224" t="s">
        <v>16</v>
      </c>
      <c r="T214" s="226" t="s">
        <v>3408</v>
      </c>
      <c r="U214" s="226" t="s">
        <v>3409</v>
      </c>
      <c r="V214" s="227">
        <v>415</v>
      </c>
      <c r="W214" s="228" t="s">
        <v>16</v>
      </c>
      <c r="X214" s="228" t="s">
        <v>16</v>
      </c>
      <c r="Y214" s="228" t="s">
        <v>16</v>
      </c>
      <c r="Z214" s="240">
        <v>415</v>
      </c>
      <c r="AA214" s="302">
        <v>30</v>
      </c>
      <c r="AB214" s="1140">
        <f>SUM(Z214:AA215)</f>
        <v>510</v>
      </c>
      <c r="AC214" s="230" t="s">
        <v>304</v>
      </c>
      <c r="AD214" s="1149" t="s">
        <v>3410</v>
      </c>
      <c r="AE214" s="238">
        <v>45475</v>
      </c>
      <c r="AF214" s="219" t="s">
        <v>3411</v>
      </c>
      <c r="AG214" s="232">
        <v>18.48</v>
      </c>
      <c r="AH214" s="230">
        <v>17.89</v>
      </c>
      <c r="AI214" s="1150" t="s">
        <v>304</v>
      </c>
      <c r="AJ214" s="1144">
        <v>103791</v>
      </c>
      <c r="AK214" s="737">
        <v>45517</v>
      </c>
      <c r="AL214" s="1145" t="s">
        <v>3987</v>
      </c>
    </row>
    <row r="215" spans="1:38" s="236" customFormat="1" ht="39.6" customHeight="1" x14ac:dyDescent="0.3">
      <c r="A215" s="250">
        <v>45420</v>
      </c>
      <c r="B215" s="222" t="s">
        <v>3412</v>
      </c>
      <c r="C215" s="218" t="s">
        <v>2563</v>
      </c>
      <c r="D215" s="222" t="str">
        <f>VLOOKUP($C215,Customers!$A$2:$Z$1010,2,FALSE)</f>
        <v>Vichaya Charoensuk</v>
      </c>
      <c r="E215" s="219" t="s">
        <v>2399</v>
      </c>
      <c r="F215" s="222" t="str">
        <f xml:space="preserve"> VLOOKUP($C215,Customers!$A$2:$Z$1010,5,FALSE)</f>
        <v>University of Calgary</v>
      </c>
      <c r="G215" s="222" t="str">
        <f>VLOOKUP($C215,Customers!$A$2:$Z$1010,10,FALSE) &amp; ", " &amp; VLOOKUP($C215,Customers!$A$2:$Z$1010,11,FALSE)</f>
        <v>Calgary, AB</v>
      </c>
      <c r="H215" s="222" t="str">
        <f>VLOOKUP($C215,Customers!$A$2:$Z$1010,13,FALSE)</f>
        <v>Canada</v>
      </c>
      <c r="I215" s="222" t="str">
        <f>VLOOKUP($C215,Customers!$A$2:$Z$1010,18,FALSE)</f>
        <v>CA</v>
      </c>
      <c r="J215" s="1125"/>
      <c r="K215" s="243" t="s">
        <v>16</v>
      </c>
      <c r="L215" s="334">
        <v>0</v>
      </c>
      <c r="M215" s="334">
        <v>0</v>
      </c>
      <c r="N215" s="334">
        <v>0</v>
      </c>
      <c r="O215" s="224" t="s">
        <v>353</v>
      </c>
      <c r="P215" s="334">
        <v>1</v>
      </c>
      <c r="Q215" s="225" t="s">
        <v>16</v>
      </c>
      <c r="R215" s="222">
        <v>0</v>
      </c>
      <c r="S215" s="243" t="s">
        <v>16</v>
      </c>
      <c r="T215" s="226" t="s">
        <v>3351</v>
      </c>
      <c r="U215" s="226" t="s">
        <v>386</v>
      </c>
      <c r="V215" s="228" t="s">
        <v>16</v>
      </c>
      <c r="W215" s="227">
        <v>65</v>
      </c>
      <c r="X215" s="228" t="s">
        <v>16</v>
      </c>
      <c r="Y215" s="228" t="s">
        <v>16</v>
      </c>
      <c r="Z215" s="240">
        <v>65</v>
      </c>
      <c r="AA215" s="302" t="s">
        <v>308</v>
      </c>
      <c r="AB215" s="1140"/>
      <c r="AC215" s="230" t="s">
        <v>304</v>
      </c>
      <c r="AD215" s="1149"/>
      <c r="AE215" s="238">
        <v>45476</v>
      </c>
      <c r="AF215" s="219" t="s">
        <v>3413</v>
      </c>
      <c r="AG215" s="232">
        <v>18.48</v>
      </c>
      <c r="AH215" s="230">
        <v>17.89</v>
      </c>
      <c r="AI215" s="1150"/>
      <c r="AJ215" s="1144"/>
      <c r="AK215" s="737">
        <v>45517</v>
      </c>
      <c r="AL215" s="1145"/>
    </row>
    <row r="216" spans="1:38" s="236" customFormat="1" ht="92.4" x14ac:dyDescent="0.3">
      <c r="A216" s="257">
        <v>45421</v>
      </c>
      <c r="B216" s="334" t="s">
        <v>3414</v>
      </c>
      <c r="C216" s="218" t="s">
        <v>1037</v>
      </c>
      <c r="D216" s="222" t="str">
        <f>VLOOKUP($C216,Customers!$A$2:$Z$1010,2,FALSE)</f>
        <v>Joshua (Josh) Arnie</v>
      </c>
      <c r="E216" s="342" t="s">
        <v>16</v>
      </c>
      <c r="F216" s="222" t="str">
        <f xml:space="preserve"> VLOOKUP($C216,Customers!$A$2:$Z$1010,5,FALSE)</f>
        <v>Eurofins EAG Agroscience Services</v>
      </c>
      <c r="G216" s="222" t="str">
        <f>VLOOKUP($C216,Customers!$A$2:$Z$1010,10,FALSE) &amp; ", " &amp; VLOOKUP($C216,Customers!$A$2:$Z$1010,11,FALSE)</f>
        <v>Easton, MD</v>
      </c>
      <c r="H216" s="222" t="str">
        <f>VLOOKUP($C216,Customers!$A$2:$Z$1010,13,FALSE)</f>
        <v>USA</v>
      </c>
      <c r="I216" s="222" t="str">
        <f>VLOOKUP($C216,Customers!$A$2:$Z$1010,18,FALSE)</f>
        <v>IC</v>
      </c>
      <c r="J216" s="259" t="s">
        <v>306</v>
      </c>
      <c r="K216" s="224">
        <v>552</v>
      </c>
      <c r="L216" s="334">
        <v>1</v>
      </c>
      <c r="M216" s="334">
        <v>30</v>
      </c>
      <c r="N216" s="334">
        <f>2</f>
        <v>2</v>
      </c>
      <c r="O216" s="225" t="s">
        <v>16</v>
      </c>
      <c r="P216" s="334">
        <v>0</v>
      </c>
      <c r="Q216" s="225" t="s">
        <v>16</v>
      </c>
      <c r="R216" s="222">
        <v>0</v>
      </c>
      <c r="S216" s="224" t="s">
        <v>16</v>
      </c>
      <c r="T216" s="226" t="s">
        <v>3415</v>
      </c>
      <c r="U216" s="226" t="s">
        <v>385</v>
      </c>
      <c r="V216" s="232">
        <v>260</v>
      </c>
      <c r="W216" s="228" t="s">
        <v>16</v>
      </c>
      <c r="X216" s="228" t="s">
        <v>16</v>
      </c>
      <c r="Y216" s="228" t="s">
        <v>16</v>
      </c>
      <c r="Z216" s="240">
        <f>260</f>
        <v>260</v>
      </c>
      <c r="AA216" s="240">
        <f>75+25</f>
        <v>100</v>
      </c>
      <c r="AB216" s="240">
        <f t="shared" ref="AB216" si="48">SUM(Z216:AA216)</f>
        <v>360</v>
      </c>
      <c r="AC216" s="230" t="s">
        <v>304</v>
      </c>
      <c r="AD216" s="656" t="s">
        <v>16</v>
      </c>
      <c r="AE216" s="231">
        <v>45426</v>
      </c>
      <c r="AF216" s="219" t="s">
        <v>3416</v>
      </c>
      <c r="AG216" s="232">
        <v>70.17</v>
      </c>
      <c r="AH216" s="232">
        <v>70.17</v>
      </c>
      <c r="AI216" s="248" t="s">
        <v>304</v>
      </c>
      <c r="AJ216" s="218">
        <v>108766</v>
      </c>
      <c r="AK216" s="231">
        <v>45461</v>
      </c>
      <c r="AL216" s="235" t="s">
        <v>3417</v>
      </c>
    </row>
    <row r="217" spans="1:38" s="236" customFormat="1" ht="26.4" x14ac:dyDescent="0.3">
      <c r="A217" s="257">
        <v>45422</v>
      </c>
      <c r="B217" s="250" t="s">
        <v>3418</v>
      </c>
      <c r="C217" s="218" t="s">
        <v>1432</v>
      </c>
      <c r="D217" s="222" t="str">
        <f>VLOOKUP($C217,Customers!$A$2:$Z$1010,2,FALSE)</f>
        <v>Ryan Prosser</v>
      </c>
      <c r="E217" s="219" t="s">
        <v>2238</v>
      </c>
      <c r="F217" s="222" t="str">
        <f xml:space="preserve"> VLOOKUP($C217,Customers!$A$2:$Z$1010,5,FALSE)</f>
        <v>University of Guelph</v>
      </c>
      <c r="G217" s="222" t="str">
        <f>VLOOKUP($C217,Customers!$A$2:$Z$1010,10,FALSE) &amp; ", " &amp; VLOOKUP($C217,Customers!$A$2:$Z$1010,11,FALSE)</f>
        <v>Guelph, ON</v>
      </c>
      <c r="H217" s="222" t="str">
        <f>VLOOKUP($C217,Customers!$A$2:$Z$1010,13,FALSE)</f>
        <v>Canada</v>
      </c>
      <c r="I217" s="222" t="str">
        <f>VLOOKUP($C217,Customers!$A$2:$Z$1010,18,FALSE)</f>
        <v>CA</v>
      </c>
      <c r="J217" s="1142" t="s">
        <v>306</v>
      </c>
      <c r="K217" s="243" t="s">
        <v>16</v>
      </c>
      <c r="L217" s="748">
        <v>0</v>
      </c>
      <c r="M217" s="748">
        <v>0</v>
      </c>
      <c r="N217" s="748">
        <v>0</v>
      </c>
      <c r="O217" s="224" t="s">
        <v>371</v>
      </c>
      <c r="P217" s="748">
        <v>4</v>
      </c>
      <c r="Q217" s="225" t="s">
        <v>16</v>
      </c>
      <c r="R217" s="224">
        <v>0</v>
      </c>
      <c r="S217" s="224" t="s">
        <v>16</v>
      </c>
      <c r="T217" s="226" t="s">
        <v>3419</v>
      </c>
      <c r="U217" s="316" t="s">
        <v>1292</v>
      </c>
      <c r="V217" s="228" t="s">
        <v>16</v>
      </c>
      <c r="W217" s="317">
        <f>60*4</f>
        <v>240</v>
      </c>
      <c r="X217" s="228" t="s">
        <v>16</v>
      </c>
      <c r="Y217" s="228" t="s">
        <v>16</v>
      </c>
      <c r="Z217" s="229">
        <f>60*4</f>
        <v>240</v>
      </c>
      <c r="AA217" s="240" t="s">
        <v>308</v>
      </c>
      <c r="AB217" s="1140">
        <f>SUM(Z217:AA218)</f>
        <v>300</v>
      </c>
      <c r="AC217" s="230" t="s">
        <v>304</v>
      </c>
      <c r="AD217" s="1138" t="s">
        <v>3420</v>
      </c>
      <c r="AE217" s="231">
        <v>45427</v>
      </c>
      <c r="AF217" s="238" t="s">
        <v>370</v>
      </c>
      <c r="AG217" s="241" t="s">
        <v>308</v>
      </c>
      <c r="AH217" s="241" t="s">
        <v>308</v>
      </c>
      <c r="AI217" s="1143" t="s">
        <v>304</v>
      </c>
      <c r="AJ217" s="1144">
        <v>103794</v>
      </c>
      <c r="AK217" s="737">
        <v>45492</v>
      </c>
      <c r="AL217" s="1141" t="s">
        <v>3421</v>
      </c>
    </row>
    <row r="218" spans="1:38" s="236" customFormat="1" ht="26.4" x14ac:dyDescent="0.3">
      <c r="A218" s="257">
        <v>45422</v>
      </c>
      <c r="B218" s="250" t="s">
        <v>3422</v>
      </c>
      <c r="C218" s="218" t="s">
        <v>1432</v>
      </c>
      <c r="D218" s="222" t="str">
        <f>VLOOKUP($C218,Customers!$A$2:$Z$1010,2,FALSE)</f>
        <v>Ryan Prosser</v>
      </c>
      <c r="E218" s="219" t="s">
        <v>2238</v>
      </c>
      <c r="F218" s="222" t="str">
        <f xml:space="preserve"> VLOOKUP($C218,Customers!$A$2:$Z$1010,5,FALSE)</f>
        <v>University of Guelph</v>
      </c>
      <c r="G218" s="222" t="str">
        <f>VLOOKUP($C218,Customers!$A$2:$Z$1010,10,FALSE) &amp; ", " &amp; VLOOKUP($C218,Customers!$A$2:$Z$1010,11,FALSE)</f>
        <v>Guelph, ON</v>
      </c>
      <c r="H218" s="222" t="str">
        <f>VLOOKUP($C218,Customers!$A$2:$Z$1010,13,FALSE)</f>
        <v>Canada</v>
      </c>
      <c r="I218" s="222" t="str">
        <f>VLOOKUP($C218,Customers!$A$2:$Z$1010,18,FALSE)</f>
        <v>CA</v>
      </c>
      <c r="J218" s="1142"/>
      <c r="K218" s="243" t="s">
        <v>16</v>
      </c>
      <c r="L218" s="748">
        <v>0</v>
      </c>
      <c r="M218" s="748">
        <v>0</v>
      </c>
      <c r="N218" s="748">
        <v>0</v>
      </c>
      <c r="O218" s="224" t="s">
        <v>371</v>
      </c>
      <c r="P218" s="748">
        <v>1</v>
      </c>
      <c r="Q218" s="225" t="s">
        <v>16</v>
      </c>
      <c r="R218" s="224">
        <v>0</v>
      </c>
      <c r="S218" s="224" t="s">
        <v>16</v>
      </c>
      <c r="T218" s="226" t="s">
        <v>3204</v>
      </c>
      <c r="U218" s="316" t="s">
        <v>3423</v>
      </c>
      <c r="V218" s="228" t="s">
        <v>16</v>
      </c>
      <c r="W218" s="317">
        <v>60</v>
      </c>
      <c r="X218" s="228" t="s">
        <v>16</v>
      </c>
      <c r="Y218" s="228" t="s">
        <v>16</v>
      </c>
      <c r="Z218" s="229">
        <f>60*1</f>
        <v>60</v>
      </c>
      <c r="AA218" s="240" t="s">
        <v>308</v>
      </c>
      <c r="AB218" s="1140"/>
      <c r="AC218" s="230" t="s">
        <v>304</v>
      </c>
      <c r="AD218" s="1138"/>
      <c r="AE218" s="231">
        <v>45453</v>
      </c>
      <c r="AF218" s="238" t="s">
        <v>370</v>
      </c>
      <c r="AG218" s="241" t="s">
        <v>308</v>
      </c>
      <c r="AH218" s="241" t="s">
        <v>308</v>
      </c>
      <c r="AI218" s="1143"/>
      <c r="AJ218" s="1144"/>
      <c r="AK218" s="737"/>
      <c r="AL218" s="1141"/>
    </row>
    <row r="219" spans="1:38" s="236" customFormat="1" ht="52.8" x14ac:dyDescent="0.3">
      <c r="A219" s="257">
        <v>45426</v>
      </c>
      <c r="B219" s="224" t="s">
        <v>3424</v>
      </c>
      <c r="C219" s="218" t="s">
        <v>1033</v>
      </c>
      <c r="D219" s="222" t="str">
        <f>VLOOKUP($C219,Customers!$A$2:$Z$1010,2,FALSE)</f>
        <v>Charles (Chuck) Hopper</v>
      </c>
      <c r="E219" s="293" t="s">
        <v>361</v>
      </c>
      <c r="F219" s="222" t="str">
        <f xml:space="preserve"> VLOOKUP($C219,Customers!$A$2:$Z$1010,5,FALSE)</f>
        <v>Environment and Climate Change Canada (ECCC) - Atlantic Laboratory for Environmental Testing (ALET)</v>
      </c>
      <c r="G219" s="222" t="str">
        <f>VLOOKUP($C219,Customers!$A$2:$Z$1010,10,FALSE) &amp; ", " &amp; VLOOKUP($C219,Customers!$A$2:$Z$1010,11,FALSE)</f>
        <v>Moncton, NB</v>
      </c>
      <c r="H219" s="222" t="str">
        <f>VLOOKUP($C219,Customers!$A$2:$Z$1010,13,FALSE)</f>
        <v>Canada</v>
      </c>
      <c r="I219" s="222" t="str">
        <f>VLOOKUP($C219,Customers!$A$2:$Z$1010,18,FALSE)</f>
        <v>CG</v>
      </c>
      <c r="J219" s="223" t="s">
        <v>304</v>
      </c>
      <c r="K219" s="224" t="s">
        <v>3425</v>
      </c>
      <c r="L219" s="224">
        <v>2</v>
      </c>
      <c r="M219" s="224" t="s">
        <v>3426</v>
      </c>
      <c r="N219" s="224">
        <f>2+1</f>
        <v>3</v>
      </c>
      <c r="O219" s="225" t="s">
        <v>16</v>
      </c>
      <c r="P219" s="224">
        <v>0</v>
      </c>
      <c r="Q219" s="224" t="s">
        <v>318</v>
      </c>
      <c r="R219" s="224">
        <v>500</v>
      </c>
      <c r="S219" s="224" t="s">
        <v>16</v>
      </c>
      <c r="T219" s="226" t="s">
        <v>3427</v>
      </c>
      <c r="U219" s="226" t="s">
        <v>3428</v>
      </c>
      <c r="V219" s="227">
        <f>195+150</f>
        <v>345</v>
      </c>
      <c r="W219" s="228" t="s">
        <v>16</v>
      </c>
      <c r="X219" s="227">
        <v>210</v>
      </c>
      <c r="Y219" s="228" t="s">
        <v>16</v>
      </c>
      <c r="Z219" s="229">
        <f>150+195+210</f>
        <v>555</v>
      </c>
      <c r="AA219" s="230">
        <v>40</v>
      </c>
      <c r="AB219" s="240">
        <f t="shared" ref="AB219:AB220" si="49">SUM(Z219:AA219)</f>
        <v>595</v>
      </c>
      <c r="AC219" s="230" t="s">
        <v>304</v>
      </c>
      <c r="AD219" s="242" t="s">
        <v>16</v>
      </c>
      <c r="AE219" s="231">
        <v>45433</v>
      </c>
      <c r="AF219" s="219" t="s">
        <v>3429</v>
      </c>
      <c r="AG219" s="232">
        <v>35.04</v>
      </c>
      <c r="AH219" s="230">
        <v>31.67</v>
      </c>
      <c r="AI219" s="758" t="s">
        <v>304</v>
      </c>
      <c r="AJ219" s="233">
        <v>103165</v>
      </c>
      <c r="AK219" s="234">
        <v>45506</v>
      </c>
      <c r="AL219" s="235" t="s">
        <v>2417</v>
      </c>
    </row>
    <row r="220" spans="1:38" s="236" customFormat="1" ht="39.6" customHeight="1" x14ac:dyDescent="0.3">
      <c r="A220" s="257">
        <v>45427</v>
      </c>
      <c r="B220" s="224" t="s">
        <v>3430</v>
      </c>
      <c r="C220" s="218" t="s">
        <v>2260</v>
      </c>
      <c r="D220" s="222" t="str">
        <f>VLOOKUP($C220,Customers!$A$2:$Z$1010,2,FALSE)</f>
        <v>Stan Pankratz</v>
      </c>
      <c r="E220" s="583" t="s">
        <v>16</v>
      </c>
      <c r="F220" s="222" t="str">
        <f xml:space="preserve"> VLOOKUP($C220,Customers!$A$2:$Z$1010,5,FALSE)</f>
        <v>Rainforest Algae Corp.</v>
      </c>
      <c r="G220" s="222" t="str">
        <f>VLOOKUP($C220,Customers!$A$2:$Z$1010,10,FALSE) &amp; ", " &amp; VLOOKUP($C220,Customers!$A$2:$Z$1010,11,FALSE)</f>
        <v>Calgary, AB</v>
      </c>
      <c r="H220" s="222" t="str">
        <f>VLOOKUP($C220,Customers!$A$2:$Z$1010,13,FALSE)</f>
        <v>Canada</v>
      </c>
      <c r="I220" s="222" t="str">
        <f>VLOOKUP($C220,Customers!$A$2:$Z$1010,18,FALSE)</f>
        <v>CC</v>
      </c>
      <c r="J220" s="335" t="s">
        <v>304</v>
      </c>
      <c r="K220" s="224">
        <v>90</v>
      </c>
      <c r="L220" s="224">
        <v>1</v>
      </c>
      <c r="M220" s="224">
        <v>100</v>
      </c>
      <c r="N220" s="224">
        <f>2</f>
        <v>2</v>
      </c>
      <c r="O220" s="225" t="s">
        <v>16</v>
      </c>
      <c r="P220" s="224">
        <v>0</v>
      </c>
      <c r="Q220" s="225" t="s">
        <v>16</v>
      </c>
      <c r="R220" s="224">
        <v>0</v>
      </c>
      <c r="S220" s="224" t="s">
        <v>16</v>
      </c>
      <c r="T220" s="301" t="s">
        <v>3431</v>
      </c>
      <c r="U220" s="301" t="s">
        <v>3432</v>
      </c>
      <c r="V220" s="227">
        <v>300</v>
      </c>
      <c r="W220" s="228" t="s">
        <v>16</v>
      </c>
      <c r="X220" s="228" t="s">
        <v>16</v>
      </c>
      <c r="Y220" s="228" t="s">
        <v>16</v>
      </c>
      <c r="Z220" s="749">
        <f>300</f>
        <v>300</v>
      </c>
      <c r="AA220" s="240">
        <v>30</v>
      </c>
      <c r="AB220" s="240">
        <f t="shared" si="49"/>
        <v>330</v>
      </c>
      <c r="AC220" s="230" t="s">
        <v>304</v>
      </c>
      <c r="AD220" s="243" t="s">
        <v>16</v>
      </c>
      <c r="AE220" s="231">
        <v>45433</v>
      </c>
      <c r="AF220" s="219" t="s">
        <v>3433</v>
      </c>
      <c r="AG220" s="230">
        <v>22.98</v>
      </c>
      <c r="AH220" s="230">
        <v>22.25</v>
      </c>
      <c r="AI220" s="245" t="s">
        <v>304</v>
      </c>
      <c r="AJ220" s="218">
        <v>111483</v>
      </c>
      <c r="AK220" s="234">
        <v>45468</v>
      </c>
      <c r="AL220" s="252" t="s">
        <v>3434</v>
      </c>
    </row>
    <row r="221" spans="1:38" s="236" customFormat="1" ht="39.6" x14ac:dyDescent="0.3">
      <c r="A221" s="257">
        <v>45429</v>
      </c>
      <c r="B221" s="224" t="s">
        <v>3435</v>
      </c>
      <c r="C221" s="222" t="s">
        <v>2442</v>
      </c>
      <c r="D221" s="222" t="str">
        <f>VLOOKUP($C221,Customers!$A$2:$Z$1010,2,FALSE)</f>
        <v>Emilie Spasov</v>
      </c>
      <c r="E221" s="583" t="s">
        <v>16</v>
      </c>
      <c r="F221" s="222" t="str">
        <f xml:space="preserve"> VLOOKUP($C221,Customers!$A$2:$Z$1010,5,FALSE)</f>
        <v>University of Waterloo</v>
      </c>
      <c r="G221" s="222" t="str">
        <f>VLOOKUP($C221,Customers!$A$2:$Z$1010,10,FALSE) &amp; ", " &amp; VLOOKUP($C221,Customers!$A$2:$Z$1010,11,FALSE)</f>
        <v>Waterloo, ON</v>
      </c>
      <c r="H221" s="222" t="str">
        <f>VLOOKUP($C221,Customers!$A$2:$Z$1010,13,FALSE)</f>
        <v>Canada</v>
      </c>
      <c r="I221" s="222" t="str">
        <f>VLOOKUP($C221,Customers!$A$2:$Z$1010,18,FALSE)</f>
        <v>CA</v>
      </c>
      <c r="J221" s="1125" t="s">
        <v>304</v>
      </c>
      <c r="K221" s="224">
        <v>67</v>
      </c>
      <c r="L221" s="224">
        <v>1</v>
      </c>
      <c r="M221" s="224">
        <v>5</v>
      </c>
      <c r="N221" s="224">
        <f>1</f>
        <v>1</v>
      </c>
      <c r="O221" s="225" t="s">
        <v>16</v>
      </c>
      <c r="P221" s="224">
        <v>0</v>
      </c>
      <c r="Q221" s="225" t="s">
        <v>16</v>
      </c>
      <c r="R221" s="224">
        <v>0</v>
      </c>
      <c r="S221" s="224" t="s">
        <v>16</v>
      </c>
      <c r="T221" s="226" t="s">
        <v>3990</v>
      </c>
      <c r="U221" s="1147" t="s">
        <v>3991</v>
      </c>
      <c r="V221" s="1148">
        <v>75</v>
      </c>
      <c r="W221" s="228" t="s">
        <v>16</v>
      </c>
      <c r="X221" s="228" t="s">
        <v>16</v>
      </c>
      <c r="Y221" s="228" t="s">
        <v>16</v>
      </c>
      <c r="Z221" s="1140">
        <f>75</f>
        <v>75</v>
      </c>
      <c r="AA221" s="1140" t="s">
        <v>308</v>
      </c>
      <c r="AB221" s="1140">
        <f>SUM(Z221:AA224)</f>
        <v>75</v>
      </c>
      <c r="AC221" s="230" t="s">
        <v>304</v>
      </c>
      <c r="AD221" s="242" t="s">
        <v>16</v>
      </c>
      <c r="AE221" s="231">
        <v>45434</v>
      </c>
      <c r="AF221" s="219" t="s">
        <v>3436</v>
      </c>
      <c r="AG221" s="1146" t="s">
        <v>308</v>
      </c>
      <c r="AH221" s="1146" t="s">
        <v>308</v>
      </c>
      <c r="AI221" s="1146" t="s">
        <v>308</v>
      </c>
      <c r="AJ221" s="1146" t="s">
        <v>308</v>
      </c>
      <c r="AK221" s="709">
        <v>45616</v>
      </c>
      <c r="AL221" s="1145" t="s">
        <v>3992</v>
      </c>
    </row>
    <row r="222" spans="1:38" s="236" customFormat="1" ht="26.4" x14ac:dyDescent="0.3">
      <c r="A222" s="257">
        <v>45429</v>
      </c>
      <c r="B222" s="224" t="s">
        <v>3437</v>
      </c>
      <c r="C222" s="222" t="s">
        <v>2442</v>
      </c>
      <c r="D222" s="222" t="str">
        <f>VLOOKUP($C222,Customers!$A$2:$Z$1010,2,FALSE)</f>
        <v>Emilie Spasov</v>
      </c>
      <c r="E222" s="583" t="s">
        <v>16</v>
      </c>
      <c r="F222" s="222" t="str">
        <f xml:space="preserve"> VLOOKUP($C222,Customers!$A$2:$Z$1010,5,FALSE)</f>
        <v>University of Waterloo</v>
      </c>
      <c r="G222" s="222" t="str">
        <f>VLOOKUP($C222,Customers!$A$2:$Z$1010,10,FALSE) &amp; ", " &amp; VLOOKUP($C222,Customers!$A$2:$Z$1010,11,FALSE)</f>
        <v>Waterloo, ON</v>
      </c>
      <c r="H222" s="222" t="str">
        <f>VLOOKUP($C222,Customers!$A$2:$Z$1010,13,FALSE)</f>
        <v>Canada</v>
      </c>
      <c r="I222" s="222" t="str">
        <f>VLOOKUP($C222,Customers!$A$2:$Z$1010,18,FALSE)</f>
        <v>CA</v>
      </c>
      <c r="J222" s="1125"/>
      <c r="K222" s="224">
        <v>67</v>
      </c>
      <c r="L222" s="224">
        <v>1</v>
      </c>
      <c r="M222" s="224">
        <v>5</v>
      </c>
      <c r="N222" s="224">
        <f>1</f>
        <v>1</v>
      </c>
      <c r="O222" s="225" t="s">
        <v>16</v>
      </c>
      <c r="P222" s="224">
        <v>0</v>
      </c>
      <c r="Q222" s="225" t="s">
        <v>16</v>
      </c>
      <c r="R222" s="224">
        <v>0</v>
      </c>
      <c r="S222" s="224" t="s">
        <v>16</v>
      </c>
      <c r="T222" s="226" t="s">
        <v>3438</v>
      </c>
      <c r="U222" s="1147"/>
      <c r="V222" s="1148"/>
      <c r="W222" s="228" t="s">
        <v>16</v>
      </c>
      <c r="X222" s="228" t="s">
        <v>16</v>
      </c>
      <c r="Y222" s="228" t="s">
        <v>16</v>
      </c>
      <c r="Z222" s="1140"/>
      <c r="AA222" s="1140"/>
      <c r="AB222" s="1140"/>
      <c r="AC222" s="230" t="s">
        <v>304</v>
      </c>
      <c r="AD222" s="242" t="s">
        <v>16</v>
      </c>
      <c r="AE222" s="231">
        <v>45524</v>
      </c>
      <c r="AF222" s="219" t="s">
        <v>3436</v>
      </c>
      <c r="AG222" s="1146"/>
      <c r="AH222" s="1146"/>
      <c r="AI222" s="1146"/>
      <c r="AJ222" s="1146"/>
      <c r="AK222" s="709">
        <v>45616</v>
      </c>
      <c r="AL222" s="1145"/>
    </row>
    <row r="223" spans="1:38" s="236" customFormat="1" ht="24.75" customHeight="1" x14ac:dyDescent="0.3">
      <c r="A223" s="674">
        <v>45429</v>
      </c>
      <c r="B223" s="224" t="s">
        <v>3439</v>
      </c>
      <c r="C223" s="222" t="s">
        <v>2442</v>
      </c>
      <c r="D223" s="219" t="str">
        <f>VLOOKUP($C223,[1]Customers!$A$2:$Z$1040,2,FALSE)</f>
        <v>Emilie Spasov</v>
      </c>
      <c r="E223" s="583" t="s">
        <v>16</v>
      </c>
      <c r="F223" s="222" t="str">
        <f>VLOOKUP($C223,[1]Customers!$A$2:$Z$1040,5,FALSE)</f>
        <v>University of Waterloo</v>
      </c>
      <c r="G223" s="222" t="str">
        <f>VLOOKUP($C223,[1]Customers!$A$2:$Z$1040,10,FALSE) &amp; ", " &amp; VLOOKUP($C223,[1]Customers!$A$2:$Z$1040,11,FALSE)</f>
        <v>Waterloo, ON</v>
      </c>
      <c r="H223" s="222" t="str">
        <f>VLOOKUP($C223,[1]Customers!$A$2:$Z$1040,13,FALSE)</f>
        <v>Canada</v>
      </c>
      <c r="I223" s="222" t="str">
        <f>VLOOKUP($C223,[1]Customers!$A$2:$Z$1040,18,FALSE)</f>
        <v>CA</v>
      </c>
      <c r="J223" s="1125"/>
      <c r="K223" s="224">
        <v>67</v>
      </c>
      <c r="L223" s="224">
        <v>1</v>
      </c>
      <c r="M223" s="224">
        <v>15</v>
      </c>
      <c r="N223" s="224">
        <f>1</f>
        <v>1</v>
      </c>
      <c r="O223" s="225" t="s">
        <v>16</v>
      </c>
      <c r="P223" s="224">
        <v>0</v>
      </c>
      <c r="Q223" s="225" t="s">
        <v>16</v>
      </c>
      <c r="R223" s="224">
        <v>0</v>
      </c>
      <c r="S223" s="224" t="s">
        <v>16</v>
      </c>
      <c r="T223" s="226" t="s">
        <v>3988</v>
      </c>
      <c r="U223" s="1147"/>
      <c r="V223" s="1148"/>
      <c r="W223" s="228" t="s">
        <v>16</v>
      </c>
      <c r="X223" s="228" t="s">
        <v>16</v>
      </c>
      <c r="Y223" s="228" t="s">
        <v>16</v>
      </c>
      <c r="Z223" s="1140"/>
      <c r="AA223" s="1140"/>
      <c r="AB223" s="1140"/>
      <c r="AC223" s="230" t="s">
        <v>304</v>
      </c>
      <c r="AD223" s="244" t="s">
        <v>16</v>
      </c>
      <c r="AE223" s="231">
        <v>45586</v>
      </c>
      <c r="AF223" s="219" t="s">
        <v>3436</v>
      </c>
      <c r="AG223" s="1146"/>
      <c r="AH223" s="1146"/>
      <c r="AI223" s="1146"/>
      <c r="AJ223" s="1146"/>
      <c r="AK223" s="709">
        <v>45616</v>
      </c>
      <c r="AL223" s="1145"/>
    </row>
    <row r="224" spans="1:38" s="236" customFormat="1" ht="26.4" x14ac:dyDescent="0.3">
      <c r="A224" s="674">
        <v>45429</v>
      </c>
      <c r="B224" s="224" t="s">
        <v>3989</v>
      </c>
      <c r="C224" s="222" t="s">
        <v>2442</v>
      </c>
      <c r="D224" s="219" t="str">
        <f>VLOOKUP($C224,[1]Customers!$A$2:$Z$1040,2,FALSE)</f>
        <v>Emilie Spasov</v>
      </c>
      <c r="E224" s="583" t="s">
        <v>16</v>
      </c>
      <c r="F224" s="222" t="str">
        <f>VLOOKUP($C224,[1]Customers!$A$2:$Z$1040,5,FALSE)</f>
        <v>University of Waterloo</v>
      </c>
      <c r="G224" s="222" t="str">
        <f>VLOOKUP($C224,[1]Customers!$A$2:$Z$1040,10,FALSE) &amp; ", " &amp; VLOOKUP($C224,[1]Customers!$A$2:$Z$1040,11,FALSE)</f>
        <v>Waterloo, ON</v>
      </c>
      <c r="H224" s="222" t="str">
        <f>VLOOKUP($C224,[1]Customers!$A$2:$Z$1040,13,FALSE)</f>
        <v>Canada</v>
      </c>
      <c r="I224" s="222" t="str">
        <f>VLOOKUP($C224,[1]Customers!$A$2:$Z$1040,18,FALSE)</f>
        <v>CA</v>
      </c>
      <c r="J224" s="1125"/>
      <c r="K224" s="224">
        <v>67</v>
      </c>
      <c r="L224" s="224">
        <v>1</v>
      </c>
      <c r="M224" s="224">
        <v>15</v>
      </c>
      <c r="N224" s="224">
        <f>1</f>
        <v>1</v>
      </c>
      <c r="O224" s="225" t="s">
        <v>16</v>
      </c>
      <c r="P224" s="224">
        <v>0</v>
      </c>
      <c r="Q224" s="225" t="s">
        <v>16</v>
      </c>
      <c r="R224" s="224">
        <v>0</v>
      </c>
      <c r="S224" s="224" t="s">
        <v>16</v>
      </c>
      <c r="T224" s="226" t="s">
        <v>3988</v>
      </c>
      <c r="U224" s="1147"/>
      <c r="V224" s="1148"/>
      <c r="W224" s="228" t="s">
        <v>16</v>
      </c>
      <c r="X224" s="228" t="s">
        <v>16</v>
      </c>
      <c r="Y224" s="228" t="s">
        <v>16</v>
      </c>
      <c r="Z224" s="1140"/>
      <c r="AA224" s="1140"/>
      <c r="AB224" s="1140"/>
      <c r="AC224" s="230" t="s">
        <v>304</v>
      </c>
      <c r="AD224" s="244" t="s">
        <v>16</v>
      </c>
      <c r="AE224" s="231">
        <v>45587</v>
      </c>
      <c r="AF224" s="219" t="s">
        <v>3436</v>
      </c>
      <c r="AG224" s="1146"/>
      <c r="AH224" s="1146"/>
      <c r="AI224" s="1146"/>
      <c r="AJ224" s="1146"/>
      <c r="AK224" s="709">
        <v>45616</v>
      </c>
      <c r="AL224" s="1145"/>
    </row>
    <row r="225" spans="1:38" s="236" customFormat="1" ht="52.95" customHeight="1" x14ac:dyDescent="0.3">
      <c r="A225" s="257">
        <v>45434</v>
      </c>
      <c r="B225" s="224" t="s">
        <v>3440</v>
      </c>
      <c r="C225" s="218" t="s">
        <v>2507</v>
      </c>
      <c r="D225" s="222" t="str">
        <f>VLOOKUP($C225,Customers!$A$2:$Z$1010,2,FALSE)</f>
        <v>Martina Rudy</v>
      </c>
      <c r="E225" s="583" t="s">
        <v>16</v>
      </c>
      <c r="F225" s="222" t="str">
        <f xml:space="preserve"> VLOOKUP($C225,Customers!$A$2:$Z$1010,5,FALSE)</f>
        <v>Environment and Climate Change Canada (ECCC) - Aquatic Contaminants Research Division (ACRD)</v>
      </c>
      <c r="G225" s="222" t="str">
        <f>VLOOKUP($C225,Customers!$A$2:$Z$1010,10,FALSE) &amp; ", " &amp; VLOOKUP($C225,Customers!$A$2:$Z$1010,11,FALSE)</f>
        <v>Burlington, ON</v>
      </c>
      <c r="H225" s="222" t="str">
        <f>VLOOKUP($C225,Customers!$A$2:$Z$1010,13,FALSE)</f>
        <v>Canada</v>
      </c>
      <c r="I225" s="222" t="str">
        <f>VLOOKUP($C225,Customers!$A$2:$Z$1010,18,FALSE)</f>
        <v>CG</v>
      </c>
      <c r="J225" s="253" t="s">
        <v>306</v>
      </c>
      <c r="K225" s="224">
        <v>90</v>
      </c>
      <c r="L225" s="253">
        <v>1</v>
      </c>
      <c r="M225" s="224">
        <v>15</v>
      </c>
      <c r="N225" s="253">
        <f>1</f>
        <v>1</v>
      </c>
      <c r="O225" s="225" t="s">
        <v>16</v>
      </c>
      <c r="P225" s="253">
        <v>0</v>
      </c>
      <c r="Q225" s="225" t="s">
        <v>16</v>
      </c>
      <c r="R225" s="253">
        <v>0</v>
      </c>
      <c r="S225" s="224" t="s">
        <v>16</v>
      </c>
      <c r="T225" s="301" t="s">
        <v>3441</v>
      </c>
      <c r="U225" s="301" t="s">
        <v>402</v>
      </c>
      <c r="V225" s="227">
        <v>150</v>
      </c>
      <c r="W225" s="228" t="s">
        <v>16</v>
      </c>
      <c r="X225" s="228" t="s">
        <v>16</v>
      </c>
      <c r="Y225" s="228" t="s">
        <v>16</v>
      </c>
      <c r="Z225" s="302">
        <f>150</f>
        <v>150</v>
      </c>
      <c r="AA225" s="240">
        <v>25</v>
      </c>
      <c r="AB225" s="240">
        <f t="shared" ref="AB225:AB251" si="50">SUM(Z225:AA225)</f>
        <v>175</v>
      </c>
      <c r="AC225" s="230" t="s">
        <v>304</v>
      </c>
      <c r="AD225" s="242" t="s">
        <v>16</v>
      </c>
      <c r="AE225" s="231">
        <v>45439</v>
      </c>
      <c r="AF225" s="219" t="s">
        <v>3442</v>
      </c>
      <c r="AG225" s="232">
        <v>6.09</v>
      </c>
      <c r="AH225" s="230">
        <v>5.57</v>
      </c>
      <c r="AI225" s="218" t="s">
        <v>304</v>
      </c>
      <c r="AJ225" s="218">
        <v>103161</v>
      </c>
      <c r="AK225" s="234">
        <v>45506</v>
      </c>
      <c r="AL225" s="255" t="s">
        <v>3993</v>
      </c>
    </row>
    <row r="226" spans="1:38" s="236" customFormat="1" ht="52.95" customHeight="1" x14ac:dyDescent="0.3">
      <c r="A226" s="257">
        <v>45436</v>
      </c>
      <c r="B226" s="224" t="s">
        <v>3443</v>
      </c>
      <c r="C226" s="218" t="s">
        <v>2548</v>
      </c>
      <c r="D226" s="222" t="str">
        <f>VLOOKUP($C226,Customers!$A$2:$Z$1010,2,FALSE)</f>
        <v>Sheila Macfie</v>
      </c>
      <c r="E226" s="293" t="s">
        <v>2555</v>
      </c>
      <c r="F226" s="222" t="str">
        <f xml:space="preserve"> VLOOKUP($C226,Customers!$A$2:$Z$1010,5,FALSE)</f>
        <v>Western University</v>
      </c>
      <c r="G226" s="222" t="str">
        <f>VLOOKUP($C226,Customers!$A$2:$Z$1010,10,FALSE) &amp; ", " &amp; VLOOKUP($C226,Customers!$A$2:$Z$1010,11,FALSE)</f>
        <v>London, ON</v>
      </c>
      <c r="H226" s="222" t="str">
        <f>VLOOKUP($C226,Customers!$A$2:$Z$1010,13,FALSE)</f>
        <v>Canada</v>
      </c>
      <c r="I226" s="222" t="str">
        <f>VLOOKUP($C226,Customers!$A$2:$Z$1010,18,FALSE)</f>
        <v>CA</v>
      </c>
      <c r="J226" s="223" t="s">
        <v>306</v>
      </c>
      <c r="K226" s="224">
        <v>490</v>
      </c>
      <c r="L226" s="251">
        <v>1</v>
      </c>
      <c r="M226" s="224">
        <v>25</v>
      </c>
      <c r="N226" s="251">
        <f>1</f>
        <v>1</v>
      </c>
      <c r="O226" s="243" t="s">
        <v>16</v>
      </c>
      <c r="P226" s="251">
        <v>0</v>
      </c>
      <c r="Q226" s="243" t="s">
        <v>16</v>
      </c>
      <c r="R226" s="251">
        <v>0</v>
      </c>
      <c r="S226" s="224" t="s">
        <v>16</v>
      </c>
      <c r="T226" s="226" t="s">
        <v>2686</v>
      </c>
      <c r="U226" s="301" t="s">
        <v>402</v>
      </c>
      <c r="V226" s="227">
        <v>150</v>
      </c>
      <c r="W226" s="228" t="s">
        <v>16</v>
      </c>
      <c r="X226" s="228" t="s">
        <v>16</v>
      </c>
      <c r="Y226" s="228" t="s">
        <v>16</v>
      </c>
      <c r="Z226" s="302">
        <f>150</f>
        <v>150</v>
      </c>
      <c r="AA226" s="240">
        <v>25</v>
      </c>
      <c r="AB226" s="240">
        <f t="shared" si="50"/>
        <v>175</v>
      </c>
      <c r="AC226" s="230" t="s">
        <v>304</v>
      </c>
      <c r="AD226" s="242" t="s">
        <v>3444</v>
      </c>
      <c r="AE226" s="231">
        <v>45448</v>
      </c>
      <c r="AF226" s="219" t="s">
        <v>3445</v>
      </c>
      <c r="AG226" s="232">
        <v>6.09</v>
      </c>
      <c r="AH226" s="230">
        <v>5.57</v>
      </c>
      <c r="AI226" s="330" t="s">
        <v>304</v>
      </c>
      <c r="AJ226" s="701">
        <v>103838</v>
      </c>
      <c r="AK226" s="234">
        <v>45492</v>
      </c>
      <c r="AL226" s="252" t="s">
        <v>2560</v>
      </c>
    </row>
    <row r="227" spans="1:38" s="281" customFormat="1" ht="53.4" thickBot="1" x14ac:dyDescent="0.35">
      <c r="A227" s="297">
        <v>45440</v>
      </c>
      <c r="B227" s="262" t="s">
        <v>3446</v>
      </c>
      <c r="C227" s="262" t="s">
        <v>2584</v>
      </c>
      <c r="D227" s="264" t="str">
        <f>VLOOKUP($C227,Customers!$A$2:$Z$1010,2,FALSE)</f>
        <v>Beria Lima de Rodriguez</v>
      </c>
      <c r="E227" s="584" t="s">
        <v>16</v>
      </c>
      <c r="F227" s="264" t="str">
        <f xml:space="preserve"> VLOOKUP($C227,Customers!$A$2:$Z$1010,5,FALSE)</f>
        <v>Bureau Veritas Laboratories - Montreal</v>
      </c>
      <c r="G227" s="264" t="str">
        <f>VLOOKUP($C227,Customers!$A$2:$Z$1010,10,FALSE) &amp; ", " &amp; VLOOKUP($C227,Customers!$A$2:$Z$1010,11,FALSE)</f>
        <v>Saint-Laurent, QC</v>
      </c>
      <c r="H227" s="264" t="str">
        <f>VLOOKUP($C227,Customers!$A$2:$Z$1010,13,FALSE)</f>
        <v>Canada</v>
      </c>
      <c r="I227" s="264" t="str">
        <f>VLOOKUP($C227,Customers!$A$2:$Z$1010,18,FALSE)</f>
        <v>CC</v>
      </c>
      <c r="J227" s="265" t="s">
        <v>306</v>
      </c>
      <c r="K227" s="261">
        <v>37</v>
      </c>
      <c r="L227" s="265">
        <v>1</v>
      </c>
      <c r="M227" s="261">
        <v>15</v>
      </c>
      <c r="N227" s="265">
        <f>1</f>
        <v>1</v>
      </c>
      <c r="O227" s="266" t="s">
        <v>16</v>
      </c>
      <c r="P227" s="265">
        <v>0</v>
      </c>
      <c r="Q227" s="266" t="s">
        <v>16</v>
      </c>
      <c r="R227" s="265">
        <v>0</v>
      </c>
      <c r="S227" s="261" t="s">
        <v>16</v>
      </c>
      <c r="T227" s="756" t="s">
        <v>360</v>
      </c>
      <c r="U227" s="269" t="s">
        <v>417</v>
      </c>
      <c r="V227" s="271">
        <v>200</v>
      </c>
      <c r="W227" s="270" t="s">
        <v>16</v>
      </c>
      <c r="X227" s="270" t="s">
        <v>16</v>
      </c>
      <c r="Y227" s="270" t="s">
        <v>16</v>
      </c>
      <c r="Z227" s="274">
        <f>200</f>
        <v>200</v>
      </c>
      <c r="AA227" s="272">
        <v>25</v>
      </c>
      <c r="AB227" s="273">
        <f t="shared" si="50"/>
        <v>225</v>
      </c>
      <c r="AC227" s="274" t="s">
        <v>304</v>
      </c>
      <c r="AD227" s="264" t="s">
        <v>3447</v>
      </c>
      <c r="AE227" s="276">
        <v>45448</v>
      </c>
      <c r="AF227" s="263" t="s">
        <v>3448</v>
      </c>
      <c r="AG227" s="277">
        <v>5.71</v>
      </c>
      <c r="AH227" s="274">
        <v>5.53</v>
      </c>
      <c r="AI227" s="274" t="s">
        <v>304</v>
      </c>
      <c r="AJ227" s="279">
        <v>103380</v>
      </c>
      <c r="AK227" s="289">
        <v>45506</v>
      </c>
      <c r="AL227" s="299" t="s">
        <v>3994</v>
      </c>
    </row>
    <row r="228" spans="1:38" s="236" customFormat="1" ht="39.6" x14ac:dyDescent="0.3">
      <c r="A228" s="257">
        <v>45446</v>
      </c>
      <c r="B228" s="218" t="s">
        <v>3449</v>
      </c>
      <c r="C228" s="218" t="s">
        <v>1034</v>
      </c>
      <c r="D228" s="222" t="str">
        <f>VLOOKUP($C228,Customers!$A$2:$Z$1010,2,FALSE)</f>
        <v>Christina Heise</v>
      </c>
      <c r="E228" s="583" t="s">
        <v>16</v>
      </c>
      <c r="F228" s="222" t="str">
        <f xml:space="preserve"> VLOOKUP($C228,Customers!$A$2:$Z$1010,5,FALSE)</f>
        <v>Environment and Climate Change Canada (ECCC) - Prairie and Northern Laboratory for Environmental Testing (PNLET)</v>
      </c>
      <c r="G228" s="222" t="str">
        <f>VLOOKUP($C228,Customers!$A$2:$Z$1010,10,FALSE) &amp; ", " &amp; VLOOKUP($C228,Customers!$A$2:$Z$1010,11,FALSE)</f>
        <v>Edmonton, AB</v>
      </c>
      <c r="H228" s="222" t="str">
        <f>VLOOKUP($C228,Customers!$A$2:$Z$1010,13,FALSE)</f>
        <v>Canada</v>
      </c>
      <c r="I228" s="222" t="str">
        <f>VLOOKUP($C228,Customers!$A$2:$Z$1010,18,FALSE)</f>
        <v>CG</v>
      </c>
      <c r="J228" s="223" t="s">
        <v>306</v>
      </c>
      <c r="K228" s="259">
        <v>37</v>
      </c>
      <c r="L228" s="223">
        <v>1</v>
      </c>
      <c r="M228" s="224">
        <v>90</v>
      </c>
      <c r="N228" s="223">
        <f>6</f>
        <v>6</v>
      </c>
      <c r="O228" s="243" t="s">
        <v>16</v>
      </c>
      <c r="P228" s="223">
        <v>0</v>
      </c>
      <c r="Q228" s="243" t="s">
        <v>16</v>
      </c>
      <c r="R228" s="223">
        <v>0</v>
      </c>
      <c r="S228" s="224" t="s">
        <v>16</v>
      </c>
      <c r="T228" s="226" t="s">
        <v>3450</v>
      </c>
      <c r="U228" s="226" t="s">
        <v>3451</v>
      </c>
      <c r="V228" s="227">
        <f>150+(35*5)</f>
        <v>325</v>
      </c>
      <c r="W228" s="228" t="s">
        <v>16</v>
      </c>
      <c r="X228" s="228" t="s">
        <v>16</v>
      </c>
      <c r="Y228" s="228" t="s">
        <v>16</v>
      </c>
      <c r="Z228" s="230">
        <f>150+(35*5)</f>
        <v>325</v>
      </c>
      <c r="AA228" s="229">
        <v>25</v>
      </c>
      <c r="AB228" s="240">
        <f t="shared" si="50"/>
        <v>350</v>
      </c>
      <c r="AC228" s="230" t="s">
        <v>304</v>
      </c>
      <c r="AD228" s="242" t="s">
        <v>16</v>
      </c>
      <c r="AE228" s="238">
        <v>45454</v>
      </c>
      <c r="AF228" s="219" t="s">
        <v>3452</v>
      </c>
      <c r="AG228" s="232">
        <v>18.48</v>
      </c>
      <c r="AH228" s="230">
        <v>17.89</v>
      </c>
      <c r="AI228" s="758" t="s">
        <v>304</v>
      </c>
      <c r="AJ228" s="223">
        <v>103174</v>
      </c>
      <c r="AK228" s="234">
        <v>45492</v>
      </c>
      <c r="AL228" s="252" t="s">
        <v>3453</v>
      </c>
    </row>
    <row r="229" spans="1:38" s="236" customFormat="1" ht="66" x14ac:dyDescent="0.3">
      <c r="A229" s="759">
        <v>45447</v>
      </c>
      <c r="B229" s="250" t="s">
        <v>3454</v>
      </c>
      <c r="C229" s="218" t="s">
        <v>1045</v>
      </c>
      <c r="D229" s="222" t="str">
        <f>VLOOKUP($C229,Customers!$A$2:$Z$1010,2,FALSE)</f>
        <v>Adam Wartman</v>
      </c>
      <c r="E229" s="583" t="s">
        <v>2313</v>
      </c>
      <c r="F229" s="222" t="str">
        <f xml:space="preserve"> VLOOKUP($C229,Customers!$A$2:$Z$1010,5,FALSE)</f>
        <v>Nautilus Environmental Company Inc. - Guelph</v>
      </c>
      <c r="G229" s="222" t="str">
        <f>VLOOKUP($C229,Customers!$A$2:$Z$1010,10,FALSE) &amp; ", " &amp; VLOOKUP($C229,Customers!$A$2:$Z$1010,11,FALSE)</f>
        <v>Puslinch, ON</v>
      </c>
      <c r="H229" s="222" t="str">
        <f>VLOOKUP($C229,Customers!$A$2:$Z$1010,13,FALSE)</f>
        <v>Canada</v>
      </c>
      <c r="I229" s="222" t="str">
        <f>VLOOKUP($C229,Customers!$A$2:$Z$1010,18,FALSE)</f>
        <v>CC</v>
      </c>
      <c r="J229" s="223" t="s">
        <v>306</v>
      </c>
      <c r="K229" s="243" t="s">
        <v>16</v>
      </c>
      <c r="L229" s="244">
        <v>0</v>
      </c>
      <c r="M229" s="224">
        <v>0</v>
      </c>
      <c r="N229" s="244">
        <v>0</v>
      </c>
      <c r="O229" s="243" t="s">
        <v>16</v>
      </c>
      <c r="P229" s="223">
        <v>0</v>
      </c>
      <c r="Q229" s="243" t="s">
        <v>318</v>
      </c>
      <c r="R229" s="223">
        <v>2000</v>
      </c>
      <c r="S229" s="243" t="s">
        <v>16</v>
      </c>
      <c r="T229" s="226" t="s">
        <v>1192</v>
      </c>
      <c r="U229" s="226" t="s">
        <v>3455</v>
      </c>
      <c r="V229" s="228" t="s">
        <v>16</v>
      </c>
      <c r="W229" s="228" t="s">
        <v>16</v>
      </c>
      <c r="X229" s="227">
        <f>520</f>
        <v>520</v>
      </c>
      <c r="Y229" s="228" t="s">
        <v>16</v>
      </c>
      <c r="Z229" s="229">
        <f>520+25-25</f>
        <v>520</v>
      </c>
      <c r="AA229" s="229">
        <v>25</v>
      </c>
      <c r="AB229" s="230">
        <f t="shared" si="50"/>
        <v>545</v>
      </c>
      <c r="AC229" s="230" t="s">
        <v>304</v>
      </c>
      <c r="AD229" s="222" t="s">
        <v>16</v>
      </c>
      <c r="AE229" s="231">
        <v>45453</v>
      </c>
      <c r="AF229" s="219" t="s">
        <v>3456</v>
      </c>
      <c r="AG229" s="232">
        <v>7.48</v>
      </c>
      <c r="AH229" s="230">
        <v>6.85</v>
      </c>
      <c r="AI229" s="239" t="s">
        <v>304</v>
      </c>
      <c r="AJ229" s="233">
        <v>102886</v>
      </c>
      <c r="AK229" s="231">
        <v>45492</v>
      </c>
      <c r="AL229" s="235" t="s">
        <v>3457</v>
      </c>
    </row>
    <row r="230" spans="1:38" s="236" customFormat="1" ht="79.2" x14ac:dyDescent="0.3">
      <c r="A230" s="257">
        <v>45447</v>
      </c>
      <c r="B230" s="250" t="s">
        <v>3458</v>
      </c>
      <c r="C230" s="218" t="s">
        <v>2587</v>
      </c>
      <c r="D230" s="222" t="str">
        <f>VLOOKUP($C230,Customers!$A$2:$Z$1010,2,FALSE)</f>
        <v>Rassim Khelifa</v>
      </c>
      <c r="E230" s="583" t="s">
        <v>16</v>
      </c>
      <c r="F230" s="222" t="str">
        <f xml:space="preserve"> VLOOKUP($C230,Customers!$A$2:$Z$1010,5,FALSE)</f>
        <v>Concordia University</v>
      </c>
      <c r="G230" s="222" t="str">
        <f>VLOOKUP($C230,Customers!$A$2:$Z$1010,10,FALSE) &amp; ", " &amp; VLOOKUP($C230,Customers!$A$2:$Z$1010,11,FALSE)</f>
        <v>Montreal, QC</v>
      </c>
      <c r="H230" s="222" t="str">
        <f>VLOOKUP($C230,Customers!$A$2:$Z$1010,13,FALSE)</f>
        <v>Canada</v>
      </c>
      <c r="I230" s="222" t="str">
        <f>VLOOKUP($C230,Customers!$A$2:$Z$1010,18,FALSE)</f>
        <v>CA</v>
      </c>
      <c r="J230" s="223" t="s">
        <v>304</v>
      </c>
      <c r="K230" s="224" t="s">
        <v>3459</v>
      </c>
      <c r="L230" s="223">
        <v>2</v>
      </c>
      <c r="M230" s="224" t="s">
        <v>2679</v>
      </c>
      <c r="N230" s="223">
        <f>4+4</f>
        <v>8</v>
      </c>
      <c r="O230" s="243" t="s">
        <v>16</v>
      </c>
      <c r="P230" s="223">
        <v>0</v>
      </c>
      <c r="Q230" s="243" t="s">
        <v>16</v>
      </c>
      <c r="R230" s="223">
        <v>0</v>
      </c>
      <c r="S230" s="243" t="s">
        <v>16</v>
      </c>
      <c r="T230" s="226" t="s">
        <v>3460</v>
      </c>
      <c r="U230" s="226" t="s">
        <v>3461</v>
      </c>
      <c r="V230" s="227">
        <f>255*2</f>
        <v>510</v>
      </c>
      <c r="W230" s="228" t="s">
        <v>16</v>
      </c>
      <c r="X230" s="228" t="s">
        <v>16</v>
      </c>
      <c r="Y230" s="228" t="s">
        <v>16</v>
      </c>
      <c r="Z230" s="229">
        <f>255*2</f>
        <v>510</v>
      </c>
      <c r="AA230" s="229">
        <v>25</v>
      </c>
      <c r="AB230" s="230">
        <f t="shared" si="50"/>
        <v>535</v>
      </c>
      <c r="AC230" s="230" t="s">
        <v>304</v>
      </c>
      <c r="AD230" s="222" t="s">
        <v>16</v>
      </c>
      <c r="AE230" s="231">
        <v>45468</v>
      </c>
      <c r="AF230" s="219" t="s">
        <v>3462</v>
      </c>
      <c r="AG230" s="232">
        <v>6.95</v>
      </c>
      <c r="AH230" s="675">
        <v>6.73</v>
      </c>
      <c r="AI230" s="239" t="s">
        <v>304</v>
      </c>
      <c r="AJ230" s="223">
        <v>103057</v>
      </c>
      <c r="AK230" s="234">
        <v>45513</v>
      </c>
      <c r="AL230" s="252" t="s">
        <v>3576</v>
      </c>
    </row>
    <row r="231" spans="1:38" s="236" customFormat="1" ht="39.6" x14ac:dyDescent="0.3">
      <c r="A231" s="257">
        <v>45449</v>
      </c>
      <c r="B231" s="224" t="s">
        <v>3463</v>
      </c>
      <c r="C231" s="218" t="s">
        <v>1038</v>
      </c>
      <c r="D231" s="222" t="str">
        <f>VLOOKUP($C231,Customers!$A$2:$Z$1010,2,FALSE)</f>
        <v>Janetta Fraser</v>
      </c>
      <c r="E231" s="583" t="s">
        <v>16</v>
      </c>
      <c r="F231" s="222" t="str">
        <f xml:space="preserve"> VLOOKUP($C231,Customers!$A$2:$Z$1010,5,FALSE)</f>
        <v>Harris Industrial Testing Service Ltd. (HITS)</v>
      </c>
      <c r="G231" s="222" t="str">
        <f>VLOOKUP($C231,Customers!$A$2:$Z$1010,10,FALSE) &amp; ", " &amp; VLOOKUP($C231,Customers!$A$2:$Z$1010,11,FALSE)</f>
        <v>Waverley, NS</v>
      </c>
      <c r="H231" s="222" t="str">
        <f>VLOOKUP($C231,Customers!$A$2:$Z$1010,13,FALSE)</f>
        <v>Canada</v>
      </c>
      <c r="I231" s="222" t="str">
        <f>VLOOKUP($C231,Customers!$A$2:$Z$1010,18,FALSE)</f>
        <v>CC</v>
      </c>
      <c r="J231" s="223" t="s">
        <v>306</v>
      </c>
      <c r="K231" s="224">
        <v>266</v>
      </c>
      <c r="L231" s="223">
        <v>1</v>
      </c>
      <c r="M231" s="224">
        <v>15</v>
      </c>
      <c r="N231" s="223">
        <f>1</f>
        <v>1</v>
      </c>
      <c r="O231" s="243" t="s">
        <v>16</v>
      </c>
      <c r="P231" s="223">
        <v>0</v>
      </c>
      <c r="Q231" s="243" t="s">
        <v>16</v>
      </c>
      <c r="R231" s="223">
        <v>0</v>
      </c>
      <c r="S231" s="243" t="s">
        <v>16</v>
      </c>
      <c r="T231" s="226" t="s">
        <v>391</v>
      </c>
      <c r="U231" s="226" t="s">
        <v>417</v>
      </c>
      <c r="V231" s="227">
        <v>200</v>
      </c>
      <c r="W231" s="228" t="s">
        <v>16</v>
      </c>
      <c r="X231" s="228" t="s">
        <v>16</v>
      </c>
      <c r="Y231" s="228" t="s">
        <v>16</v>
      </c>
      <c r="Z231" s="230">
        <f>200</f>
        <v>200</v>
      </c>
      <c r="AA231" s="229">
        <v>25</v>
      </c>
      <c r="AB231" s="230">
        <f t="shared" si="50"/>
        <v>225</v>
      </c>
      <c r="AC231" s="230" t="s">
        <v>304</v>
      </c>
      <c r="AD231" s="652" t="s">
        <v>16</v>
      </c>
      <c r="AE231" s="231">
        <v>45453</v>
      </c>
      <c r="AF231" s="219" t="s">
        <v>3464</v>
      </c>
      <c r="AG231" s="232">
        <v>20.98</v>
      </c>
      <c r="AH231" s="230">
        <v>18.96</v>
      </c>
      <c r="AI231" s="258" t="s">
        <v>304</v>
      </c>
      <c r="AJ231" s="233">
        <v>103252</v>
      </c>
      <c r="AK231" s="231">
        <v>45492</v>
      </c>
      <c r="AL231" s="255" t="s">
        <v>3465</v>
      </c>
    </row>
    <row r="232" spans="1:38" s="236" customFormat="1" ht="39.6" x14ac:dyDescent="0.3">
      <c r="A232" s="257">
        <v>45449</v>
      </c>
      <c r="B232" s="224" t="s">
        <v>4015</v>
      </c>
      <c r="C232" s="218" t="s">
        <v>1028</v>
      </c>
      <c r="D232" s="222" t="str">
        <f>VLOOKUP($C232,Customers!$A$2:$Z$1010,2,FALSE)</f>
        <v>Gabrielle Huppe</v>
      </c>
      <c r="E232" s="583" t="s">
        <v>16</v>
      </c>
      <c r="F232" s="222" t="str">
        <f xml:space="preserve"> VLOOKUP($C232,Customers!$A$2:$Z$1010,5,FALSE)</f>
        <v>Centre d'Expertise en Analyse Environnementale du Quebec (CEAEQ)</v>
      </c>
      <c r="G232" s="222" t="str">
        <f>VLOOKUP($C232,Customers!$A$2:$Z$1010,10,FALSE) &amp; ", " &amp; VLOOKUP($C232,Customers!$A$2:$Z$1010,11,FALSE)</f>
        <v>Quebec, QC</v>
      </c>
      <c r="H232" s="223" t="str">
        <f>VLOOKUP($C232,Customers!$A$2:$Z$1010,13,FALSE)</f>
        <v>Canada</v>
      </c>
      <c r="I232" s="222" t="str">
        <f>VLOOKUP($C232,Customers!$A$2:$Z$1010,18,FALSE)</f>
        <v>CG</v>
      </c>
      <c r="J232" s="1125" t="s">
        <v>306</v>
      </c>
      <c r="K232" s="243" t="s">
        <v>16</v>
      </c>
      <c r="L232" s="223">
        <v>0</v>
      </c>
      <c r="M232" s="224">
        <v>0</v>
      </c>
      <c r="N232" s="223">
        <v>0</v>
      </c>
      <c r="O232" s="243" t="s">
        <v>371</v>
      </c>
      <c r="P232" s="223">
        <v>1</v>
      </c>
      <c r="Q232" s="243" t="s">
        <v>16</v>
      </c>
      <c r="R232" s="223">
        <v>0</v>
      </c>
      <c r="S232" s="243" t="s">
        <v>16</v>
      </c>
      <c r="T232" s="226" t="s">
        <v>1247</v>
      </c>
      <c r="U232" s="226" t="s">
        <v>386</v>
      </c>
      <c r="V232" s="228" t="s">
        <v>16</v>
      </c>
      <c r="W232" s="227">
        <v>65</v>
      </c>
      <c r="X232" s="228" t="s">
        <v>16</v>
      </c>
      <c r="Y232" s="228" t="s">
        <v>16</v>
      </c>
      <c r="Z232" s="230">
        <f>65</f>
        <v>65</v>
      </c>
      <c r="AA232" s="229">
        <v>25</v>
      </c>
      <c r="AB232" s="240">
        <f t="shared" si="50"/>
        <v>90</v>
      </c>
      <c r="AC232" s="230" t="s">
        <v>304</v>
      </c>
      <c r="AD232" s="242" t="s">
        <v>3466</v>
      </c>
      <c r="AE232" s="238">
        <v>45454</v>
      </c>
      <c r="AF232" s="219" t="s">
        <v>3467</v>
      </c>
      <c r="AG232" s="232">
        <v>5.71</v>
      </c>
      <c r="AH232" s="230">
        <v>5.53</v>
      </c>
      <c r="AI232" s="330" t="s">
        <v>304</v>
      </c>
      <c r="AJ232" s="223">
        <v>100033</v>
      </c>
      <c r="AK232" s="238">
        <v>45492</v>
      </c>
      <c r="AL232" s="255" t="s">
        <v>1318</v>
      </c>
    </row>
    <row r="233" spans="1:38" s="236" customFormat="1" ht="39.6" x14ac:dyDescent="0.3">
      <c r="A233" s="257">
        <v>45449</v>
      </c>
      <c r="B233" s="224" t="s">
        <v>4014</v>
      </c>
      <c r="C233" s="218" t="s">
        <v>1028</v>
      </c>
      <c r="D233" s="222" t="str">
        <f>VLOOKUP($C233,Customers!$A$2:$Z$1010,2,FALSE)</f>
        <v>Gabrielle Huppe</v>
      </c>
      <c r="E233" s="583" t="s">
        <v>16</v>
      </c>
      <c r="F233" s="222" t="str">
        <f xml:space="preserve"> VLOOKUP($C233,Customers!$A$2:$Z$1010,5,FALSE)</f>
        <v>Centre d'Expertise en Analyse Environnementale du Quebec (CEAEQ)</v>
      </c>
      <c r="G233" s="222" t="str">
        <f>VLOOKUP($C233,Customers!$A$2:$Z$1010,10,FALSE) &amp; ", " &amp; VLOOKUP($C233,Customers!$A$2:$Z$1010,11,FALSE)</f>
        <v>Quebec, QC</v>
      </c>
      <c r="H233" s="223" t="str">
        <f>VLOOKUP($C233,Customers!$A$2:$Z$1010,13,FALSE)</f>
        <v>Canada</v>
      </c>
      <c r="I233" s="222" t="str">
        <f>VLOOKUP($C233,Customers!$A$2:$Z$1010,18,FALSE)</f>
        <v>CG</v>
      </c>
      <c r="J233" s="1125"/>
      <c r="K233" s="243" t="s">
        <v>16</v>
      </c>
      <c r="L233" s="223">
        <v>0</v>
      </c>
      <c r="M233" s="224">
        <v>0</v>
      </c>
      <c r="N233" s="223">
        <v>0</v>
      </c>
      <c r="O233" s="243" t="s">
        <v>371</v>
      </c>
      <c r="P233" s="223">
        <v>1</v>
      </c>
      <c r="Q233" s="243" t="s">
        <v>16</v>
      </c>
      <c r="R233" s="223">
        <v>0</v>
      </c>
      <c r="S233" s="243" t="s">
        <v>16</v>
      </c>
      <c r="T233" s="226" t="s">
        <v>1247</v>
      </c>
      <c r="U233" s="226" t="s">
        <v>386</v>
      </c>
      <c r="V233" s="228" t="s">
        <v>16</v>
      </c>
      <c r="W233" s="227">
        <v>65</v>
      </c>
      <c r="X233" s="228" t="s">
        <v>16</v>
      </c>
      <c r="Y233" s="228" t="s">
        <v>16</v>
      </c>
      <c r="Z233" s="230">
        <f>65</f>
        <v>65</v>
      </c>
      <c r="AA233" s="229">
        <v>25</v>
      </c>
      <c r="AB233" s="240">
        <f t="shared" si="50"/>
        <v>90</v>
      </c>
      <c r="AC233" s="230" t="s">
        <v>304</v>
      </c>
      <c r="AD233" s="242" t="s">
        <v>3468</v>
      </c>
      <c r="AE233" s="238">
        <v>45483</v>
      </c>
      <c r="AF233" s="219" t="s">
        <v>3469</v>
      </c>
      <c r="AG233" s="232">
        <v>5.71</v>
      </c>
      <c r="AH233" s="230">
        <v>5.53</v>
      </c>
      <c r="AI233" s="330" t="s">
        <v>304</v>
      </c>
      <c r="AJ233" s="223">
        <v>100033</v>
      </c>
      <c r="AK233" s="234">
        <v>45517</v>
      </c>
      <c r="AL233" s="255" t="s">
        <v>3823</v>
      </c>
    </row>
    <row r="234" spans="1:38" s="236" customFormat="1" ht="39.6" x14ac:dyDescent="0.3">
      <c r="A234" s="257">
        <v>45449</v>
      </c>
      <c r="B234" s="224" t="s">
        <v>3470</v>
      </c>
      <c r="C234" s="218" t="s">
        <v>1028</v>
      </c>
      <c r="D234" s="222" t="str">
        <f>VLOOKUP($C234,Customers!$A$2:$Z$1010,2,FALSE)</f>
        <v>Gabrielle Huppe</v>
      </c>
      <c r="E234" s="583" t="s">
        <v>16</v>
      </c>
      <c r="F234" s="222" t="str">
        <f xml:space="preserve"> VLOOKUP($C234,Customers!$A$2:$Z$1010,5,FALSE)</f>
        <v>Centre d'Expertise en Analyse Environnementale du Quebec (CEAEQ)</v>
      </c>
      <c r="G234" s="222" t="str">
        <f>VLOOKUP($C234,Customers!$A$2:$Z$1010,10,FALSE) &amp; ", " &amp; VLOOKUP($C234,Customers!$A$2:$Z$1010,11,FALSE)</f>
        <v>Quebec, QC</v>
      </c>
      <c r="H234" s="222" t="str">
        <f>VLOOKUP($C234,Customers!$A$2:$Z$1010,13,FALSE)</f>
        <v>Canada</v>
      </c>
      <c r="I234" s="222" t="str">
        <f>VLOOKUP($C234,Customers!$A$2:$Z$1010,18,FALSE)</f>
        <v>CG</v>
      </c>
      <c r="J234" s="223" t="s">
        <v>306</v>
      </c>
      <c r="K234" s="243" t="s">
        <v>16</v>
      </c>
      <c r="L234" s="223">
        <v>0</v>
      </c>
      <c r="M234" s="224">
        <v>0</v>
      </c>
      <c r="N234" s="223">
        <v>0</v>
      </c>
      <c r="O234" s="243" t="s">
        <v>371</v>
      </c>
      <c r="P234" s="223">
        <v>1</v>
      </c>
      <c r="Q234" s="243" t="s">
        <v>16</v>
      </c>
      <c r="R234" s="223">
        <v>0</v>
      </c>
      <c r="S234" s="243" t="s">
        <v>16</v>
      </c>
      <c r="T234" s="226" t="s">
        <v>1247</v>
      </c>
      <c r="U234" s="226" t="s">
        <v>386</v>
      </c>
      <c r="V234" s="228" t="s">
        <v>16</v>
      </c>
      <c r="W234" s="227">
        <v>65</v>
      </c>
      <c r="X234" s="228" t="s">
        <v>16</v>
      </c>
      <c r="Y234" s="228" t="s">
        <v>16</v>
      </c>
      <c r="Z234" s="240">
        <f t="shared" ref="Z234" si="51">SUM(V234:Y234)</f>
        <v>65</v>
      </c>
      <c r="AA234" s="229">
        <v>25</v>
      </c>
      <c r="AB234" s="240">
        <f t="shared" si="50"/>
        <v>90</v>
      </c>
      <c r="AC234" s="230" t="s">
        <v>304</v>
      </c>
      <c r="AD234" s="242" t="s">
        <v>3471</v>
      </c>
      <c r="AE234" s="238">
        <v>45510</v>
      </c>
      <c r="AF234" s="219" t="s">
        <v>3995</v>
      </c>
      <c r="AG234" s="232">
        <v>5.71</v>
      </c>
      <c r="AH234" s="230">
        <v>5.53</v>
      </c>
      <c r="AI234" s="330" t="s">
        <v>304</v>
      </c>
      <c r="AJ234" s="223">
        <v>100033</v>
      </c>
      <c r="AK234" s="238">
        <v>45555</v>
      </c>
      <c r="AL234" s="255" t="s">
        <v>3823</v>
      </c>
    </row>
    <row r="235" spans="1:38" s="236" customFormat="1" ht="39.6" customHeight="1" x14ac:dyDescent="0.3">
      <c r="A235" s="257">
        <v>45453</v>
      </c>
      <c r="B235" s="250" t="s">
        <v>3472</v>
      </c>
      <c r="C235" s="218" t="s">
        <v>2487</v>
      </c>
      <c r="D235" s="222" t="str">
        <f>VLOOKUP($C235,Customers!$A$2:$Z$1010,2,FALSE)</f>
        <v>Kim Cuddington</v>
      </c>
      <c r="E235" s="583" t="s">
        <v>2058</v>
      </c>
      <c r="F235" s="222" t="str">
        <f xml:space="preserve"> VLOOKUP($C235,Customers!$A$2:$Z$1010,5,FALSE)</f>
        <v>University of Waterloo</v>
      </c>
      <c r="G235" s="222" t="str">
        <f>VLOOKUP($C235,Customers!$A$2:$Z$1010,10,FALSE) &amp; ", " &amp; VLOOKUP($C235,Customers!$A$2:$Z$1010,11,FALSE)</f>
        <v>Waterloo, ON</v>
      </c>
      <c r="H235" s="222" t="str">
        <f>VLOOKUP($C235,Customers!$A$2:$Z$1010,13,FALSE)</f>
        <v>Canada</v>
      </c>
      <c r="I235" s="222" t="str">
        <f>VLOOKUP($C235,Customers!$A$2:$Z$1010,18,FALSE)</f>
        <v>CA</v>
      </c>
      <c r="J235" s="223" t="s">
        <v>306</v>
      </c>
      <c r="K235" s="243" t="s">
        <v>16</v>
      </c>
      <c r="L235" s="223">
        <v>0</v>
      </c>
      <c r="M235" s="224">
        <v>0</v>
      </c>
      <c r="N235" s="223">
        <v>0</v>
      </c>
      <c r="O235" s="243" t="s">
        <v>371</v>
      </c>
      <c r="P235" s="223">
        <v>2</v>
      </c>
      <c r="Q235" s="243" t="s">
        <v>16</v>
      </c>
      <c r="R235" s="223">
        <v>0</v>
      </c>
      <c r="S235" s="243" t="s">
        <v>16</v>
      </c>
      <c r="T235" s="226" t="s">
        <v>3473</v>
      </c>
      <c r="U235" s="226" t="s">
        <v>3356</v>
      </c>
      <c r="V235" s="228" t="s">
        <v>16</v>
      </c>
      <c r="W235" s="227">
        <f>55*2</f>
        <v>110</v>
      </c>
      <c r="X235" s="228" t="s">
        <v>16</v>
      </c>
      <c r="Y235" s="228" t="s">
        <v>16</v>
      </c>
      <c r="Z235" s="240">
        <f t="shared" ref="Z235" si="52">SUM(V235:Y235)</f>
        <v>110</v>
      </c>
      <c r="AA235" s="230" t="s">
        <v>308</v>
      </c>
      <c r="AB235" s="240">
        <f t="shared" si="50"/>
        <v>110</v>
      </c>
      <c r="AC235" s="230" t="s">
        <v>304</v>
      </c>
      <c r="AD235" s="242" t="s">
        <v>16</v>
      </c>
      <c r="AE235" s="231">
        <v>45457</v>
      </c>
      <c r="AF235" s="256" t="s">
        <v>423</v>
      </c>
      <c r="AG235" s="232" t="s">
        <v>308</v>
      </c>
      <c r="AH235" s="230" t="s">
        <v>308</v>
      </c>
      <c r="AI235" s="223" t="s">
        <v>308</v>
      </c>
      <c r="AJ235" s="223" t="s">
        <v>308</v>
      </c>
      <c r="AK235" s="234">
        <v>45548</v>
      </c>
      <c r="AL235" s="252" t="s">
        <v>3996</v>
      </c>
    </row>
    <row r="236" spans="1:38" s="236" customFormat="1" ht="39.6" x14ac:dyDescent="0.3">
      <c r="A236" s="257">
        <v>45455</v>
      </c>
      <c r="B236" s="250" t="s">
        <v>3474</v>
      </c>
      <c r="C236" s="218" t="s">
        <v>2598</v>
      </c>
      <c r="D236" s="222" t="str">
        <f>VLOOKUP($C236,Customers!$A$2:$Z$1010,2,FALSE)</f>
        <v>Joey Bernhardt</v>
      </c>
      <c r="E236" s="583" t="s">
        <v>2605</v>
      </c>
      <c r="F236" s="222" t="str">
        <f xml:space="preserve"> VLOOKUP($C236,Customers!$A$2:$Z$1010,5,FALSE)</f>
        <v>University of Guelph</v>
      </c>
      <c r="G236" s="222" t="str">
        <f>VLOOKUP($C236,Customers!$A$2:$Z$1010,10,FALSE) &amp; ", " &amp; VLOOKUP($C236,Customers!$A$2:$Z$1010,11,FALSE)</f>
        <v>Guelph, ON</v>
      </c>
      <c r="H236" s="222" t="str">
        <f>VLOOKUP($C236,Customers!$A$2:$Z$1010,13,FALSE)</f>
        <v>Canada</v>
      </c>
      <c r="I236" s="222" t="str">
        <f>VLOOKUP($C236,Customers!$A$2:$Z$1010,18,FALSE)</f>
        <v>CA</v>
      </c>
      <c r="J236" s="251" t="s">
        <v>304</v>
      </c>
      <c r="K236" s="243">
        <v>243</v>
      </c>
      <c r="L236" s="223">
        <v>1</v>
      </c>
      <c r="M236" s="224">
        <v>15</v>
      </c>
      <c r="N236" s="223">
        <f>1</f>
        <v>1</v>
      </c>
      <c r="O236" s="243" t="s">
        <v>16</v>
      </c>
      <c r="P236" s="223">
        <v>0</v>
      </c>
      <c r="Q236" s="243" t="s">
        <v>16</v>
      </c>
      <c r="R236" s="223">
        <v>0</v>
      </c>
      <c r="S236" s="243" t="s">
        <v>16</v>
      </c>
      <c r="T236" s="226" t="s">
        <v>3475</v>
      </c>
      <c r="U236" s="313" t="s">
        <v>402</v>
      </c>
      <c r="V236" s="228">
        <v>150</v>
      </c>
      <c r="W236" s="228" t="s">
        <v>16</v>
      </c>
      <c r="X236" s="228" t="s">
        <v>16</v>
      </c>
      <c r="Y236" s="228" t="s">
        <v>16</v>
      </c>
      <c r="Z236" s="229">
        <f>150</f>
        <v>150</v>
      </c>
      <c r="AA236" s="230" t="s">
        <v>308</v>
      </c>
      <c r="AB236" s="240">
        <f t="shared" si="50"/>
        <v>150</v>
      </c>
      <c r="AC236" s="230" t="s">
        <v>304</v>
      </c>
      <c r="AD236" s="242" t="s">
        <v>3476</v>
      </c>
      <c r="AE236" s="231">
        <v>45460</v>
      </c>
      <c r="AF236" s="256" t="s">
        <v>3477</v>
      </c>
      <c r="AG236" s="232" t="s">
        <v>308</v>
      </c>
      <c r="AH236" s="230" t="s">
        <v>308</v>
      </c>
      <c r="AI236" s="330" t="s">
        <v>304</v>
      </c>
      <c r="AJ236" s="233">
        <v>103794</v>
      </c>
      <c r="AK236" s="234">
        <v>45506</v>
      </c>
      <c r="AL236" s="260" t="s">
        <v>3997</v>
      </c>
    </row>
    <row r="237" spans="1:38" s="236" customFormat="1" ht="39.6" x14ac:dyDescent="0.3">
      <c r="A237" s="257">
        <v>45456</v>
      </c>
      <c r="B237" s="224" t="s">
        <v>3478</v>
      </c>
      <c r="C237" s="218" t="s">
        <v>1036</v>
      </c>
      <c r="D237" s="222" t="str">
        <f>VLOOKUP($C237,Customers!$A$2:$Z$1010,2,FALSE)</f>
        <v>Karyne Plante</v>
      </c>
      <c r="E237" s="583" t="s">
        <v>16</v>
      </c>
      <c r="F237" s="222" t="str">
        <f xml:space="preserve"> VLOOKUP($C237,Customers!$A$2:$Z$1010,5,FALSE)</f>
        <v>Eurofins - EnvironeX</v>
      </c>
      <c r="G237" s="222" t="str">
        <f>VLOOKUP($C237,Customers!$A$2:$Z$1010,10,FALSE) &amp; ", " &amp; VLOOKUP($C237,Customers!$A$2:$Z$1010,11,FALSE)</f>
        <v>Quebec, QC</v>
      </c>
      <c r="H237" s="222" t="str">
        <f>VLOOKUP($C237,Customers!$A$2:$Z$1010,13,FALSE)</f>
        <v>Canada</v>
      </c>
      <c r="I237" s="222" t="str">
        <f>VLOOKUP($C237,Customers!$A$2:$Z$1010,18,FALSE)</f>
        <v>CC</v>
      </c>
      <c r="J237" s="223" t="s">
        <v>306</v>
      </c>
      <c r="K237" s="243" t="s">
        <v>320</v>
      </c>
      <c r="L237" s="223">
        <v>2</v>
      </c>
      <c r="M237" s="224" t="s">
        <v>1977</v>
      </c>
      <c r="N237" s="223">
        <f>1+1</f>
        <v>2</v>
      </c>
      <c r="O237" s="243" t="s">
        <v>16</v>
      </c>
      <c r="P237" s="223">
        <v>0</v>
      </c>
      <c r="Q237" s="243" t="s">
        <v>16</v>
      </c>
      <c r="R237" s="223">
        <v>0</v>
      </c>
      <c r="S237" s="243" t="s">
        <v>16</v>
      </c>
      <c r="T237" s="226" t="s">
        <v>357</v>
      </c>
      <c r="U237" s="226" t="s">
        <v>420</v>
      </c>
      <c r="V237" s="228">
        <f>200*2</f>
        <v>400</v>
      </c>
      <c r="W237" s="228" t="s">
        <v>16</v>
      </c>
      <c r="X237" s="228" t="s">
        <v>16</v>
      </c>
      <c r="Y237" s="228" t="s">
        <v>16</v>
      </c>
      <c r="Z237" s="229">
        <f>200*2</f>
        <v>400</v>
      </c>
      <c r="AA237" s="230">
        <v>25</v>
      </c>
      <c r="AB237" s="240">
        <f t="shared" si="50"/>
        <v>425</v>
      </c>
      <c r="AC237" s="230" t="s">
        <v>304</v>
      </c>
      <c r="AD237" s="342" t="s">
        <v>3479</v>
      </c>
      <c r="AE237" s="231">
        <v>45468</v>
      </c>
      <c r="AF237" s="219" t="s">
        <v>3480</v>
      </c>
      <c r="AG237" s="232">
        <v>5.09</v>
      </c>
      <c r="AH237" s="675">
        <v>4.93</v>
      </c>
      <c r="AI237" s="758" t="s">
        <v>304</v>
      </c>
      <c r="AJ237" s="223">
        <v>104582</v>
      </c>
      <c r="AK237" s="234">
        <v>45517</v>
      </c>
      <c r="AL237" s="255" t="s">
        <v>3481</v>
      </c>
    </row>
    <row r="238" spans="1:38" s="236" customFormat="1" ht="52.8" x14ac:dyDescent="0.3">
      <c r="A238" s="257">
        <v>45461</v>
      </c>
      <c r="B238" s="224" t="s">
        <v>3482</v>
      </c>
      <c r="C238" s="224" t="s">
        <v>2259</v>
      </c>
      <c r="D238" s="222" t="str">
        <f>VLOOKUP($C238,Customers!$A$2:$Z$1010,2,FALSE)</f>
        <v>Ellen Fanning</v>
      </c>
      <c r="E238" s="583" t="s">
        <v>16</v>
      </c>
      <c r="F238" s="222" t="str">
        <f xml:space="preserve"> VLOOKUP($C238,Customers!$A$2:$Z$1010,5,FALSE)</f>
        <v>Huntsman Marine Science Centre</v>
      </c>
      <c r="G238" s="222" t="str">
        <f>VLOOKUP($C238,Customers!$A$2:$Z$1010,10,FALSE) &amp; ", " &amp; VLOOKUP($C238,Customers!$A$2:$Z$1010,11,FALSE)</f>
        <v>Saint Andrews, NB</v>
      </c>
      <c r="H238" s="222" t="str">
        <f>VLOOKUP($C238,Customers!$A$2:$Z$1010,13,FALSE)</f>
        <v>Canada</v>
      </c>
      <c r="I238" s="222" t="str">
        <f>VLOOKUP($C238,Customers!$A$2:$Z$1010,18,FALSE)</f>
        <v>CA</v>
      </c>
      <c r="J238" s="223" t="s">
        <v>306</v>
      </c>
      <c r="K238" s="243" t="s">
        <v>16</v>
      </c>
      <c r="L238" s="223">
        <v>0</v>
      </c>
      <c r="M238" s="224">
        <v>0</v>
      </c>
      <c r="N238" s="223">
        <v>0</v>
      </c>
      <c r="O238" s="243" t="s">
        <v>16</v>
      </c>
      <c r="P238" s="223">
        <v>0</v>
      </c>
      <c r="Q238" s="243" t="s">
        <v>323</v>
      </c>
      <c r="R238" s="223">
        <v>1100</v>
      </c>
      <c r="S238" s="243" t="s">
        <v>16</v>
      </c>
      <c r="T238" s="226" t="s">
        <v>3483</v>
      </c>
      <c r="U238" s="226" t="s">
        <v>3484</v>
      </c>
      <c r="V238" s="228" t="s">
        <v>16</v>
      </c>
      <c r="W238" s="228" t="s">
        <v>16</v>
      </c>
      <c r="X238" s="228">
        <v>285</v>
      </c>
      <c r="Y238" s="228" t="s">
        <v>16</v>
      </c>
      <c r="Z238" s="229">
        <f>285</f>
        <v>285</v>
      </c>
      <c r="AA238" s="230">
        <v>30</v>
      </c>
      <c r="AB238" s="240">
        <f t="shared" si="50"/>
        <v>315</v>
      </c>
      <c r="AC238" s="230" t="s">
        <v>304</v>
      </c>
      <c r="AD238" s="342" t="s">
        <v>3485</v>
      </c>
      <c r="AE238" s="231">
        <v>45467</v>
      </c>
      <c r="AF238" s="219" t="s">
        <v>3486</v>
      </c>
      <c r="AG238" s="232">
        <v>25.17</v>
      </c>
      <c r="AH238" s="675">
        <v>22.75</v>
      </c>
      <c r="AI238" s="758" t="s">
        <v>304</v>
      </c>
      <c r="AJ238" s="223">
        <v>106159</v>
      </c>
      <c r="AK238" s="234">
        <v>45513</v>
      </c>
      <c r="AL238" s="676" t="s">
        <v>3329</v>
      </c>
    </row>
    <row r="239" spans="1:38" s="236" customFormat="1" ht="39.6" x14ac:dyDescent="0.3">
      <c r="A239" s="257">
        <v>45461</v>
      </c>
      <c r="B239" s="224" t="s">
        <v>3487</v>
      </c>
      <c r="C239" s="224" t="s">
        <v>1033</v>
      </c>
      <c r="D239" s="222" t="str">
        <f>VLOOKUP($C239,Customers!$A$2:$Z$1010,2,FALSE)</f>
        <v>Charles (Chuck) Hopper</v>
      </c>
      <c r="E239" s="583" t="s">
        <v>2610</v>
      </c>
      <c r="F239" s="222" t="str">
        <f xml:space="preserve"> VLOOKUP($C239,Customers!$A$2:$Z$1010,5,FALSE)</f>
        <v>Environment and Climate Change Canada (ECCC) - Atlantic Laboratory for Environmental Testing (ALET)</v>
      </c>
      <c r="G239" s="222" t="str">
        <f>VLOOKUP($C239,Customers!$A$2:$Z$1010,10,FALSE) &amp; ", " &amp; VLOOKUP($C239,Customers!$A$2:$Z$1010,11,FALSE)</f>
        <v>Moncton, NB</v>
      </c>
      <c r="H239" s="222" t="str">
        <f>VLOOKUP($C239,Customers!$A$2:$Z$1010,13,FALSE)</f>
        <v>Canada</v>
      </c>
      <c r="I239" s="222" t="str">
        <f>VLOOKUP($C239,Customers!$A$2:$Z$1010,18,FALSE)</f>
        <v>CG</v>
      </c>
      <c r="J239" s="223" t="s">
        <v>306</v>
      </c>
      <c r="K239" s="243" t="s">
        <v>2305</v>
      </c>
      <c r="L239" s="223">
        <v>2</v>
      </c>
      <c r="M239" s="224" t="s">
        <v>3488</v>
      </c>
      <c r="N239" s="223">
        <f>3+1</f>
        <v>4</v>
      </c>
      <c r="O239" s="243" t="s">
        <v>16</v>
      </c>
      <c r="P239" s="223">
        <v>0</v>
      </c>
      <c r="Q239" s="243" t="s">
        <v>16</v>
      </c>
      <c r="R239" s="223">
        <v>0</v>
      </c>
      <c r="S239" s="243" t="s">
        <v>16</v>
      </c>
      <c r="T239" s="226" t="s">
        <v>3489</v>
      </c>
      <c r="U239" s="226" t="s">
        <v>3490</v>
      </c>
      <c r="V239" s="228">
        <f>220+150</f>
        <v>370</v>
      </c>
      <c r="W239" s="228" t="s">
        <v>16</v>
      </c>
      <c r="X239" s="228" t="s">
        <v>16</v>
      </c>
      <c r="Y239" s="228" t="s">
        <v>16</v>
      </c>
      <c r="Z239" s="229">
        <f>220+150</f>
        <v>370</v>
      </c>
      <c r="AA239" s="230">
        <v>30</v>
      </c>
      <c r="AB239" s="240">
        <f t="shared" si="50"/>
        <v>400</v>
      </c>
      <c r="AC239" s="230" t="s">
        <v>304</v>
      </c>
      <c r="AD239" s="242" t="s">
        <v>16</v>
      </c>
      <c r="AE239" s="231">
        <v>45467</v>
      </c>
      <c r="AF239" s="219" t="s">
        <v>3491</v>
      </c>
      <c r="AG239" s="232">
        <v>25.17</v>
      </c>
      <c r="AH239" s="675">
        <v>22.75</v>
      </c>
      <c r="AI239" s="758" t="s">
        <v>304</v>
      </c>
      <c r="AJ239" s="223">
        <v>103165</v>
      </c>
      <c r="AK239" s="234">
        <v>45513</v>
      </c>
      <c r="AL239" s="235" t="s">
        <v>2417</v>
      </c>
    </row>
    <row r="240" spans="1:38" s="236" customFormat="1" ht="158.4" customHeight="1" x14ac:dyDescent="0.3">
      <c r="A240" s="257">
        <v>45462</v>
      </c>
      <c r="B240" s="224" t="s">
        <v>3492</v>
      </c>
      <c r="C240" s="218" t="s">
        <v>2533</v>
      </c>
      <c r="D240" s="222" t="str">
        <f>VLOOKUP($C240,Customers!$A$2:$Z$1010,2,FALSE)</f>
        <v>Rowan Sage</v>
      </c>
      <c r="E240" s="293" t="s">
        <v>2568</v>
      </c>
      <c r="F240" s="222" t="str">
        <f xml:space="preserve"> VLOOKUP($C240,Customers!$A$2:$Z$1010,5,FALSE)</f>
        <v>University of Toronto</v>
      </c>
      <c r="G240" s="222" t="str">
        <f>VLOOKUP($C240,Customers!$A$2:$Z$1010,10,FALSE) &amp; ", " &amp; VLOOKUP($C240,Customers!$A$2:$Z$1010,11,FALSE)</f>
        <v>Toronto, ON</v>
      </c>
      <c r="H240" s="222" t="str">
        <f>VLOOKUP($C240,Customers!$A$2:$Z$1010,13,FALSE)</f>
        <v>Canada</v>
      </c>
      <c r="I240" s="222" t="str">
        <f>VLOOKUP($C240,Customers!$A$2:$Z$1010,18,FALSE)</f>
        <v>CA</v>
      </c>
      <c r="J240" s="218" t="s">
        <v>306</v>
      </c>
      <c r="K240" s="224" t="s">
        <v>4244</v>
      </c>
      <c r="L240" s="218">
        <v>13</v>
      </c>
      <c r="M240" s="224" t="s">
        <v>4245</v>
      </c>
      <c r="N240" s="218">
        <f>3+3+3+3+3+3+3+3+3+3+3+3+3+1</f>
        <v>40</v>
      </c>
      <c r="O240" s="225" t="s">
        <v>16</v>
      </c>
      <c r="P240" s="224">
        <v>0</v>
      </c>
      <c r="Q240" s="243" t="s">
        <v>16</v>
      </c>
      <c r="R240" s="224">
        <v>0</v>
      </c>
      <c r="S240" s="224" t="s">
        <v>16</v>
      </c>
      <c r="T240" s="301" t="s">
        <v>3493</v>
      </c>
      <c r="U240" s="301" t="s">
        <v>3998</v>
      </c>
      <c r="V240" s="227">
        <f>(175*13)+310</f>
        <v>2585</v>
      </c>
      <c r="W240" s="228" t="s">
        <v>16</v>
      </c>
      <c r="X240" s="228" t="s">
        <v>16</v>
      </c>
      <c r="Y240" s="228" t="s">
        <v>16</v>
      </c>
      <c r="Z240" s="241">
        <f>310+(175*13)</f>
        <v>2585</v>
      </c>
      <c r="AA240" s="241" t="s">
        <v>308</v>
      </c>
      <c r="AB240" s="240">
        <f t="shared" si="50"/>
        <v>2585</v>
      </c>
      <c r="AC240" s="230" t="s">
        <v>304</v>
      </c>
      <c r="AD240" s="243" t="s">
        <v>16</v>
      </c>
      <c r="AE240" s="231">
        <v>45533</v>
      </c>
      <c r="AF240" s="219" t="s">
        <v>3999</v>
      </c>
      <c r="AG240" s="230" t="s">
        <v>308</v>
      </c>
      <c r="AH240" s="230" t="s">
        <v>308</v>
      </c>
      <c r="AI240" s="322" t="s">
        <v>304</v>
      </c>
      <c r="AJ240" s="233">
        <v>103819</v>
      </c>
      <c r="AK240" s="231">
        <v>45569</v>
      </c>
      <c r="AL240" s="252" t="s">
        <v>4000</v>
      </c>
    </row>
    <row r="241" spans="1:38" s="236" customFormat="1" ht="28.95" customHeight="1" x14ac:dyDescent="0.3">
      <c r="A241" s="257">
        <v>45464</v>
      </c>
      <c r="B241" s="250" t="s">
        <v>3494</v>
      </c>
      <c r="C241" s="218" t="s">
        <v>2429</v>
      </c>
      <c r="D241" s="222" t="str">
        <f>VLOOKUP($C241,Customers!$A$2:$Z$1010,2,FALSE)</f>
        <v>David Janz</v>
      </c>
      <c r="E241" s="583" t="s">
        <v>16</v>
      </c>
      <c r="F241" s="222" t="str">
        <f xml:space="preserve"> VLOOKUP($C241,Customers!$A$2:$Z$1010,5,FALSE)</f>
        <v>University of Saskatchewan</v>
      </c>
      <c r="G241" s="222" t="str">
        <f>VLOOKUP($C241,Customers!$A$2:$Z$1010,10,FALSE) &amp; ", " &amp; VLOOKUP($C241,Customers!$A$2:$Z$1010,11,FALSE)</f>
        <v>Saskatoon, SK</v>
      </c>
      <c r="H241" s="222" t="str">
        <f>VLOOKUP($C241,Customers!$A$2:$Z$1010,13,FALSE)</f>
        <v>Canada</v>
      </c>
      <c r="I241" s="222" t="str">
        <f>VLOOKUP($C241,Customers!$A$2:$Z$1010,18,FALSE)</f>
        <v>CA</v>
      </c>
      <c r="J241" s="218" t="s">
        <v>306</v>
      </c>
      <c r="K241" s="224">
        <v>562</v>
      </c>
      <c r="L241" s="224">
        <v>1</v>
      </c>
      <c r="M241" s="224">
        <v>15</v>
      </c>
      <c r="N241" s="224">
        <f>1</f>
        <v>1</v>
      </c>
      <c r="O241" s="225" t="s">
        <v>16</v>
      </c>
      <c r="P241" s="224">
        <v>0</v>
      </c>
      <c r="Q241" s="243" t="s">
        <v>16</v>
      </c>
      <c r="R241" s="224">
        <v>0</v>
      </c>
      <c r="S241" s="224" t="s">
        <v>16</v>
      </c>
      <c r="T241" s="1136" t="s">
        <v>3495</v>
      </c>
      <c r="U241" s="1136" t="s">
        <v>3496</v>
      </c>
      <c r="V241" s="1128">
        <v>195</v>
      </c>
      <c r="W241" s="1120" t="s">
        <v>16</v>
      </c>
      <c r="X241" s="1120" t="s">
        <v>16</v>
      </c>
      <c r="Y241" s="1120" t="s">
        <v>16</v>
      </c>
      <c r="Z241" s="1127">
        <v>195</v>
      </c>
      <c r="AA241" s="1127">
        <v>40</v>
      </c>
      <c r="AB241" s="1127">
        <f>SUM(Z241:AA241)</f>
        <v>235</v>
      </c>
      <c r="AC241" s="1137" t="s">
        <v>304</v>
      </c>
      <c r="AD241" s="1138" t="s">
        <v>16</v>
      </c>
      <c r="AE241" s="1130">
        <v>45489</v>
      </c>
      <c r="AF241" s="1139" t="s">
        <v>3497</v>
      </c>
      <c r="AG241" s="1128">
        <v>31.99</v>
      </c>
      <c r="AH241" s="1121">
        <v>30.97</v>
      </c>
      <c r="AI241" s="1124" t="s">
        <v>304</v>
      </c>
      <c r="AJ241" s="1125">
        <v>103813</v>
      </c>
      <c r="AK241" s="737">
        <v>45517</v>
      </c>
      <c r="AL241" s="1126" t="s">
        <v>3498</v>
      </c>
    </row>
    <row r="242" spans="1:38" s="236" customFormat="1" ht="30.6" customHeight="1" x14ac:dyDescent="0.3">
      <c r="A242" s="257">
        <v>45464</v>
      </c>
      <c r="B242" s="250" t="s">
        <v>3499</v>
      </c>
      <c r="C242" s="218" t="s">
        <v>2500</v>
      </c>
      <c r="D242" s="222" t="str">
        <f>VLOOKUP($C242,Customers!$A$2:$Z$1010,2,FALSE)</f>
        <v>Markus Hecker</v>
      </c>
      <c r="E242" s="583" t="s">
        <v>16</v>
      </c>
      <c r="F242" s="222" t="str">
        <f xml:space="preserve"> VLOOKUP($C242,Customers!$A$2:$Z$1010,5,FALSE)</f>
        <v>University of Saskatchewan</v>
      </c>
      <c r="G242" s="222" t="str">
        <f>VLOOKUP($C242,Customers!$A$2:$Z$1010,10,FALSE) &amp; ", " &amp; VLOOKUP($C242,Customers!$A$2:$Z$1010,11,FALSE)</f>
        <v>Saskatoon, SK</v>
      </c>
      <c r="H242" s="222" t="str">
        <f>VLOOKUP($C242,Customers!$A$2:$Z$1010,13,FALSE)</f>
        <v>Canada</v>
      </c>
      <c r="I242" s="222" t="str">
        <f>VLOOKUP($C242,Customers!$A$2:$Z$1010,18,FALSE)</f>
        <v>CA</v>
      </c>
      <c r="J242" s="218" t="s">
        <v>304</v>
      </c>
      <c r="K242" s="224">
        <v>562</v>
      </c>
      <c r="L242" s="224">
        <v>1</v>
      </c>
      <c r="M242" s="224">
        <v>15</v>
      </c>
      <c r="N242" s="224">
        <f>1</f>
        <v>1</v>
      </c>
      <c r="O242" s="225" t="s">
        <v>16</v>
      </c>
      <c r="P242" s="224">
        <v>0</v>
      </c>
      <c r="Q242" s="243" t="s">
        <v>16</v>
      </c>
      <c r="R242" s="224">
        <v>0</v>
      </c>
      <c r="S242" s="224" t="s">
        <v>16</v>
      </c>
      <c r="T242" s="1136"/>
      <c r="U242" s="1136"/>
      <c r="V242" s="1128"/>
      <c r="W242" s="1120"/>
      <c r="X242" s="1120"/>
      <c r="Y242" s="1120"/>
      <c r="Z242" s="1127"/>
      <c r="AA242" s="1127"/>
      <c r="AB242" s="1127"/>
      <c r="AC242" s="1137"/>
      <c r="AD242" s="1138"/>
      <c r="AE242" s="1130"/>
      <c r="AF242" s="1139"/>
      <c r="AG242" s="1128"/>
      <c r="AH242" s="1121"/>
      <c r="AI242" s="1124"/>
      <c r="AJ242" s="1125"/>
      <c r="AK242" s="737"/>
      <c r="AL242" s="1126"/>
    </row>
    <row r="243" spans="1:38" s="236" customFormat="1" ht="52.8" x14ac:dyDescent="0.3">
      <c r="A243" s="257">
        <v>45469</v>
      </c>
      <c r="B243" s="250" t="s">
        <v>3500</v>
      </c>
      <c r="C243" s="218" t="s">
        <v>2267</v>
      </c>
      <c r="D243" s="222" t="str">
        <f>VLOOKUP($C243,Customers!$A$2:$Z$1010,2,FALSE)</f>
        <v>Xuexiu Chang</v>
      </c>
      <c r="E243" s="293" t="s">
        <v>2615</v>
      </c>
      <c r="F243" s="222" t="str">
        <f xml:space="preserve"> VLOOKUP($C243,Customers!$A$2:$Z$1010,5,FALSE)</f>
        <v>University of Windsor - Great Lakes Institute for Environmental Research (GLIER)</v>
      </c>
      <c r="G243" s="222" t="str">
        <f>VLOOKUP($C243,Customers!$A$2:$Z$1010,10,FALSE) &amp; ", " &amp; VLOOKUP($C243,Customers!$A$2:$Z$1010,11,FALSE)</f>
        <v xml:space="preserve"> Windsor, ON</v>
      </c>
      <c r="H243" s="222" t="str">
        <f>VLOOKUP($C243,Customers!$A$2:$Z$1010,13,FALSE)</f>
        <v>Canada</v>
      </c>
      <c r="I243" s="222" t="str">
        <f>VLOOKUP($C243,Customers!$A$2:$Z$1010,18,FALSE)</f>
        <v>CA</v>
      </c>
      <c r="J243" s="218" t="s">
        <v>306</v>
      </c>
      <c r="K243" s="224">
        <v>90</v>
      </c>
      <c r="L243" s="224">
        <v>1</v>
      </c>
      <c r="M243" s="224">
        <v>15</v>
      </c>
      <c r="N243" s="224">
        <f>1</f>
        <v>1</v>
      </c>
      <c r="O243" s="225" t="s">
        <v>16</v>
      </c>
      <c r="P243" s="224">
        <v>0</v>
      </c>
      <c r="Q243" s="224" t="s">
        <v>323</v>
      </c>
      <c r="R243" s="224">
        <v>55</v>
      </c>
      <c r="S243" s="224" t="s">
        <v>16</v>
      </c>
      <c r="T243" s="301" t="s">
        <v>3501</v>
      </c>
      <c r="U243" s="301" t="s">
        <v>3502</v>
      </c>
      <c r="V243" s="232">
        <v>150</v>
      </c>
      <c r="W243" s="247" t="s">
        <v>16</v>
      </c>
      <c r="X243" s="232">
        <v>70</v>
      </c>
      <c r="Y243" s="247" t="s">
        <v>16</v>
      </c>
      <c r="Z243" s="761">
        <f>150+70</f>
        <v>220</v>
      </c>
      <c r="AA243" s="302">
        <v>25</v>
      </c>
      <c r="AB243" s="302">
        <f t="shared" si="50"/>
        <v>245</v>
      </c>
      <c r="AC243" s="241" t="s">
        <v>304</v>
      </c>
      <c r="AD243" s="243" t="s">
        <v>3503</v>
      </c>
      <c r="AE243" s="257">
        <v>45475</v>
      </c>
      <c r="AF243" s="293" t="s">
        <v>3504</v>
      </c>
      <c r="AG243" s="241">
        <v>6.81</v>
      </c>
      <c r="AH243" s="241">
        <v>6.23</v>
      </c>
      <c r="AI243" s="245" t="s">
        <v>304</v>
      </c>
      <c r="AJ243" s="762">
        <v>103839</v>
      </c>
      <c r="AK243" s="763">
        <v>45485</v>
      </c>
      <c r="AL243" s="323" t="s">
        <v>3505</v>
      </c>
    </row>
    <row r="244" spans="1:38" s="236" customFormat="1" ht="66" x14ac:dyDescent="0.3">
      <c r="A244" s="257">
        <v>45469</v>
      </c>
      <c r="B244" s="250" t="s">
        <v>3506</v>
      </c>
      <c r="C244" s="283" t="s">
        <v>1021</v>
      </c>
      <c r="D244" s="222" t="str">
        <f>VLOOKUP($C244,Customers!$A$2:$Z$1010,2,FALSE)</f>
        <v>Donald Lai</v>
      </c>
      <c r="E244" s="293" t="s">
        <v>876</v>
      </c>
      <c r="F244" s="222" t="str">
        <f xml:space="preserve"> VLOOKUP($C244,Customers!$A$2:$Z$1010,5,FALSE)</f>
        <v>Bureau Veritas Laboratories - Burnaby</v>
      </c>
      <c r="G244" s="222" t="str">
        <f>VLOOKUP($C244,Customers!$A$2:$Z$1010,10,FALSE) &amp; ", " &amp; VLOOKUP($C244,Customers!$A$2:$Z$1010,11,FALSE)</f>
        <v>Burnaby, BC</v>
      </c>
      <c r="H244" s="222" t="str">
        <f>VLOOKUP($C244,Customers!$A$2:$Z$1010,13,FALSE)</f>
        <v>Canada</v>
      </c>
      <c r="I244" s="222" t="str">
        <f>VLOOKUP($C244,Customers!$A$2:$Z$1010,18,FALSE)</f>
        <v>CC</v>
      </c>
      <c r="J244" s="218" t="s">
        <v>306</v>
      </c>
      <c r="K244" s="224">
        <v>37</v>
      </c>
      <c r="L244" s="224">
        <v>1</v>
      </c>
      <c r="M244" s="224">
        <v>30</v>
      </c>
      <c r="N244" s="224">
        <f>2</f>
        <v>2</v>
      </c>
      <c r="O244" s="225" t="s">
        <v>16</v>
      </c>
      <c r="P244" s="224">
        <v>0</v>
      </c>
      <c r="Q244" s="243" t="s">
        <v>16</v>
      </c>
      <c r="R244" s="224">
        <v>0</v>
      </c>
      <c r="S244" s="224" t="s">
        <v>16</v>
      </c>
      <c r="T244" s="292" t="s">
        <v>415</v>
      </c>
      <c r="U244" s="313" t="s">
        <v>385</v>
      </c>
      <c r="V244" s="232">
        <v>260</v>
      </c>
      <c r="W244" s="247" t="s">
        <v>16</v>
      </c>
      <c r="X244" s="247" t="s">
        <v>16</v>
      </c>
      <c r="Y244" s="247" t="s">
        <v>16</v>
      </c>
      <c r="Z244" s="229">
        <f>260</f>
        <v>260</v>
      </c>
      <c r="AA244" s="229">
        <v>5</v>
      </c>
      <c r="AB244" s="240">
        <f t="shared" si="50"/>
        <v>265</v>
      </c>
      <c r="AC244" s="230" t="s">
        <v>304</v>
      </c>
      <c r="AD244" s="222" t="s">
        <v>3507</v>
      </c>
      <c r="AE244" s="231">
        <v>45475</v>
      </c>
      <c r="AF244" s="219" t="s">
        <v>3508</v>
      </c>
      <c r="AG244" s="241" t="s">
        <v>308</v>
      </c>
      <c r="AH244" s="241" t="s">
        <v>308</v>
      </c>
      <c r="AI244" s="229" t="s">
        <v>304</v>
      </c>
      <c r="AJ244" s="223">
        <v>103380</v>
      </c>
      <c r="AK244" s="234">
        <v>45517</v>
      </c>
      <c r="AL244" s="252" t="s">
        <v>4001</v>
      </c>
    </row>
    <row r="245" spans="1:38" s="281" customFormat="1" ht="53.4" thickBot="1" x14ac:dyDescent="0.35">
      <c r="A245" s="297">
        <v>45471</v>
      </c>
      <c r="B245" s="261" t="s">
        <v>3509</v>
      </c>
      <c r="C245" s="264" t="s">
        <v>2259</v>
      </c>
      <c r="D245" s="264" t="str">
        <f>VLOOKUP($C245,Customers!$A$2:$Z$1010,2,FALSE)</f>
        <v>Ellen Fanning</v>
      </c>
      <c r="E245" s="584" t="s">
        <v>16</v>
      </c>
      <c r="F245" s="264" t="str">
        <f xml:space="preserve"> VLOOKUP($C245,Customers!$A$2:$Z$1010,5,FALSE)</f>
        <v>Huntsman Marine Science Centre</v>
      </c>
      <c r="G245" s="264" t="str">
        <f>VLOOKUP($C245,Customers!$A$2:$Z$1010,10,FALSE) &amp; ", " &amp; VLOOKUP($C245,Customers!$A$2:$Z$1010,11,FALSE)</f>
        <v>Saint Andrews, NB</v>
      </c>
      <c r="H245" s="264" t="str">
        <f>VLOOKUP($C245,Customers!$A$2:$Z$1010,13,FALSE)</f>
        <v>Canada</v>
      </c>
      <c r="I245" s="264" t="str">
        <f>VLOOKUP($C245,Customers!$A$2:$Z$1010,18,FALSE)</f>
        <v>CA</v>
      </c>
      <c r="J245" s="262" t="s">
        <v>306</v>
      </c>
      <c r="K245" s="261">
        <v>37</v>
      </c>
      <c r="L245" s="261">
        <v>1</v>
      </c>
      <c r="M245" s="261">
        <v>15</v>
      </c>
      <c r="N245" s="261">
        <f>1</f>
        <v>1</v>
      </c>
      <c r="O245" s="268" t="s">
        <v>16</v>
      </c>
      <c r="P245" s="261">
        <v>0</v>
      </c>
      <c r="Q245" s="266" t="s">
        <v>16</v>
      </c>
      <c r="R245" s="261">
        <v>0</v>
      </c>
      <c r="S245" s="261" t="s">
        <v>16</v>
      </c>
      <c r="T245" s="269" t="s">
        <v>360</v>
      </c>
      <c r="U245" s="269" t="s">
        <v>402</v>
      </c>
      <c r="V245" s="277">
        <v>150</v>
      </c>
      <c r="W245" s="764" t="s">
        <v>16</v>
      </c>
      <c r="X245" s="764" t="s">
        <v>16</v>
      </c>
      <c r="Y245" s="764" t="s">
        <v>16</v>
      </c>
      <c r="Z245" s="272">
        <f>150</f>
        <v>150</v>
      </c>
      <c r="AA245" s="274">
        <v>25</v>
      </c>
      <c r="AB245" s="273">
        <f t="shared" si="50"/>
        <v>175</v>
      </c>
      <c r="AC245" s="274" t="s">
        <v>304</v>
      </c>
      <c r="AD245" s="765" t="s">
        <v>3510</v>
      </c>
      <c r="AE245" s="276">
        <v>45475</v>
      </c>
      <c r="AF245" s="263" t="s">
        <v>3511</v>
      </c>
      <c r="AG245" s="277">
        <v>20.239999999999998</v>
      </c>
      <c r="AH245" s="296">
        <v>18.29</v>
      </c>
      <c r="AI245" s="766" t="s">
        <v>304</v>
      </c>
      <c r="AJ245" s="265">
        <v>106159</v>
      </c>
      <c r="AK245" s="289">
        <v>45517</v>
      </c>
      <c r="AL245" s="677" t="s">
        <v>3329</v>
      </c>
    </row>
    <row r="246" spans="1:38" s="236" customFormat="1" ht="39.6" customHeight="1" x14ac:dyDescent="0.3">
      <c r="A246" s="257">
        <v>45475</v>
      </c>
      <c r="B246" s="218" t="s">
        <v>3512</v>
      </c>
      <c r="C246" s="222" t="s">
        <v>2621</v>
      </c>
      <c r="D246" s="222" t="str">
        <f>VLOOKUP($C246,Customers!$A$2:$Z$1010,2,FALSE)</f>
        <v>James Weaver</v>
      </c>
      <c r="E246" s="293" t="s">
        <v>2626</v>
      </c>
      <c r="F246" s="222" t="str">
        <f xml:space="preserve"> VLOOKUP($C246,Customers!$A$2:$Z$1010,5,FALSE)</f>
        <v>Cambridge Isotope Laboratories (CIL) Canada</v>
      </c>
      <c r="G246" s="222" t="str">
        <f>VLOOKUP($C246,Customers!$A$2:$Z$1010,10,FALSE) &amp; ", " &amp; VLOOKUP($C246,Customers!$A$2:$Z$1010,11,FALSE)</f>
        <v>St-Laurent, QC</v>
      </c>
      <c r="H246" s="222" t="str">
        <f>VLOOKUP($C246,Customers!$A$2:$Z$1010,13,FALSE)</f>
        <v>Canada</v>
      </c>
      <c r="I246" s="222" t="str">
        <f>VLOOKUP($C246,Customers!$A$2:$Z$1010,18,FALSE)</f>
        <v>CC</v>
      </c>
      <c r="J246" s="218" t="s">
        <v>306</v>
      </c>
      <c r="K246" s="243" t="s">
        <v>16</v>
      </c>
      <c r="L246" s="224">
        <v>0</v>
      </c>
      <c r="M246" s="224">
        <v>0</v>
      </c>
      <c r="N246" s="224">
        <v>0</v>
      </c>
      <c r="O246" s="225" t="s">
        <v>16</v>
      </c>
      <c r="P246" s="224">
        <v>0</v>
      </c>
      <c r="Q246" s="243" t="s">
        <v>16</v>
      </c>
      <c r="R246" s="224">
        <v>0</v>
      </c>
      <c r="S246" s="224" t="s">
        <v>2966</v>
      </c>
      <c r="T246" s="324" t="s">
        <v>2349</v>
      </c>
      <c r="U246" s="301" t="s">
        <v>3513</v>
      </c>
      <c r="V246" s="247" t="s">
        <v>16</v>
      </c>
      <c r="W246" s="247" t="s">
        <v>16</v>
      </c>
      <c r="X246" s="247" t="s">
        <v>16</v>
      </c>
      <c r="Y246" s="232">
        <f>49*17.551</f>
        <v>859.99899999999991</v>
      </c>
      <c r="Z246" s="241">
        <f>49*17.551</f>
        <v>859.99899999999991</v>
      </c>
      <c r="AA246" s="241" t="s">
        <v>308</v>
      </c>
      <c r="AB246" s="240">
        <f t="shared" si="50"/>
        <v>859.99899999999991</v>
      </c>
      <c r="AC246" s="241" t="s">
        <v>308</v>
      </c>
      <c r="AD246" s="243" t="s">
        <v>3514</v>
      </c>
      <c r="AE246" s="257" t="s">
        <v>308</v>
      </c>
      <c r="AF246" s="218" t="s">
        <v>308</v>
      </c>
      <c r="AG246" s="241" t="s">
        <v>308</v>
      </c>
      <c r="AH246" s="241" t="s">
        <v>308</v>
      </c>
      <c r="AI246" s="319" t="s">
        <v>304</v>
      </c>
      <c r="AJ246" s="218">
        <v>103194</v>
      </c>
      <c r="AK246" s="231">
        <v>45485</v>
      </c>
      <c r="AL246" s="323" t="s">
        <v>3515</v>
      </c>
    </row>
    <row r="247" spans="1:38" s="236" customFormat="1" ht="52.8" x14ac:dyDescent="0.3">
      <c r="A247" s="257">
        <v>45477</v>
      </c>
      <c r="B247" s="218" t="s">
        <v>3516</v>
      </c>
      <c r="C247" s="283" t="s">
        <v>1019</v>
      </c>
      <c r="D247" s="222" t="str">
        <f>VLOOKUP($C247,Customers!$A$2:$Z$1010,2,FALSE)</f>
        <v>Jeremy Byrnes</v>
      </c>
      <c r="E247" s="583" t="s">
        <v>16</v>
      </c>
      <c r="F247" s="222" t="str">
        <f xml:space="preserve"> VLOOKUP($C247,Customers!$A$2:$Z$1010,5,FALSE)</f>
        <v>ALS Environmental - Winnipeg</v>
      </c>
      <c r="G247" s="222" t="str">
        <f>VLOOKUP($C247,Customers!$A$2:$Z$1010,10,FALSE) &amp; ", " &amp; VLOOKUP($C247,Customers!$A$2:$Z$1010,11,FALSE)</f>
        <v>Winnipeg, MB</v>
      </c>
      <c r="H247" s="222" t="str">
        <f>VLOOKUP($C247,Customers!$A$2:$Z$1010,13,FALSE)</f>
        <v>Canada</v>
      </c>
      <c r="I247" s="222" t="str">
        <f>VLOOKUP($C247,Customers!$A$2:$Z$1010,18,FALSE)</f>
        <v>CC</v>
      </c>
      <c r="J247" s="218" t="s">
        <v>306</v>
      </c>
      <c r="K247" s="224" t="s">
        <v>3101</v>
      </c>
      <c r="L247" s="224">
        <v>2</v>
      </c>
      <c r="M247" s="224" t="s">
        <v>3102</v>
      </c>
      <c r="N247" s="224">
        <f>6+6</f>
        <v>12</v>
      </c>
      <c r="O247" s="225" t="s">
        <v>16</v>
      </c>
      <c r="P247" s="224">
        <v>0</v>
      </c>
      <c r="Q247" s="243" t="s">
        <v>16</v>
      </c>
      <c r="R247" s="224">
        <v>0</v>
      </c>
      <c r="S247" s="243" t="s">
        <v>16</v>
      </c>
      <c r="T247" s="226" t="s">
        <v>3103</v>
      </c>
      <c r="U247" s="226" t="s">
        <v>3104</v>
      </c>
      <c r="V247" s="232">
        <f>(200*2)+(50*10)</f>
        <v>900</v>
      </c>
      <c r="W247" s="247" t="s">
        <v>16</v>
      </c>
      <c r="X247" s="247" t="s">
        <v>16</v>
      </c>
      <c r="Y247" s="247" t="s">
        <v>16</v>
      </c>
      <c r="Z247" s="240">
        <f t="shared" ref="Z247" si="53">SUM(V247:Y247)</f>
        <v>900</v>
      </c>
      <c r="AA247" s="230">
        <v>30</v>
      </c>
      <c r="AB247" s="240">
        <f t="shared" si="50"/>
        <v>930</v>
      </c>
      <c r="AC247" s="230" t="s">
        <v>304</v>
      </c>
      <c r="AD247" s="242" t="s">
        <v>3517</v>
      </c>
      <c r="AE247" s="231">
        <v>45510</v>
      </c>
      <c r="AF247" s="219" t="s">
        <v>4007</v>
      </c>
      <c r="AG247" s="232">
        <v>23.66</v>
      </c>
      <c r="AH247" s="232">
        <v>22.9</v>
      </c>
      <c r="AI247" s="239" t="s">
        <v>304</v>
      </c>
      <c r="AJ247" s="223">
        <v>102875</v>
      </c>
      <c r="AK247" s="238">
        <v>45562</v>
      </c>
      <c r="AL247" s="255" t="s">
        <v>4002</v>
      </c>
    </row>
    <row r="248" spans="1:38" s="236" customFormat="1" ht="66" x14ac:dyDescent="0.3">
      <c r="A248" s="257">
        <v>45489</v>
      </c>
      <c r="B248" s="224" t="s">
        <v>3518</v>
      </c>
      <c r="C248" s="283" t="s">
        <v>1032</v>
      </c>
      <c r="D248" s="222" t="str">
        <f>VLOOKUP($C248,Customers!$A$2:$Z$1010,2,FALSE)</f>
        <v>Michael (Mike) Chanov</v>
      </c>
      <c r="E248" s="583" t="s">
        <v>16</v>
      </c>
      <c r="F248" s="222" t="str">
        <f xml:space="preserve"> VLOOKUP($C248,Customers!$A$2:$Z$1010,5,FALSE)</f>
        <v>EA Engineering, Science, and Technology, Inc.</v>
      </c>
      <c r="G248" s="222" t="str">
        <f>VLOOKUP($C248,Customers!$A$2:$Z$1010,10,FALSE) &amp; ", " &amp; VLOOKUP($C248,Customers!$A$2:$Z$1010,11,FALSE)</f>
        <v>Hunt Valley, MD</v>
      </c>
      <c r="H248" s="222" t="str">
        <f>VLOOKUP($C248,Customers!$A$2:$Z$1010,13,FALSE)</f>
        <v>USA</v>
      </c>
      <c r="I248" s="222" t="str">
        <f>VLOOKUP($C248,Customers!$A$2:$Z$1010,18,FALSE)</f>
        <v>IC</v>
      </c>
      <c r="J248" s="253" t="s">
        <v>306</v>
      </c>
      <c r="K248" s="224">
        <v>37</v>
      </c>
      <c r="L248" s="251">
        <v>1</v>
      </c>
      <c r="M248" s="224">
        <v>90</v>
      </c>
      <c r="N248" s="251">
        <f>2</f>
        <v>2</v>
      </c>
      <c r="O248" s="225" t="s">
        <v>16</v>
      </c>
      <c r="P248" s="224">
        <v>0</v>
      </c>
      <c r="Q248" s="225" t="s">
        <v>16</v>
      </c>
      <c r="R248" s="224">
        <v>0</v>
      </c>
      <c r="S248" s="224" t="s">
        <v>16</v>
      </c>
      <c r="T248" s="226" t="s">
        <v>2692</v>
      </c>
      <c r="U248" s="226" t="s">
        <v>2693</v>
      </c>
      <c r="V248" s="227">
        <v>340</v>
      </c>
      <c r="W248" s="228" t="s">
        <v>16</v>
      </c>
      <c r="X248" s="228" t="s">
        <v>16</v>
      </c>
      <c r="Y248" s="228" t="s">
        <v>16</v>
      </c>
      <c r="Z248" s="240">
        <f t="shared" ref="Z248" si="54">SUM(V248:Y248)</f>
        <v>340</v>
      </c>
      <c r="AA248" s="302">
        <f>60+25</f>
        <v>85</v>
      </c>
      <c r="AB248" s="240">
        <f t="shared" si="50"/>
        <v>425</v>
      </c>
      <c r="AC248" s="230" t="s">
        <v>304</v>
      </c>
      <c r="AD248" s="242" t="s">
        <v>16</v>
      </c>
      <c r="AE248" s="231">
        <v>45496</v>
      </c>
      <c r="AF248" s="219" t="s">
        <v>3519</v>
      </c>
      <c r="AG248" s="232">
        <v>55.64</v>
      </c>
      <c r="AH248" s="336">
        <v>55.64</v>
      </c>
      <c r="AI248" s="245" t="s">
        <v>304</v>
      </c>
      <c r="AJ248" s="223">
        <v>103127</v>
      </c>
      <c r="AK248" s="231">
        <v>45555</v>
      </c>
      <c r="AL248" s="255" t="s">
        <v>4003</v>
      </c>
    </row>
    <row r="249" spans="1:38" s="218" customFormat="1" ht="66.75" customHeight="1" x14ac:dyDescent="0.3">
      <c r="A249" s="250">
        <v>45491</v>
      </c>
      <c r="B249" s="224" t="s">
        <v>3520</v>
      </c>
      <c r="C249" s="218" t="s">
        <v>2635</v>
      </c>
      <c r="D249" s="222" t="str">
        <f>VLOOKUP($C249,Customers!$A$2:$Z$1010,2,FALSE)</f>
        <v>Christopher (Chris) Thomas DeGroot</v>
      </c>
      <c r="E249" s="293" t="s">
        <v>3521</v>
      </c>
      <c r="F249" s="222" t="str">
        <f xml:space="preserve"> VLOOKUP($C249,Customers!$A$2:$Z$1010,5,FALSE)</f>
        <v>Western University</v>
      </c>
      <c r="G249" s="222" t="str">
        <f>VLOOKUP($C249,Customers!$A$2:$Z$1010,10,FALSE) &amp; ", " &amp; VLOOKUP($C249,Customers!$A$2:$Z$1010,11,FALSE)</f>
        <v>London, ON</v>
      </c>
      <c r="H249" s="222" t="str">
        <f>VLOOKUP($C249,Customers!$A$2:$Z$1010,13,FALSE)</f>
        <v>Canada</v>
      </c>
      <c r="I249" s="222" t="str">
        <f>VLOOKUP($C249,Customers!$A$2:$Z$1010,18,FALSE)</f>
        <v>CA</v>
      </c>
      <c r="J249" s="224" t="s">
        <v>304</v>
      </c>
      <c r="K249" s="224">
        <v>532</v>
      </c>
      <c r="L249" s="224">
        <v>1</v>
      </c>
      <c r="M249" s="224">
        <v>30</v>
      </c>
      <c r="N249" s="224">
        <f>1</f>
        <v>1</v>
      </c>
      <c r="O249" s="243" t="s">
        <v>16</v>
      </c>
      <c r="P249" s="224">
        <v>0</v>
      </c>
      <c r="Q249" s="243" t="s">
        <v>16</v>
      </c>
      <c r="R249" s="224">
        <v>0</v>
      </c>
      <c r="S249" s="767" t="s">
        <v>16</v>
      </c>
      <c r="T249" s="301" t="s">
        <v>3522</v>
      </c>
      <c r="U249" s="301" t="s">
        <v>1322</v>
      </c>
      <c r="V249" s="241">
        <f>195</f>
        <v>195</v>
      </c>
      <c r="W249" s="768" t="s">
        <v>16</v>
      </c>
      <c r="X249" s="768" t="s">
        <v>16</v>
      </c>
      <c r="Y249" s="768" t="s">
        <v>16</v>
      </c>
      <c r="Z249" s="760">
        <f>SUM(V249:Y249)</f>
        <v>195</v>
      </c>
      <c r="AA249" s="679">
        <v>25</v>
      </c>
      <c r="AB249" s="240">
        <f t="shared" si="50"/>
        <v>220</v>
      </c>
      <c r="AC249" s="230" t="s">
        <v>304</v>
      </c>
      <c r="AD249" s="243" t="s">
        <v>3523</v>
      </c>
      <c r="AE249" s="231">
        <v>45510</v>
      </c>
      <c r="AF249" s="219" t="s">
        <v>4008</v>
      </c>
      <c r="AG249" s="232">
        <v>8.09</v>
      </c>
      <c r="AH249" s="232">
        <v>7.4</v>
      </c>
      <c r="AI249" s="678" t="s">
        <v>304</v>
      </c>
      <c r="AJ249" s="769">
        <v>103838</v>
      </c>
      <c r="AK249" s="238">
        <v>45569</v>
      </c>
      <c r="AL249" s="235" t="s">
        <v>4004</v>
      </c>
    </row>
    <row r="250" spans="1:38" s="236" customFormat="1" ht="66" x14ac:dyDescent="0.3">
      <c r="A250" s="257">
        <v>45495</v>
      </c>
      <c r="B250" s="224" t="s">
        <v>3524</v>
      </c>
      <c r="C250" s="218" t="s">
        <v>2639</v>
      </c>
      <c r="D250" s="222" t="str">
        <f>VLOOKUP($C250,Customers!$A$2:$Z$1010,2,FALSE)</f>
        <v>Guido van Marle</v>
      </c>
      <c r="E250" s="583" t="s">
        <v>16</v>
      </c>
      <c r="F250" s="222" t="str">
        <f xml:space="preserve"> VLOOKUP($C250,Customers!$A$2:$Z$1010,5,FALSE)</f>
        <v>University of Calgary</v>
      </c>
      <c r="G250" s="222" t="str">
        <f>VLOOKUP($C250,Customers!$A$2:$Z$1010,10,FALSE) &amp; ", " &amp; VLOOKUP($C250,Customers!$A$2:$Z$1010,11,FALSE)</f>
        <v>Calgary, AB</v>
      </c>
      <c r="H250" s="222" t="str">
        <f>VLOOKUP($C250,Customers!$A$2:$Z$1010,13,FALSE)</f>
        <v>Canada</v>
      </c>
      <c r="I250" s="222" t="str">
        <f>VLOOKUP($C250,Customers!$A$2:$Z$1010,18,FALSE)</f>
        <v>CA</v>
      </c>
      <c r="J250" s="218" t="s">
        <v>304</v>
      </c>
      <c r="K250" s="243">
        <v>90</v>
      </c>
      <c r="L250" s="224">
        <v>1</v>
      </c>
      <c r="M250" s="224">
        <v>30</v>
      </c>
      <c r="N250" s="224">
        <f>1</f>
        <v>1</v>
      </c>
      <c r="O250" s="224" t="s">
        <v>307</v>
      </c>
      <c r="P250" s="224">
        <v>2</v>
      </c>
      <c r="Q250" s="243" t="s">
        <v>323</v>
      </c>
      <c r="R250" s="224">
        <v>1100</v>
      </c>
      <c r="S250" s="243" t="s">
        <v>16</v>
      </c>
      <c r="T250" s="226" t="s">
        <v>3525</v>
      </c>
      <c r="U250" s="226" t="s">
        <v>3526</v>
      </c>
      <c r="V250" s="247">
        <f>195</f>
        <v>195</v>
      </c>
      <c r="W250" s="232">
        <f>65*2</f>
        <v>130</v>
      </c>
      <c r="X250" s="247">
        <f>285</f>
        <v>285</v>
      </c>
      <c r="Y250" s="247" t="s">
        <v>16</v>
      </c>
      <c r="Z250" s="760">
        <f>SUM(V250:Y250)</f>
        <v>610</v>
      </c>
      <c r="AA250" s="679">
        <v>40</v>
      </c>
      <c r="AB250" s="240">
        <f t="shared" si="50"/>
        <v>650</v>
      </c>
      <c r="AC250" s="230" t="s">
        <v>304</v>
      </c>
      <c r="AD250" s="242" t="s">
        <v>16</v>
      </c>
      <c r="AE250" s="231">
        <v>45502</v>
      </c>
      <c r="AF250" s="219" t="s">
        <v>3527</v>
      </c>
      <c r="AG250" s="232">
        <v>31.99</v>
      </c>
      <c r="AH250" s="232">
        <v>30.97</v>
      </c>
      <c r="AI250" s="678" t="s">
        <v>304</v>
      </c>
      <c r="AJ250" s="325">
        <v>111853</v>
      </c>
      <c r="AK250" s="238">
        <v>45569</v>
      </c>
      <c r="AL250" s="235" t="s">
        <v>4005</v>
      </c>
    </row>
    <row r="251" spans="1:38" s="236" customFormat="1" ht="61.5" customHeight="1" x14ac:dyDescent="0.3">
      <c r="A251" s="257">
        <v>45495</v>
      </c>
      <c r="B251" s="224" t="s">
        <v>3528</v>
      </c>
      <c r="C251" s="218" t="s">
        <v>2635</v>
      </c>
      <c r="D251" s="222" t="str">
        <f>VLOOKUP($C251,Customers!$A$2:$Z$1010,2,FALSE)</f>
        <v>Christopher (Chris) Thomas DeGroot</v>
      </c>
      <c r="E251" s="293" t="s">
        <v>3521</v>
      </c>
      <c r="F251" s="222" t="str">
        <f xml:space="preserve"> VLOOKUP($C251,Customers!$A$2:$Z$1010,5,FALSE)</f>
        <v>Western University</v>
      </c>
      <c r="G251" s="222" t="str">
        <f>VLOOKUP($C251,Customers!$A$2:$Z$1010,10,FALSE) &amp; ", " &amp; VLOOKUP($C251,Customers!$A$2:$Z$1010,11,FALSE)</f>
        <v>London, ON</v>
      </c>
      <c r="H251" s="222" t="str">
        <f>VLOOKUP($C251,Customers!$A$2:$Z$1010,13,FALSE)</f>
        <v>Canada</v>
      </c>
      <c r="I251" s="222" t="str">
        <f>VLOOKUP($C251,Customers!$A$2:$Z$1010,18,FALSE)</f>
        <v>CA</v>
      </c>
      <c r="J251" s="218" t="s">
        <v>306</v>
      </c>
      <c r="K251" s="243" t="s">
        <v>16</v>
      </c>
      <c r="L251" s="224">
        <v>0</v>
      </c>
      <c r="M251" s="224">
        <v>0</v>
      </c>
      <c r="N251" s="224">
        <v>0</v>
      </c>
      <c r="O251" s="224" t="s">
        <v>1108</v>
      </c>
      <c r="P251" s="224">
        <v>3</v>
      </c>
      <c r="Q251" s="243" t="s">
        <v>16</v>
      </c>
      <c r="R251" s="224">
        <v>0</v>
      </c>
      <c r="S251" s="243" t="s">
        <v>16</v>
      </c>
      <c r="T251" s="226" t="s">
        <v>3529</v>
      </c>
      <c r="U251" s="226" t="s">
        <v>373</v>
      </c>
      <c r="V251" s="247" t="s">
        <v>16</v>
      </c>
      <c r="W251" s="232">
        <f>60*3</f>
        <v>180</v>
      </c>
      <c r="X251" s="247" t="s">
        <v>16</v>
      </c>
      <c r="Y251" s="247" t="s">
        <v>16</v>
      </c>
      <c r="Z251" s="760">
        <f>SUM(V251:Y251)</f>
        <v>180</v>
      </c>
      <c r="AA251" s="679" t="s">
        <v>308</v>
      </c>
      <c r="AB251" s="240">
        <f t="shared" si="50"/>
        <v>180</v>
      </c>
      <c r="AC251" s="230" t="s">
        <v>304</v>
      </c>
      <c r="AD251" s="770" t="s">
        <v>3530</v>
      </c>
      <c r="AE251" s="231">
        <v>45510</v>
      </c>
      <c r="AF251" s="219" t="s">
        <v>4009</v>
      </c>
      <c r="AG251" s="232" t="s">
        <v>308</v>
      </c>
      <c r="AH251" s="336" t="s">
        <v>308</v>
      </c>
      <c r="AI251" s="678" t="s">
        <v>304</v>
      </c>
      <c r="AJ251" s="769">
        <v>103838</v>
      </c>
      <c r="AK251" s="238">
        <v>45569</v>
      </c>
      <c r="AL251" s="235" t="s">
        <v>4006</v>
      </c>
    </row>
    <row r="252" spans="1:38" s="236" customFormat="1" ht="79.2" customHeight="1" x14ac:dyDescent="0.3">
      <c r="A252" s="257">
        <v>45502</v>
      </c>
      <c r="B252" s="224" t="s">
        <v>3531</v>
      </c>
      <c r="C252" s="283" t="s">
        <v>1033</v>
      </c>
      <c r="D252" s="222" t="str">
        <f>VLOOKUP($C252,Customers!$A$2:$Z$1010,2,FALSE)</f>
        <v>Charles (Chuck) Hopper</v>
      </c>
      <c r="E252" s="583" t="s">
        <v>2610</v>
      </c>
      <c r="F252" s="222" t="str">
        <f xml:space="preserve"> VLOOKUP($C252,Customers!$A$2:$Z$1010,5,FALSE)</f>
        <v>Environment and Climate Change Canada (ECCC) - Atlantic Laboratory for Environmental Testing (ALET)</v>
      </c>
      <c r="G252" s="222" t="str">
        <f>VLOOKUP($C252,Customers!$A$2:$Z$1010,10,FALSE) &amp; ", " &amp; VLOOKUP($C252,Customers!$A$2:$Z$1010,11,FALSE)</f>
        <v>Moncton, NB</v>
      </c>
      <c r="H252" s="222" t="str">
        <f>VLOOKUP($C252,Customers!$A$2:$Z$1010,13,FALSE)</f>
        <v>Canada</v>
      </c>
      <c r="I252" s="222" t="str">
        <f>VLOOKUP($C252,Customers!$A$2:$Z$1010,18,FALSE)</f>
        <v>CG</v>
      </c>
      <c r="J252" s="223" t="s">
        <v>306</v>
      </c>
      <c r="K252" s="224" t="s">
        <v>2817</v>
      </c>
      <c r="L252" s="259">
        <v>4</v>
      </c>
      <c r="M252" s="224" t="s">
        <v>3532</v>
      </c>
      <c r="N252" s="259">
        <f>1+2+2+2</f>
        <v>7</v>
      </c>
      <c r="O252" s="243" t="s">
        <v>16</v>
      </c>
      <c r="P252" s="224">
        <v>0</v>
      </c>
      <c r="Q252" s="224" t="s">
        <v>318</v>
      </c>
      <c r="R252" s="224">
        <v>500</v>
      </c>
      <c r="S252" s="224" t="s">
        <v>16</v>
      </c>
      <c r="T252" s="226" t="s">
        <v>3533</v>
      </c>
      <c r="U252" s="226" t="s">
        <v>4012</v>
      </c>
      <c r="V252" s="227">
        <f>(150*1)+(195*3)</f>
        <v>735</v>
      </c>
      <c r="W252" s="228" t="s">
        <v>16</v>
      </c>
      <c r="X252" s="227">
        <f>210</f>
        <v>210</v>
      </c>
      <c r="Y252" s="228" t="s">
        <v>16</v>
      </c>
      <c r="Z252" s="240">
        <f t="shared" ref="Z252" si="55">SUM(V252:Y252)</f>
        <v>945</v>
      </c>
      <c r="AA252" s="230">
        <v>40</v>
      </c>
      <c r="AB252" s="240">
        <f t="shared" ref="AB252" si="56">SUM(Z252:AA252)</f>
        <v>985</v>
      </c>
      <c r="AC252" s="230" t="s">
        <v>304</v>
      </c>
      <c r="AD252" s="242" t="s">
        <v>16</v>
      </c>
      <c r="AE252" s="231">
        <v>45511</v>
      </c>
      <c r="AF252" s="219" t="s">
        <v>4010</v>
      </c>
      <c r="AG252" s="230">
        <v>35.04</v>
      </c>
      <c r="AH252" s="230">
        <v>31.67</v>
      </c>
      <c r="AI252" s="230" t="s">
        <v>304</v>
      </c>
      <c r="AJ252" s="218">
        <v>103165</v>
      </c>
      <c r="AK252" s="238">
        <v>45562</v>
      </c>
      <c r="AL252" s="235" t="s">
        <v>2417</v>
      </c>
    </row>
    <row r="253" spans="1:38" s="236" customFormat="1" ht="52.8" x14ac:dyDescent="0.3">
      <c r="A253" s="759">
        <v>45503</v>
      </c>
      <c r="B253" s="250" t="s">
        <v>3535</v>
      </c>
      <c r="C253" s="218" t="s">
        <v>1045</v>
      </c>
      <c r="D253" s="222" t="str">
        <f>VLOOKUP($C253,Customers!$A$2:$Z$1010,2,FALSE)</f>
        <v>Adam Wartman</v>
      </c>
      <c r="E253" s="583" t="s">
        <v>2313</v>
      </c>
      <c r="F253" s="222" t="str">
        <f xml:space="preserve"> VLOOKUP($C253,Customers!$A$2:$Z$1010,5,FALSE)</f>
        <v>Nautilus Environmental Company Inc. - Guelph</v>
      </c>
      <c r="G253" s="222" t="str">
        <f>VLOOKUP($C253,Customers!$A$2:$Z$1010,10,FALSE) &amp; ", " &amp; VLOOKUP($C253,Customers!$A$2:$Z$1010,11,FALSE)</f>
        <v>Puslinch, ON</v>
      </c>
      <c r="H253" s="222" t="str">
        <f>VLOOKUP($C253,Customers!$A$2:$Z$1010,13,FALSE)</f>
        <v>Canada</v>
      </c>
      <c r="I253" s="222" t="str">
        <f>VLOOKUP($C253,Customers!$A$2:$Z$1010,18,FALSE)</f>
        <v>CC</v>
      </c>
      <c r="J253" s="223" t="s">
        <v>306</v>
      </c>
      <c r="K253" s="243" t="s">
        <v>16</v>
      </c>
      <c r="L253" s="244">
        <v>0</v>
      </c>
      <c r="M253" s="224">
        <v>0</v>
      </c>
      <c r="N253" s="244">
        <v>0</v>
      </c>
      <c r="O253" s="243" t="s">
        <v>16</v>
      </c>
      <c r="P253" s="223">
        <v>0</v>
      </c>
      <c r="Q253" s="243" t="s">
        <v>318</v>
      </c>
      <c r="R253" s="223">
        <v>2000</v>
      </c>
      <c r="S253" s="243" t="s">
        <v>16</v>
      </c>
      <c r="T253" s="226" t="s">
        <v>1192</v>
      </c>
      <c r="U253" s="226" t="s">
        <v>1193</v>
      </c>
      <c r="V253" s="228" t="s">
        <v>16</v>
      </c>
      <c r="W253" s="228" t="s">
        <v>16</v>
      </c>
      <c r="X253" s="227">
        <f>520+25</f>
        <v>545</v>
      </c>
      <c r="Y253" s="228" t="s">
        <v>16</v>
      </c>
      <c r="Z253" s="240">
        <f t="shared" ref="Z253" si="57">SUM(V253:Y253)</f>
        <v>545</v>
      </c>
      <c r="AA253" s="230">
        <v>25</v>
      </c>
      <c r="AB253" s="230">
        <f t="shared" ref="AB253:AB257" si="58">SUM(Z253:AA253)</f>
        <v>570</v>
      </c>
      <c r="AC253" s="230" t="s">
        <v>304</v>
      </c>
      <c r="AD253" s="222" t="s">
        <v>16</v>
      </c>
      <c r="AE253" s="231">
        <v>45510</v>
      </c>
      <c r="AF253" s="219" t="s">
        <v>4011</v>
      </c>
      <c r="AG253" s="232">
        <v>7.48</v>
      </c>
      <c r="AH253" s="232">
        <v>6.85</v>
      </c>
      <c r="AI253" s="239" t="s">
        <v>304</v>
      </c>
      <c r="AJ253" s="233">
        <v>102886</v>
      </c>
      <c r="AK253" s="238">
        <v>45555</v>
      </c>
      <c r="AL253" s="235" t="s">
        <v>3536</v>
      </c>
    </row>
    <row r="254" spans="1:38" s="281" customFormat="1" ht="27" customHeight="1" thickBot="1" x14ac:dyDescent="0.35">
      <c r="A254" s="297">
        <v>45504</v>
      </c>
      <c r="B254" s="337" t="s">
        <v>3546</v>
      </c>
      <c r="C254" s="262" t="s">
        <v>2487</v>
      </c>
      <c r="D254" s="264" t="str">
        <f>VLOOKUP($C254,Customers!$A$2:$Z$1010,2,FALSE)</f>
        <v>Kim Cuddington</v>
      </c>
      <c r="E254" s="584" t="s">
        <v>2058</v>
      </c>
      <c r="F254" s="264" t="str">
        <f xml:space="preserve"> VLOOKUP($C254,Customers!$A$2:$Z$1010,5,FALSE)</f>
        <v>University of Waterloo</v>
      </c>
      <c r="G254" s="264" t="str">
        <f>VLOOKUP($C254,Customers!$A$2:$Z$1010,10,FALSE) &amp; ", " &amp; VLOOKUP($C254,Customers!$A$2:$Z$1010,11,FALSE)</f>
        <v>Waterloo, ON</v>
      </c>
      <c r="H254" s="264" t="str">
        <f>VLOOKUP($C254,Customers!$A$2:$Z$1010,13,FALSE)</f>
        <v>Canada</v>
      </c>
      <c r="I254" s="264" t="str">
        <f>VLOOKUP($C254,Customers!$A$2:$Z$1010,18,FALSE)</f>
        <v>CA</v>
      </c>
      <c r="J254" s="265" t="s">
        <v>306</v>
      </c>
      <c r="K254" s="266" t="s">
        <v>16</v>
      </c>
      <c r="L254" s="265">
        <v>0</v>
      </c>
      <c r="M254" s="261">
        <v>0</v>
      </c>
      <c r="N254" s="265">
        <v>0</v>
      </c>
      <c r="O254" s="266" t="s">
        <v>371</v>
      </c>
      <c r="P254" s="265">
        <v>3</v>
      </c>
      <c r="Q254" s="266" t="s">
        <v>16</v>
      </c>
      <c r="R254" s="265">
        <v>0</v>
      </c>
      <c r="S254" s="266" t="s">
        <v>16</v>
      </c>
      <c r="T254" s="269" t="s">
        <v>3547</v>
      </c>
      <c r="U254" s="269" t="s">
        <v>3359</v>
      </c>
      <c r="V254" s="771" t="s">
        <v>16</v>
      </c>
      <c r="W254" s="772">
        <f>50*3</f>
        <v>150</v>
      </c>
      <c r="X254" s="771" t="s">
        <v>16</v>
      </c>
      <c r="Y254" s="771" t="s">
        <v>16</v>
      </c>
      <c r="Z254" s="240">
        <f t="shared" ref="Z254" si="59">SUM(V254:Y254)</f>
        <v>150</v>
      </c>
      <c r="AA254" s="274" t="s">
        <v>308</v>
      </c>
      <c r="AB254" s="274">
        <f t="shared" si="58"/>
        <v>150</v>
      </c>
      <c r="AC254" s="274" t="s">
        <v>304</v>
      </c>
      <c r="AD254" s="654" t="s">
        <v>16</v>
      </c>
      <c r="AE254" s="276">
        <v>45506</v>
      </c>
      <c r="AF254" s="338" t="s">
        <v>423</v>
      </c>
      <c r="AG254" s="773" t="s">
        <v>308</v>
      </c>
      <c r="AH254" s="274" t="s">
        <v>308</v>
      </c>
      <c r="AI254" s="265" t="s">
        <v>308</v>
      </c>
      <c r="AJ254" s="265" t="s">
        <v>308</v>
      </c>
      <c r="AK254" s="276">
        <v>45548</v>
      </c>
      <c r="AL254" s="299" t="s">
        <v>3996</v>
      </c>
    </row>
    <row r="255" spans="1:38" ht="39.6" x14ac:dyDescent="0.3">
      <c r="A255" s="5">
        <v>45506</v>
      </c>
      <c r="B255" s="9" t="s">
        <v>3548</v>
      </c>
      <c r="C255" s="147" t="s">
        <v>1043</v>
      </c>
      <c r="D255" s="41" t="str">
        <f>VLOOKUP($C255,Customers!$A$2:$Z$1010,2,FALSE)</f>
        <v>Lidan Tao</v>
      </c>
      <c r="E255" s="381" t="s">
        <v>16</v>
      </c>
      <c r="F255" s="41" t="str">
        <f xml:space="preserve"> VLOOKUP($C255,Customers!$A$2:$Z$1010,5,FALSE)</f>
        <v>Memorial University of Newfoundland</v>
      </c>
      <c r="G255" s="41" t="str">
        <f>VLOOKUP($C255,Customers!$A$2:$Z$1010,10,FALSE) &amp; ", " &amp; VLOOKUP($C255,Customers!$A$2:$Z$1010,11,FALSE)</f>
        <v>St. John’s, NL</v>
      </c>
      <c r="H255" s="41" t="str">
        <f>VLOOKUP($C255,Customers!$A$2:$Z$1010,13,FALSE)</f>
        <v>Canada</v>
      </c>
      <c r="I255" s="41" t="str">
        <f>VLOOKUP($C255,Customers!$A$2:$Z$1010,18,FALSE)</f>
        <v>CA</v>
      </c>
      <c r="J255" s="19" t="s">
        <v>306</v>
      </c>
      <c r="K255" s="20" t="s">
        <v>16</v>
      </c>
      <c r="L255" s="145">
        <v>0</v>
      </c>
      <c r="M255" s="145">
        <v>0</v>
      </c>
      <c r="N255" s="145">
        <v>0</v>
      </c>
      <c r="O255" s="9" t="s">
        <v>352</v>
      </c>
      <c r="P255" s="145">
        <v>4</v>
      </c>
      <c r="Q255" s="15" t="s">
        <v>16</v>
      </c>
      <c r="R255" s="9">
        <v>0</v>
      </c>
      <c r="S255" s="9" t="s">
        <v>16</v>
      </c>
      <c r="T255" s="13" t="s">
        <v>1291</v>
      </c>
      <c r="U255" s="13" t="s">
        <v>1292</v>
      </c>
      <c r="V255" s="391" t="s">
        <v>16</v>
      </c>
      <c r="W255" s="390">
        <f>60*4</f>
        <v>240</v>
      </c>
      <c r="X255" s="391" t="s">
        <v>16</v>
      </c>
      <c r="Y255" s="391" t="s">
        <v>16</v>
      </c>
      <c r="Z255" s="26">
        <f t="shared" ref="Z255" si="60">SUM(V255:Y255)</f>
        <v>240</v>
      </c>
      <c r="AA255" s="27">
        <v>45</v>
      </c>
      <c r="AB255" s="27">
        <f t="shared" si="58"/>
        <v>285</v>
      </c>
      <c r="AC255" s="27" t="s">
        <v>304</v>
      </c>
      <c r="AD255" s="28" t="s">
        <v>3549</v>
      </c>
      <c r="AE255" s="30">
        <v>45516</v>
      </c>
      <c r="AF255" s="43" t="s">
        <v>3550</v>
      </c>
      <c r="AG255" s="393">
        <v>39.97</v>
      </c>
      <c r="AH255" s="350">
        <v>36.130000000000003</v>
      </c>
      <c r="AI255" s="53" t="s">
        <v>304</v>
      </c>
      <c r="AJ255" s="17">
        <v>108138</v>
      </c>
      <c r="AK255" s="30">
        <v>45555</v>
      </c>
      <c r="AL255" s="33" t="s">
        <v>4013</v>
      </c>
    </row>
    <row r="256" spans="1:38" ht="39.6" x14ac:dyDescent="0.3">
      <c r="A256" s="5">
        <v>45513</v>
      </c>
      <c r="B256" s="53" t="s">
        <v>3551</v>
      </c>
      <c r="C256" s="147" t="s">
        <v>1432</v>
      </c>
      <c r="D256" s="41" t="str">
        <f>VLOOKUP($C256,Customers!$A$2:$Z$1010,2,FALSE)</f>
        <v>Ryan Prosser</v>
      </c>
      <c r="E256" s="381" t="s">
        <v>2238</v>
      </c>
      <c r="F256" s="41" t="str">
        <f xml:space="preserve"> VLOOKUP($C256,Customers!$A$2:$Z$1010,5,FALSE)</f>
        <v>University of Guelph</v>
      </c>
      <c r="G256" s="41" t="str">
        <f>VLOOKUP($C256,Customers!$A$2:$Z$1010,10,FALSE) &amp; ", " &amp; VLOOKUP($C256,Customers!$A$2:$Z$1010,11,FALSE)</f>
        <v>Guelph, ON</v>
      </c>
      <c r="H256" s="41" t="str">
        <f>VLOOKUP($C256,Customers!$A$2:$Z$1010,13,FALSE)</f>
        <v>Canada</v>
      </c>
      <c r="I256" s="41" t="str">
        <f>VLOOKUP($C256,Customers!$A$2:$Z$1010,18,FALSE)</f>
        <v>CA</v>
      </c>
      <c r="J256" s="19" t="s">
        <v>306</v>
      </c>
      <c r="K256" s="20" t="s">
        <v>16</v>
      </c>
      <c r="L256" s="145">
        <v>0</v>
      </c>
      <c r="M256" s="145">
        <v>0</v>
      </c>
      <c r="N256" s="145">
        <v>0</v>
      </c>
      <c r="O256" s="20" t="s">
        <v>371</v>
      </c>
      <c r="P256" s="145">
        <v>4</v>
      </c>
      <c r="Q256" s="15" t="s">
        <v>16</v>
      </c>
      <c r="R256" s="9">
        <v>0</v>
      </c>
      <c r="S256" s="9" t="s">
        <v>16</v>
      </c>
      <c r="T256" s="24" t="s">
        <v>3419</v>
      </c>
      <c r="U256" s="215" t="s">
        <v>1292</v>
      </c>
      <c r="V256" s="391" t="s">
        <v>16</v>
      </c>
      <c r="W256" s="392">
        <f>60*4</f>
        <v>240</v>
      </c>
      <c r="X256" s="391" t="s">
        <v>16</v>
      </c>
      <c r="Y256" s="391" t="s">
        <v>16</v>
      </c>
      <c r="Z256" s="35">
        <v>240</v>
      </c>
      <c r="AA256" s="26">
        <v>5</v>
      </c>
      <c r="AB256" s="27">
        <f t="shared" si="58"/>
        <v>245</v>
      </c>
      <c r="AC256" s="27" t="s">
        <v>304</v>
      </c>
      <c r="AD256" s="15" t="s">
        <v>4017</v>
      </c>
      <c r="AE256" s="30">
        <v>45519</v>
      </c>
      <c r="AF256" s="32" t="s">
        <v>370</v>
      </c>
      <c r="AG256" s="3" t="s">
        <v>308</v>
      </c>
      <c r="AH256" s="3" t="s">
        <v>308</v>
      </c>
      <c r="AI256" s="8" t="s">
        <v>304</v>
      </c>
      <c r="AJ256" s="31">
        <v>103794</v>
      </c>
      <c r="AK256" s="32">
        <v>45583</v>
      </c>
      <c r="AL256" s="45" t="s">
        <v>3552</v>
      </c>
    </row>
    <row r="257" spans="1:38" ht="39.6" x14ac:dyDescent="0.3">
      <c r="A257" s="5">
        <v>45513</v>
      </c>
      <c r="B257" s="41" t="s">
        <v>3553</v>
      </c>
      <c r="C257" s="3" t="s">
        <v>1028</v>
      </c>
      <c r="D257" s="41" t="str">
        <f>VLOOKUP($C257,Customers!$A$2:$Z$1010,2,FALSE)</f>
        <v>Gabrielle Huppe</v>
      </c>
      <c r="E257" s="381" t="s">
        <v>16</v>
      </c>
      <c r="F257" s="41" t="str">
        <f xml:space="preserve"> VLOOKUP($C257,Customers!$A$2:$Z$1010,5,FALSE)</f>
        <v>Centre d'Expertise en Analyse Environnementale du Quebec (CEAEQ)</v>
      </c>
      <c r="G257" s="41" t="str">
        <f>VLOOKUP($C257,Customers!$A$2:$Z$1010,10,FALSE) &amp; ", " &amp; VLOOKUP($C257,Customers!$A$2:$Z$1010,11,FALSE)</f>
        <v>Quebec, QC</v>
      </c>
      <c r="H257" s="41" t="str">
        <f>VLOOKUP($C257,Customers!$A$2:$Z$1010,13,FALSE)</f>
        <v>Canada</v>
      </c>
      <c r="I257" s="41" t="str">
        <f>VLOOKUP($C257,Customers!$A$2:$Z$1010,18,FALSE)</f>
        <v>CG</v>
      </c>
      <c r="J257" s="22" t="s">
        <v>306</v>
      </c>
      <c r="K257" s="20" t="s">
        <v>16</v>
      </c>
      <c r="L257" s="22">
        <v>0</v>
      </c>
      <c r="M257" s="9">
        <v>0</v>
      </c>
      <c r="N257" s="22">
        <v>0</v>
      </c>
      <c r="O257" s="20" t="s">
        <v>371</v>
      </c>
      <c r="P257" s="22">
        <v>1</v>
      </c>
      <c r="Q257" s="20" t="s">
        <v>16</v>
      </c>
      <c r="R257" s="22">
        <v>0</v>
      </c>
      <c r="S257" s="20" t="s">
        <v>16</v>
      </c>
      <c r="T257" s="24" t="s">
        <v>1247</v>
      </c>
      <c r="U257" s="24" t="s">
        <v>386</v>
      </c>
      <c r="V257" s="391" t="s">
        <v>16</v>
      </c>
      <c r="W257" s="390">
        <v>65</v>
      </c>
      <c r="X257" s="391" t="s">
        <v>16</v>
      </c>
      <c r="Y257" s="391" t="s">
        <v>16</v>
      </c>
      <c r="Z257" s="27">
        <v>65</v>
      </c>
      <c r="AA257" s="35">
        <v>25</v>
      </c>
      <c r="AB257" s="27">
        <f t="shared" si="58"/>
        <v>90</v>
      </c>
      <c r="AC257" s="27" t="s">
        <v>304</v>
      </c>
      <c r="AD257" s="41" t="s">
        <v>3554</v>
      </c>
      <c r="AE257" s="32">
        <v>45531</v>
      </c>
      <c r="AF257" s="43" t="s">
        <v>4016</v>
      </c>
      <c r="AG257" s="27">
        <v>6.33</v>
      </c>
      <c r="AH257" s="27">
        <v>6.13</v>
      </c>
      <c r="AI257" s="55" t="s">
        <v>304</v>
      </c>
      <c r="AJ257" s="31">
        <v>100033</v>
      </c>
      <c r="AK257" s="32">
        <v>45583</v>
      </c>
      <c r="AL257" s="38" t="s">
        <v>3823</v>
      </c>
    </row>
    <row r="258" spans="1:38" ht="39" customHeight="1" x14ac:dyDescent="0.3">
      <c r="A258" s="5">
        <v>45517</v>
      </c>
      <c r="B258" s="9" t="s">
        <v>3555</v>
      </c>
      <c r="C258" s="347" t="s">
        <v>2391</v>
      </c>
      <c r="D258" s="41" t="str">
        <f>VLOOKUP($C258,Customers!$A$2:$Z$1010,2,FALSE)</f>
        <v>Alexei Guerra</v>
      </c>
      <c r="E258" s="351" t="s">
        <v>3556</v>
      </c>
      <c r="F258" s="41" t="str">
        <f xml:space="preserve"> VLOOKUP($C258,Customers!$A$2:$Z$1010,5,FALSE)</f>
        <v>Universite de Montreal</v>
      </c>
      <c r="G258" s="41" t="str">
        <f>VLOOKUP($C258,Customers!$A$2:$Z$1010,10,FALSE) &amp; ", " &amp; VLOOKUP($C258,Customers!$A$2:$Z$1010,11,FALSE)</f>
        <v>Outremont, QC</v>
      </c>
      <c r="H258" s="41" t="str">
        <f>VLOOKUP($C258,Customers!$A$2:$Z$1010,13,FALSE)</f>
        <v>Canada</v>
      </c>
      <c r="I258" s="41" t="str">
        <f>VLOOKUP($C258,Customers!$A$2:$Z$1010,18,FALSE)</f>
        <v>CA</v>
      </c>
      <c r="J258" s="1131" t="s">
        <v>304</v>
      </c>
      <c r="K258" s="9" t="s">
        <v>3967</v>
      </c>
      <c r="L258" s="23">
        <v>6</v>
      </c>
      <c r="M258" s="9" t="s">
        <v>3340</v>
      </c>
      <c r="N258" s="705">
        <f>2+2+2+2+2+2</f>
        <v>12</v>
      </c>
      <c r="O258" s="15" t="s">
        <v>16</v>
      </c>
      <c r="P258" s="9">
        <v>0</v>
      </c>
      <c r="Q258" s="15" t="s">
        <v>16</v>
      </c>
      <c r="R258" s="9">
        <v>0</v>
      </c>
      <c r="S258" s="9" t="s">
        <v>16</v>
      </c>
      <c r="T258" s="226" t="s">
        <v>4018</v>
      </c>
      <c r="U258" s="1113" t="s">
        <v>3557</v>
      </c>
      <c r="V258" s="396">
        <f>135*6</f>
        <v>810</v>
      </c>
      <c r="W258" s="397" t="s">
        <v>16</v>
      </c>
      <c r="X258" s="397" t="s">
        <v>16</v>
      </c>
      <c r="Y258" s="397" t="s">
        <v>16</v>
      </c>
      <c r="Z258" s="26">
        <v>810</v>
      </c>
      <c r="AA258" s="14">
        <v>25</v>
      </c>
      <c r="AB258" s="1122">
        <f>SUM(Z258:AA261)</f>
        <v>2395</v>
      </c>
      <c r="AC258" s="27" t="s">
        <v>304</v>
      </c>
      <c r="AD258" s="1123" t="s">
        <v>4020</v>
      </c>
      <c r="AE258" s="30">
        <v>45546</v>
      </c>
      <c r="AF258" s="43" t="s">
        <v>4021</v>
      </c>
      <c r="AG258" s="27">
        <v>10.25</v>
      </c>
      <c r="AH258" s="27">
        <v>10.52</v>
      </c>
      <c r="AI258" s="1115" t="s">
        <v>304</v>
      </c>
      <c r="AJ258" s="1129">
        <v>111982</v>
      </c>
      <c r="AK258" s="738">
        <v>45625</v>
      </c>
      <c r="AL258" s="1119" t="s">
        <v>4038</v>
      </c>
    </row>
    <row r="259" spans="1:38" ht="70.5" customHeight="1" x14ac:dyDescent="0.3">
      <c r="A259" s="5">
        <v>45517</v>
      </c>
      <c r="B259" s="9" t="s">
        <v>3558</v>
      </c>
      <c r="C259" s="347" t="s">
        <v>2391</v>
      </c>
      <c r="D259" s="41" t="str">
        <f>VLOOKUP($C259,Customers!$A$2:$Z$1010,2,FALSE)</f>
        <v>Alexei Guerra</v>
      </c>
      <c r="E259" s="351" t="s">
        <v>3556</v>
      </c>
      <c r="F259" s="41" t="str">
        <f xml:space="preserve"> VLOOKUP($C259,Customers!$A$2:$Z$1010,5,FALSE)</f>
        <v>Universite de Montreal</v>
      </c>
      <c r="G259" s="41" t="str">
        <f>VLOOKUP($C259,Customers!$A$2:$Z$1010,10,FALSE) &amp; ", " &amp; VLOOKUP($C259,Customers!$A$2:$Z$1010,11,FALSE)</f>
        <v>Outremont, QC</v>
      </c>
      <c r="H259" s="41" t="str">
        <f>VLOOKUP($C259,Customers!$A$2:$Z$1010,13,FALSE)</f>
        <v>Canada</v>
      </c>
      <c r="I259" s="41" t="str">
        <f>VLOOKUP($C259,Customers!$A$2:$Z$1010,18,FALSE)</f>
        <v>CA</v>
      </c>
      <c r="J259" s="1131"/>
      <c r="K259" s="9" t="s">
        <v>3959</v>
      </c>
      <c r="L259" s="23">
        <v>5</v>
      </c>
      <c r="M259" s="9" t="s">
        <v>3559</v>
      </c>
      <c r="N259" s="705">
        <f>4+2+2+2+2</f>
        <v>12</v>
      </c>
      <c r="O259" s="15" t="s">
        <v>16</v>
      </c>
      <c r="P259" s="9">
        <v>0</v>
      </c>
      <c r="Q259" s="15" t="s">
        <v>16</v>
      </c>
      <c r="R259" s="9">
        <v>0</v>
      </c>
      <c r="S259" s="9" t="s">
        <v>16</v>
      </c>
      <c r="T259" s="226" t="s">
        <v>3960</v>
      </c>
      <c r="U259" s="1113"/>
      <c r="V259" s="396">
        <f>135*5</f>
        <v>675</v>
      </c>
      <c r="W259" s="397" t="s">
        <v>16</v>
      </c>
      <c r="X259" s="397" t="s">
        <v>16</v>
      </c>
      <c r="Y259" s="397" t="s">
        <v>16</v>
      </c>
      <c r="Z259" s="26">
        <v>675</v>
      </c>
      <c r="AA259" s="14">
        <v>25</v>
      </c>
      <c r="AB259" s="1122"/>
      <c r="AC259" s="27" t="s">
        <v>304</v>
      </c>
      <c r="AD259" s="1123"/>
      <c r="AE259" s="30">
        <v>45553</v>
      </c>
      <c r="AF259" s="43" t="s">
        <v>4022</v>
      </c>
      <c r="AG259" s="27">
        <v>8.39</v>
      </c>
      <c r="AH259" s="27">
        <v>8.1199999999999992</v>
      </c>
      <c r="AI259" s="1115"/>
      <c r="AJ259" s="1129"/>
      <c r="AK259" s="738">
        <v>45625</v>
      </c>
      <c r="AL259" s="1119"/>
    </row>
    <row r="260" spans="1:38" ht="45.75" customHeight="1" x14ac:dyDescent="0.3">
      <c r="A260" s="5">
        <v>45517</v>
      </c>
      <c r="B260" s="9" t="s">
        <v>3560</v>
      </c>
      <c r="C260" s="347" t="s">
        <v>2391</v>
      </c>
      <c r="D260" s="41" t="str">
        <f>VLOOKUP($C260,Customers!$A$2:$Z$1010,2,FALSE)</f>
        <v>Alexei Guerra</v>
      </c>
      <c r="E260" s="351" t="s">
        <v>3556</v>
      </c>
      <c r="F260" s="41" t="str">
        <f xml:space="preserve"> VLOOKUP($C260,Customers!$A$2:$Z$1010,5,FALSE)</f>
        <v>Universite de Montreal</v>
      </c>
      <c r="G260" s="41" t="str">
        <f>VLOOKUP($C260,Customers!$A$2:$Z$1010,10,FALSE) &amp; ", " &amp; VLOOKUP($C260,Customers!$A$2:$Z$1010,11,FALSE)</f>
        <v>Outremont, QC</v>
      </c>
      <c r="H260" s="41" t="str">
        <f>VLOOKUP($C260,Customers!$A$2:$Z$1010,13,FALSE)</f>
        <v>Canada</v>
      </c>
      <c r="I260" s="41" t="str">
        <f>VLOOKUP($C260,Customers!$A$2:$Z$1010,18,FALSE)</f>
        <v>CA</v>
      </c>
      <c r="J260" s="1131"/>
      <c r="K260" s="9" t="s">
        <v>4249</v>
      </c>
      <c r="L260" s="23">
        <v>4</v>
      </c>
      <c r="M260" s="9" t="s">
        <v>2917</v>
      </c>
      <c r="N260" s="705">
        <f>2+2+2+2</f>
        <v>8</v>
      </c>
      <c r="O260" s="15" t="s">
        <v>16</v>
      </c>
      <c r="P260" s="9">
        <v>0</v>
      </c>
      <c r="Q260" s="15" t="s">
        <v>16</v>
      </c>
      <c r="R260" s="9">
        <v>0</v>
      </c>
      <c r="S260" s="9" t="s">
        <v>16</v>
      </c>
      <c r="T260" s="226" t="s">
        <v>4019</v>
      </c>
      <c r="U260" s="1113"/>
      <c r="V260" s="396">
        <f>135*4</f>
        <v>540</v>
      </c>
      <c r="W260" s="397" t="s">
        <v>16</v>
      </c>
      <c r="X260" s="397" t="s">
        <v>16</v>
      </c>
      <c r="Y260" s="397" t="s">
        <v>16</v>
      </c>
      <c r="Z260" s="26">
        <v>540</v>
      </c>
      <c r="AA260" s="14">
        <v>25</v>
      </c>
      <c r="AB260" s="1122"/>
      <c r="AC260" s="27" t="s">
        <v>304</v>
      </c>
      <c r="AD260" s="1123"/>
      <c r="AE260" s="30">
        <v>45560</v>
      </c>
      <c r="AF260" s="43" t="s">
        <v>4023</v>
      </c>
      <c r="AG260" s="27">
        <v>9.6300000000000008</v>
      </c>
      <c r="AH260" s="27">
        <v>9.32</v>
      </c>
      <c r="AI260" s="1115"/>
      <c r="AJ260" s="1129"/>
      <c r="AK260" s="738">
        <v>45625</v>
      </c>
      <c r="AL260" s="1119"/>
    </row>
    <row r="261" spans="1:38" ht="45" customHeight="1" x14ac:dyDescent="0.3">
      <c r="A261" s="5">
        <v>45517</v>
      </c>
      <c r="B261" s="9" t="s">
        <v>3561</v>
      </c>
      <c r="C261" s="347" t="s">
        <v>2391</v>
      </c>
      <c r="D261" s="41" t="str">
        <f>VLOOKUP($C261,Customers!$A$2:$Z$1010,2,FALSE)</f>
        <v>Alexei Guerra</v>
      </c>
      <c r="E261" s="351" t="s">
        <v>3556</v>
      </c>
      <c r="F261" s="41" t="str">
        <f xml:space="preserve"> VLOOKUP($C261,Customers!$A$2:$Z$1010,5,FALSE)</f>
        <v>Universite de Montreal</v>
      </c>
      <c r="G261" s="41" t="str">
        <f>VLOOKUP($C261,Customers!$A$2:$Z$1010,10,FALSE) &amp; ", " &amp; VLOOKUP($C261,Customers!$A$2:$Z$1010,11,FALSE)</f>
        <v>Outremont, QC</v>
      </c>
      <c r="H261" s="41" t="str">
        <f>VLOOKUP($C261,Customers!$A$2:$Z$1010,13,FALSE)</f>
        <v>Canada</v>
      </c>
      <c r="I261" s="41" t="str">
        <f>VLOOKUP($C261,Customers!$A$2:$Z$1010,18,FALSE)</f>
        <v>CA</v>
      </c>
      <c r="J261" s="1131"/>
      <c r="K261" s="9" t="s">
        <v>3120</v>
      </c>
      <c r="L261" s="23">
        <v>2</v>
      </c>
      <c r="M261" s="9" t="s">
        <v>1973</v>
      </c>
      <c r="N261" s="705">
        <f>2+2</f>
        <v>4</v>
      </c>
      <c r="O261" s="20" t="s">
        <v>16</v>
      </c>
      <c r="P261" s="9">
        <v>0</v>
      </c>
      <c r="Q261" s="15" t="s">
        <v>16</v>
      </c>
      <c r="R261" s="9">
        <v>0</v>
      </c>
      <c r="S261" s="9" t="s">
        <v>16</v>
      </c>
      <c r="T261" s="226" t="s">
        <v>3121</v>
      </c>
      <c r="U261" s="1113"/>
      <c r="V261" s="396">
        <f>135*2</f>
        <v>270</v>
      </c>
      <c r="W261" s="397" t="s">
        <v>16</v>
      </c>
      <c r="X261" s="397" t="s">
        <v>16</v>
      </c>
      <c r="Y261" s="397" t="s">
        <v>16</v>
      </c>
      <c r="Z261" s="26">
        <v>270</v>
      </c>
      <c r="AA261" s="14">
        <v>25</v>
      </c>
      <c r="AB261" s="1122"/>
      <c r="AC261" s="27" t="s">
        <v>304</v>
      </c>
      <c r="AD261" s="1123"/>
      <c r="AE261" s="30">
        <v>45567</v>
      </c>
      <c r="AF261" s="43" t="s">
        <v>4024</v>
      </c>
      <c r="AG261" s="27">
        <v>9.01</v>
      </c>
      <c r="AH261" s="27">
        <v>8.7200000000000006</v>
      </c>
      <c r="AI261" s="1115"/>
      <c r="AJ261" s="1129"/>
      <c r="AK261" s="738">
        <v>45625</v>
      </c>
      <c r="AL261" s="1119"/>
    </row>
    <row r="262" spans="1:38" ht="52.95" customHeight="1" x14ac:dyDescent="0.3">
      <c r="A262" s="5">
        <v>45524</v>
      </c>
      <c r="B262" s="3" t="s">
        <v>3562</v>
      </c>
      <c r="C262" s="398" t="s">
        <v>3563</v>
      </c>
      <c r="D262" s="41" t="str">
        <f>VLOOKUP($C262,Customers!$A$2:$Z$1010,2,FALSE)</f>
        <v>Jeslin Wijaya</v>
      </c>
      <c r="E262" s="381" t="s">
        <v>1796</v>
      </c>
      <c r="F262" s="41" t="str">
        <f xml:space="preserve"> VLOOKUP($C262,Customers!$A$2:$Z$1010,5,FALSE)</f>
        <v>Nautilus Environmental Company Inc. - Burnaby</v>
      </c>
      <c r="G262" s="41" t="str">
        <f>VLOOKUP($C262,Customers!$A$2:$Z$1010,10,FALSE) &amp; ", " &amp; VLOOKUP($C262,Customers!$A$2:$Z$1010,11,FALSE)</f>
        <v>Burnaby, BC</v>
      </c>
      <c r="H262" s="41" t="str">
        <f>VLOOKUP($C262,Customers!$A$2:$Z$1010,13,FALSE)</f>
        <v>Canada</v>
      </c>
      <c r="I262" s="41" t="str">
        <f>VLOOKUP($C262,Customers!$A$2:$Z$1010,18,FALSE)</f>
        <v>CC</v>
      </c>
      <c r="J262" s="3" t="s">
        <v>306</v>
      </c>
      <c r="K262" s="9">
        <v>37</v>
      </c>
      <c r="L262" s="12">
        <v>1</v>
      </c>
      <c r="M262" s="9">
        <v>15</v>
      </c>
      <c r="N262" s="12">
        <f>1</f>
        <v>1</v>
      </c>
      <c r="O262" s="20" t="s">
        <v>16</v>
      </c>
      <c r="P262" s="9">
        <v>0</v>
      </c>
      <c r="Q262" s="20" t="s">
        <v>16</v>
      </c>
      <c r="R262" s="9">
        <v>0</v>
      </c>
      <c r="S262" s="9" t="s">
        <v>16</v>
      </c>
      <c r="T262" s="24" t="s">
        <v>3092</v>
      </c>
      <c r="U262" s="24" t="s">
        <v>417</v>
      </c>
      <c r="V262" s="396">
        <v>200</v>
      </c>
      <c r="W262" s="397" t="s">
        <v>16</v>
      </c>
      <c r="X262" s="397" t="s">
        <v>16</v>
      </c>
      <c r="Y262" s="397" t="s">
        <v>16</v>
      </c>
      <c r="Z262" s="26">
        <v>200</v>
      </c>
      <c r="AA262" s="14">
        <v>30</v>
      </c>
      <c r="AB262" s="35">
        <f>SUM(Z262:AA262)</f>
        <v>230</v>
      </c>
      <c r="AC262" s="27" t="s">
        <v>304</v>
      </c>
      <c r="AD262" s="28" t="s">
        <v>4025</v>
      </c>
      <c r="AE262" s="32">
        <v>45530</v>
      </c>
      <c r="AF262" s="43" t="s">
        <v>4026</v>
      </c>
      <c r="AG262" s="27">
        <v>22.98</v>
      </c>
      <c r="AH262" s="27">
        <v>22.25</v>
      </c>
      <c r="AI262" s="10" t="s">
        <v>304</v>
      </c>
      <c r="AJ262" s="37">
        <v>103484</v>
      </c>
      <c r="AK262" s="32">
        <v>45583</v>
      </c>
      <c r="AL262" s="33" t="s">
        <v>3565</v>
      </c>
    </row>
    <row r="263" spans="1:38" ht="15.6" x14ac:dyDescent="0.3">
      <c r="A263" s="680" t="s">
        <v>4027</v>
      </c>
      <c r="B263" s="199"/>
      <c r="C263" s="681"/>
      <c r="D263" s="682"/>
      <c r="E263" s="682"/>
      <c r="F263" s="221"/>
      <c r="G263" s="221"/>
      <c r="H263" s="682"/>
      <c r="I263" s="682"/>
      <c r="J263" s="682"/>
      <c r="K263" s="682"/>
      <c r="L263" s="682"/>
      <c r="M263" s="681"/>
      <c r="N263" s="309"/>
      <c r="O263" s="683"/>
      <c r="P263" s="683"/>
      <c r="Q263" s="683"/>
      <c r="R263" s="135"/>
      <c r="S263" s="684"/>
      <c r="T263" s="671"/>
      <c r="U263" s="685"/>
      <c r="V263" s="686"/>
      <c r="W263" s="686"/>
      <c r="X263" s="687"/>
      <c r="Y263" s="688"/>
      <c r="Z263" s="644"/>
      <c r="AA263" s="689"/>
      <c r="AB263" s="690"/>
      <c r="AC263" s="690"/>
      <c r="AD263" s="690"/>
      <c r="AE263" s="690"/>
      <c r="AF263" s="690"/>
      <c r="AG263" s="690"/>
      <c r="AH263" s="690"/>
      <c r="AI263" s="690"/>
      <c r="AJ263" s="690"/>
      <c r="AK263" s="690"/>
      <c r="AL263" s="690"/>
    </row>
    <row r="264" spans="1:38" s="368" customFormat="1" ht="67.5" customHeight="1" thickBot="1" x14ac:dyDescent="0.35">
      <c r="A264" s="691">
        <v>45524</v>
      </c>
      <c r="B264" s="356" t="s">
        <v>4028</v>
      </c>
      <c r="C264" s="354" t="s">
        <v>1051</v>
      </c>
      <c r="D264" s="355" t="str">
        <f>VLOOKUP($C264,[1]Customers!$A$2:$Z$1040,2,FALSE)</f>
        <v>Andreas Heyland</v>
      </c>
      <c r="E264" s="692" t="s">
        <v>2044</v>
      </c>
      <c r="F264" s="356" t="str">
        <f>VLOOKUP($C264,[1]Customers!$A$2:$Z$1040,5,FALSE)</f>
        <v>University of Guelph</v>
      </c>
      <c r="G264" s="356" t="str">
        <f>VLOOKUP($C264,[1]Customers!$A$2:$Z$1040,10,FALSE) &amp; ", " &amp; VLOOKUP($C264,[1]Customers!$A$2:$Z$1040,11,FALSE)</f>
        <v>Guelph, ON</v>
      </c>
      <c r="H264" s="356" t="str">
        <f>VLOOKUP($C264,[1]Customers!$A$2:$Z$1040,13,FALSE)</f>
        <v>Canada</v>
      </c>
      <c r="I264" s="356" t="str">
        <f>VLOOKUP($C264,[1]Customers!$A$2:$Z$1040,18,FALSE)</f>
        <v>CA</v>
      </c>
      <c r="J264" s="374" t="s">
        <v>306</v>
      </c>
      <c r="K264" s="376" t="s">
        <v>16</v>
      </c>
      <c r="L264" s="370">
        <v>0</v>
      </c>
      <c r="M264" s="353">
        <v>0</v>
      </c>
      <c r="N264" s="370">
        <v>0</v>
      </c>
      <c r="O264" s="357" t="s">
        <v>16</v>
      </c>
      <c r="P264" s="353">
        <v>0</v>
      </c>
      <c r="Q264" s="353" t="s">
        <v>330</v>
      </c>
      <c r="R264" s="353">
        <v>1020</v>
      </c>
      <c r="S264" s="353" t="s">
        <v>16</v>
      </c>
      <c r="T264" s="358" t="s">
        <v>3017</v>
      </c>
      <c r="U264" s="358" t="s">
        <v>4029</v>
      </c>
      <c r="V264" s="635" t="s">
        <v>16</v>
      </c>
      <c r="W264" s="635" t="s">
        <v>16</v>
      </c>
      <c r="X264" s="636">
        <v>150</v>
      </c>
      <c r="Y264" s="635" t="s">
        <v>16</v>
      </c>
      <c r="Z264" s="362">
        <f t="shared" ref="Z264" si="61">SUM(V264:Y264)</f>
        <v>150</v>
      </c>
      <c r="AA264" s="363">
        <v>10</v>
      </c>
      <c r="AB264" s="362">
        <f t="shared" ref="AB264" si="62">SUM(Z264:AA264)</f>
        <v>160</v>
      </c>
      <c r="AC264" s="363" t="s">
        <v>304</v>
      </c>
      <c r="AD264" s="371" t="s">
        <v>4030</v>
      </c>
      <c r="AE264" s="364">
        <v>45533</v>
      </c>
      <c r="AF264" s="369" t="s">
        <v>370</v>
      </c>
      <c r="AG264" s="361" t="s">
        <v>308</v>
      </c>
      <c r="AH264" s="361" t="s">
        <v>308</v>
      </c>
      <c r="AI264" s="373" t="s">
        <v>304</v>
      </c>
      <c r="AJ264" s="366">
        <v>103794</v>
      </c>
      <c r="AK264" s="516">
        <v>45583</v>
      </c>
      <c r="AL264" s="367" t="s">
        <v>4031</v>
      </c>
    </row>
    <row r="265" spans="1:38" ht="52.5" customHeight="1" thickBot="1" x14ac:dyDescent="0.35">
      <c r="A265" s="614">
        <v>45544</v>
      </c>
      <c r="B265" s="9" t="s">
        <v>3769</v>
      </c>
      <c r="C265" s="347" t="s">
        <v>1049</v>
      </c>
      <c r="D265" s="41" t="str">
        <f>VLOOKUP($C265,Customers!$A$2:$Z$1010,2,FALSE)</f>
        <v>Katheryn Klajman</v>
      </c>
      <c r="E265" s="352" t="s">
        <v>16</v>
      </c>
      <c r="F265" s="41" t="str">
        <f xml:space="preserve"> VLOOKUP($C265,Customers!$A$2:$Z$1010,5,FALSE)</f>
        <v>Testmark Laboratories Ltd.</v>
      </c>
      <c r="G265" s="41" t="str">
        <f>VLOOKUP($C265,Customers!$A$2:$Z$1010,10,FALSE) &amp; ", " &amp; VLOOKUP($C265,Customers!$A$2:$Z$1010,11,FALSE)</f>
        <v>Garson, ON</v>
      </c>
      <c r="H265" s="41" t="str">
        <f>VLOOKUP($C265,Customers!$A$2:$Z$1010,13,FALSE)</f>
        <v>Canada</v>
      </c>
      <c r="I265" s="41" t="str">
        <f>VLOOKUP($C265,Customers!$A$2:$Z$1010,18,FALSE)</f>
        <v>CC</v>
      </c>
      <c r="J265" s="1131" t="s">
        <v>306</v>
      </c>
      <c r="K265" s="139" t="s">
        <v>3770</v>
      </c>
      <c r="L265" s="139">
        <v>3</v>
      </c>
      <c r="M265" s="139" t="s">
        <v>3771</v>
      </c>
      <c r="N265" s="139">
        <f>1+1+3</f>
        <v>5</v>
      </c>
      <c r="O265" s="20" t="s">
        <v>16</v>
      </c>
      <c r="P265" s="139">
        <v>0</v>
      </c>
      <c r="Q265" s="15" t="s">
        <v>16</v>
      </c>
      <c r="R265" s="139">
        <v>0</v>
      </c>
      <c r="S265" s="9" t="s">
        <v>16</v>
      </c>
      <c r="T265" s="24" t="s">
        <v>3772</v>
      </c>
      <c r="U265" s="52" t="s">
        <v>3773</v>
      </c>
      <c r="V265" s="612">
        <f>(260*2)+290</f>
        <v>810</v>
      </c>
      <c r="W265" s="613" t="s">
        <v>16</v>
      </c>
      <c r="X265" s="375" t="s">
        <v>16</v>
      </c>
      <c r="Y265" s="375" t="s">
        <v>16</v>
      </c>
      <c r="Z265" s="26">
        <f t="shared" ref="Z265" si="63">SUM(V265:Y265)</f>
        <v>810</v>
      </c>
      <c r="AA265" s="27">
        <v>25</v>
      </c>
      <c r="AB265" s="1132">
        <f>SUM(Z265:AA266)</f>
        <v>835</v>
      </c>
      <c r="AC265" s="27" t="s">
        <v>304</v>
      </c>
      <c r="AD265" s="1133" t="s">
        <v>3774</v>
      </c>
      <c r="AE265" s="30">
        <v>45552</v>
      </c>
      <c r="AF265" s="43" t="s">
        <v>3775</v>
      </c>
      <c r="AG265" s="350">
        <v>8.57</v>
      </c>
      <c r="AH265" s="10">
        <v>7.84</v>
      </c>
      <c r="AI265" s="1134" t="s">
        <v>304</v>
      </c>
      <c r="AJ265" s="1135">
        <v>103703</v>
      </c>
      <c r="AK265" s="739">
        <v>45611</v>
      </c>
      <c r="AL265" s="1118" t="s">
        <v>3776</v>
      </c>
    </row>
    <row r="266" spans="1:38" ht="52.5" customHeight="1" x14ac:dyDescent="0.3">
      <c r="A266" s="614">
        <v>45544</v>
      </c>
      <c r="B266" s="9" t="s">
        <v>3765</v>
      </c>
      <c r="C266" s="347" t="s">
        <v>1049</v>
      </c>
      <c r="D266" s="41" t="str">
        <f>VLOOKUP($C266,Customers!$A$2:$Z$1010,2,FALSE)</f>
        <v>Katheryn Klajman</v>
      </c>
      <c r="E266" s="352" t="s">
        <v>16</v>
      </c>
      <c r="F266" s="41" t="str">
        <f xml:space="preserve"> VLOOKUP($C266,Customers!$A$2:$Z$1010,5,FALSE)</f>
        <v>Testmark Laboratories Ltd.</v>
      </c>
      <c r="G266" s="41" t="str">
        <f>VLOOKUP($C266,Customers!$A$2:$Z$1010,10,FALSE) &amp; ", " &amp; VLOOKUP($C266,Customers!$A$2:$Z$1010,11,FALSE)</f>
        <v>Garson, ON</v>
      </c>
      <c r="H266" s="41" t="str">
        <f>VLOOKUP($C266,Customers!$A$2:$Z$1010,13,FALSE)</f>
        <v>Canada</v>
      </c>
      <c r="I266" s="41" t="str">
        <f>VLOOKUP($C266,Customers!$A$2:$Z$1010,18,FALSE)</f>
        <v>CC</v>
      </c>
      <c r="J266" s="1131"/>
      <c r="K266" s="139">
        <v>266</v>
      </c>
      <c r="L266" s="139">
        <v>1</v>
      </c>
      <c r="M266" s="139">
        <v>30</v>
      </c>
      <c r="N266" s="139">
        <f>1</f>
        <v>1</v>
      </c>
      <c r="O266" s="20" t="s">
        <v>16</v>
      </c>
      <c r="P266" s="139">
        <v>0</v>
      </c>
      <c r="Q266" s="15" t="s">
        <v>16</v>
      </c>
      <c r="R266" s="139">
        <v>0</v>
      </c>
      <c r="S266" s="9" t="s">
        <v>16</v>
      </c>
      <c r="T266" s="24" t="s">
        <v>3766</v>
      </c>
      <c r="U266" s="52" t="s">
        <v>3767</v>
      </c>
      <c r="V266" s="612">
        <v>0</v>
      </c>
      <c r="W266" s="613" t="s">
        <v>16</v>
      </c>
      <c r="X266" s="375" t="s">
        <v>16</v>
      </c>
      <c r="Y266" s="375" t="s">
        <v>16</v>
      </c>
      <c r="Z266" s="26">
        <v>0</v>
      </c>
      <c r="AA266" s="27">
        <v>0</v>
      </c>
      <c r="AB266" s="1132"/>
      <c r="AC266" s="27" t="s">
        <v>304</v>
      </c>
      <c r="AD266" s="1133"/>
      <c r="AE266" s="30">
        <v>45565</v>
      </c>
      <c r="AF266" s="43" t="s">
        <v>3768</v>
      </c>
      <c r="AG266" s="350">
        <v>6.57</v>
      </c>
      <c r="AH266" s="10">
        <v>6.01</v>
      </c>
      <c r="AI266" s="1134"/>
      <c r="AJ266" s="1135"/>
      <c r="AK266" s="739">
        <v>45611</v>
      </c>
      <c r="AL266" s="1119"/>
    </row>
    <row r="267" spans="1:38" ht="52.8" x14ac:dyDescent="0.3">
      <c r="A267" s="614">
        <v>45545</v>
      </c>
      <c r="B267" s="9" t="s">
        <v>3777</v>
      </c>
      <c r="C267" s="398" t="s">
        <v>2270</v>
      </c>
      <c r="D267" s="41" t="str">
        <f>VLOOKUP($C267,Customers!$A$2:$Z$1010,2,FALSE)</f>
        <v>Leila Azimian</v>
      </c>
      <c r="E267" s="381" t="s">
        <v>16</v>
      </c>
      <c r="F267" s="41" t="str">
        <f xml:space="preserve"> VLOOKUP($C267,Customers!$A$2:$Z$1010,5,FALSE)</f>
        <v>Home Address - Azimian Residence</v>
      </c>
      <c r="G267" s="41" t="str">
        <f>VLOOKUP($C267,Customers!$A$2:$Z$1010,10,FALSE) &amp; ", " &amp; VLOOKUP($C267,Customers!$A$2:$Z$1010,11,FALSE)</f>
        <v>Maple, ON</v>
      </c>
      <c r="H267" s="41" t="str">
        <f>VLOOKUP($C267,Customers!$A$2:$Z$1010,13,FALSE)</f>
        <v>Canada</v>
      </c>
      <c r="I267" s="41" t="s">
        <v>332</v>
      </c>
      <c r="J267" s="12" t="s">
        <v>306</v>
      </c>
      <c r="K267" s="9" t="s">
        <v>2970</v>
      </c>
      <c r="L267" s="12">
        <v>2</v>
      </c>
      <c r="M267" s="9" t="s">
        <v>1983</v>
      </c>
      <c r="N267" s="12">
        <f>1+1</f>
        <v>2</v>
      </c>
      <c r="O267" s="15" t="s">
        <v>16</v>
      </c>
      <c r="P267" s="9">
        <v>0</v>
      </c>
      <c r="Q267" s="41" t="s">
        <v>323</v>
      </c>
      <c r="R267" s="41">
        <v>110</v>
      </c>
      <c r="S267" s="9" t="s">
        <v>16</v>
      </c>
      <c r="T267" s="13" t="s">
        <v>3778</v>
      </c>
      <c r="U267" s="13" t="s">
        <v>3779</v>
      </c>
      <c r="V267" s="383">
        <f>255*2</f>
        <v>510</v>
      </c>
      <c r="W267" s="375" t="s">
        <v>16</v>
      </c>
      <c r="X267" s="375">
        <f>90</f>
        <v>90</v>
      </c>
      <c r="Y267" s="375" t="s">
        <v>16</v>
      </c>
      <c r="Z267" s="26">
        <f t="shared" ref="Z267:Z273" si="64">SUM(V267:Y267)</f>
        <v>600</v>
      </c>
      <c r="AA267" s="14">
        <v>25</v>
      </c>
      <c r="AB267" s="26">
        <f t="shared" ref="AB267:AB269" si="65">SUM(Z267:AA267)</f>
        <v>625</v>
      </c>
      <c r="AC267" s="27" t="s">
        <v>304</v>
      </c>
      <c r="AD267" s="28" t="s">
        <v>16</v>
      </c>
      <c r="AE267" s="30">
        <v>45552</v>
      </c>
      <c r="AF267" s="43" t="s">
        <v>3780</v>
      </c>
      <c r="AG267" s="350">
        <v>6.09</v>
      </c>
      <c r="AH267" s="10">
        <v>5.57</v>
      </c>
      <c r="AI267" s="30" t="s">
        <v>304</v>
      </c>
      <c r="AJ267" s="47">
        <v>111834</v>
      </c>
      <c r="AK267" s="30">
        <v>45555</v>
      </c>
      <c r="AL267" s="33" t="s">
        <v>4039</v>
      </c>
    </row>
    <row r="268" spans="1:38" ht="26.4" x14ac:dyDescent="0.3">
      <c r="A268" s="633">
        <v>45545</v>
      </c>
      <c r="B268" s="9" t="s">
        <v>3781</v>
      </c>
      <c r="C268" s="347" t="s">
        <v>2487</v>
      </c>
      <c r="D268" s="41" t="str">
        <f>VLOOKUP($C268,Customers!$A$2:$Z$1010,2,FALSE)</f>
        <v>Kim Cuddington</v>
      </c>
      <c r="E268" s="43" t="s">
        <v>2058</v>
      </c>
      <c r="F268" s="41" t="str">
        <f xml:space="preserve"> VLOOKUP($C268,Customers!$A$2:$Z$1010,5,FALSE)</f>
        <v>University of Waterloo</v>
      </c>
      <c r="G268" s="41" t="str">
        <f>VLOOKUP($C268,Customers!$A$2:$Z$1010,10,FALSE) &amp; ", " &amp; VLOOKUP($C268,Customers!$A$2:$Z$1010,11,FALSE)</f>
        <v>Waterloo, ON</v>
      </c>
      <c r="H268" s="41" t="str">
        <f>VLOOKUP($C268,Customers!$A$2:$Z$1010,13,FALSE)</f>
        <v>Canada</v>
      </c>
      <c r="I268" s="41" t="str">
        <f>VLOOKUP($C268,Customers!$A$2:$Z$1010,18,FALSE)</f>
        <v>CA</v>
      </c>
      <c r="J268" s="22" t="s">
        <v>306</v>
      </c>
      <c r="K268" s="28" t="s">
        <v>16</v>
      </c>
      <c r="L268" s="139">
        <v>0</v>
      </c>
      <c r="M268" s="139">
        <v>0</v>
      </c>
      <c r="N268" s="139">
        <v>0</v>
      </c>
      <c r="O268" s="9" t="s">
        <v>371</v>
      </c>
      <c r="P268" s="139">
        <v>4</v>
      </c>
      <c r="Q268" s="15" t="s">
        <v>16</v>
      </c>
      <c r="R268" s="139">
        <v>0</v>
      </c>
      <c r="S268" s="9" t="s">
        <v>16</v>
      </c>
      <c r="T268" s="24" t="s">
        <v>422</v>
      </c>
      <c r="U268" s="24" t="s">
        <v>339</v>
      </c>
      <c r="V268" s="375" t="s">
        <v>16</v>
      </c>
      <c r="W268" s="383">
        <f>50*4</f>
        <v>200</v>
      </c>
      <c r="X268" s="375" t="s">
        <v>16</v>
      </c>
      <c r="Y268" s="375" t="s">
        <v>16</v>
      </c>
      <c r="Z268" s="26">
        <f t="shared" si="64"/>
        <v>200</v>
      </c>
      <c r="AA268" s="27" t="s">
        <v>308</v>
      </c>
      <c r="AB268" s="26">
        <f t="shared" si="65"/>
        <v>200</v>
      </c>
      <c r="AC268" s="27" t="s">
        <v>304</v>
      </c>
      <c r="AD268" s="28" t="s">
        <v>16</v>
      </c>
      <c r="AE268" s="30">
        <v>45554</v>
      </c>
      <c r="AF268" s="29" t="s">
        <v>423</v>
      </c>
      <c r="AG268" s="350" t="s">
        <v>308</v>
      </c>
      <c r="AH268" s="350" t="s">
        <v>308</v>
      </c>
      <c r="AI268" s="22" t="s">
        <v>308</v>
      </c>
      <c r="AJ268" s="3" t="s">
        <v>308</v>
      </c>
      <c r="AK268" s="616" t="s">
        <v>3782</v>
      </c>
      <c r="AL268" s="57" t="s">
        <v>3783</v>
      </c>
    </row>
    <row r="269" spans="1:38" ht="39.6" x14ac:dyDescent="0.3">
      <c r="A269" s="614">
        <v>45545</v>
      </c>
      <c r="B269" s="9" t="s">
        <v>3784</v>
      </c>
      <c r="C269" s="3" t="s">
        <v>1038</v>
      </c>
      <c r="D269" s="41" t="str">
        <f>VLOOKUP($C269,Customers!$A$2:$Z$1010,2,FALSE)</f>
        <v>Janetta Fraser</v>
      </c>
      <c r="E269" s="381" t="s">
        <v>16</v>
      </c>
      <c r="F269" s="41" t="str">
        <f xml:space="preserve"> VLOOKUP($C269,Customers!$A$2:$Z$1010,5,FALSE)</f>
        <v>Harris Industrial Testing Service Ltd. (HITS)</v>
      </c>
      <c r="G269" s="41" t="str">
        <f>VLOOKUP($C269,Customers!$A$2:$Z$1010,10,FALSE) &amp; ", " &amp; VLOOKUP($C269,Customers!$A$2:$Z$1010,11,FALSE)</f>
        <v>Waverley, NS</v>
      </c>
      <c r="H269" s="41" t="str">
        <f>VLOOKUP($C269,Customers!$A$2:$Z$1010,13,FALSE)</f>
        <v>Canada</v>
      </c>
      <c r="I269" s="41" t="str">
        <f>VLOOKUP($C269,Customers!$A$2:$Z$1010,18,FALSE)</f>
        <v>CC</v>
      </c>
      <c r="J269" s="22" t="s">
        <v>306</v>
      </c>
      <c r="K269" s="9">
        <v>266</v>
      </c>
      <c r="L269" s="22">
        <v>1</v>
      </c>
      <c r="M269" s="9">
        <v>15</v>
      </c>
      <c r="N269" s="22">
        <f>1</f>
        <v>1</v>
      </c>
      <c r="O269" s="20" t="s">
        <v>16</v>
      </c>
      <c r="P269" s="22">
        <v>0</v>
      </c>
      <c r="Q269" s="20" t="s">
        <v>16</v>
      </c>
      <c r="R269" s="22">
        <v>0</v>
      </c>
      <c r="S269" s="20" t="s">
        <v>16</v>
      </c>
      <c r="T269" s="24" t="s">
        <v>391</v>
      </c>
      <c r="U269" s="24" t="s">
        <v>417</v>
      </c>
      <c r="V269" s="348">
        <v>200</v>
      </c>
      <c r="W269" s="349" t="s">
        <v>16</v>
      </c>
      <c r="X269" s="349" t="s">
        <v>16</v>
      </c>
      <c r="Y269" s="349" t="s">
        <v>16</v>
      </c>
      <c r="Z269" s="26">
        <f t="shared" si="64"/>
        <v>200</v>
      </c>
      <c r="AA269" s="14">
        <v>25</v>
      </c>
      <c r="AB269" s="27">
        <f t="shared" si="65"/>
        <v>225</v>
      </c>
      <c r="AC269" s="27" t="s">
        <v>304</v>
      </c>
      <c r="AD269" s="658" t="s">
        <v>16</v>
      </c>
      <c r="AE269" s="30">
        <v>45552</v>
      </c>
      <c r="AF269" s="43" t="s">
        <v>3785</v>
      </c>
      <c r="AG269" s="350">
        <v>20.98</v>
      </c>
      <c r="AH269" s="10">
        <v>18.96</v>
      </c>
      <c r="AI269" s="46" t="s">
        <v>304</v>
      </c>
      <c r="AJ269" s="31">
        <v>103252</v>
      </c>
      <c r="AK269" s="30">
        <v>45583</v>
      </c>
      <c r="AL269" s="38" t="s">
        <v>3465</v>
      </c>
    </row>
    <row r="270" spans="1:38" ht="52.8" x14ac:dyDescent="0.3">
      <c r="A270" s="614">
        <v>45553</v>
      </c>
      <c r="B270" s="9" t="s">
        <v>3786</v>
      </c>
      <c r="C270" s="147" t="s">
        <v>1043</v>
      </c>
      <c r="D270" s="41" t="str">
        <f>VLOOKUP($C270,Customers!$A$2:$Z$1010,2,FALSE)</f>
        <v>Lidan Tao</v>
      </c>
      <c r="E270" s="381" t="s">
        <v>16</v>
      </c>
      <c r="F270" s="41" t="str">
        <f xml:space="preserve"> VLOOKUP($C270,Customers!$A$2:$Z$1010,5,FALSE)</f>
        <v>Memorial University of Newfoundland</v>
      </c>
      <c r="G270" s="41" t="str">
        <f>VLOOKUP($C270,Customers!$A$2:$Z$1010,10,FALSE) &amp; ", " &amp; VLOOKUP($C270,Customers!$A$2:$Z$1010,11,FALSE)</f>
        <v>St. John’s, NL</v>
      </c>
      <c r="H270" s="41" t="str">
        <f>VLOOKUP($C270,Customers!$A$2:$Z$1010,13,FALSE)</f>
        <v>Canada</v>
      </c>
      <c r="I270" s="41" t="str">
        <f>VLOOKUP($C270,Customers!$A$2:$Z$1010,18,FALSE)</f>
        <v>CA</v>
      </c>
      <c r="J270" s="19" t="s">
        <v>306</v>
      </c>
      <c r="K270" s="20" t="s">
        <v>16</v>
      </c>
      <c r="L270" s="145">
        <v>0</v>
      </c>
      <c r="M270" s="145">
        <v>0</v>
      </c>
      <c r="N270" s="145">
        <v>0</v>
      </c>
      <c r="O270" s="9" t="s">
        <v>352</v>
      </c>
      <c r="P270" s="145">
        <v>2</v>
      </c>
      <c r="Q270" s="15" t="s">
        <v>318</v>
      </c>
      <c r="R270" s="9">
        <v>50</v>
      </c>
      <c r="S270" s="9" t="s">
        <v>16</v>
      </c>
      <c r="T270" s="13" t="s">
        <v>3787</v>
      </c>
      <c r="U270" s="13" t="s">
        <v>3788</v>
      </c>
      <c r="V270" s="349" t="s">
        <v>16</v>
      </c>
      <c r="W270" s="348">
        <f>120*2</f>
        <v>240</v>
      </c>
      <c r="X270" s="349">
        <v>70</v>
      </c>
      <c r="Y270" s="349" t="s">
        <v>16</v>
      </c>
      <c r="Z270" s="26">
        <f t="shared" si="64"/>
        <v>310</v>
      </c>
      <c r="AA270" s="27">
        <v>30</v>
      </c>
      <c r="AB270" s="26">
        <f>SUM(Z270:AA270)</f>
        <v>340</v>
      </c>
      <c r="AC270" s="27" t="s">
        <v>304</v>
      </c>
      <c r="AD270" s="28" t="s">
        <v>3789</v>
      </c>
      <c r="AE270" s="30">
        <v>45559</v>
      </c>
      <c r="AF270" s="43" t="s">
        <v>3790</v>
      </c>
      <c r="AG270" s="27">
        <v>25.17</v>
      </c>
      <c r="AH270" s="350">
        <v>22.75</v>
      </c>
      <c r="AI270" s="53" t="s">
        <v>304</v>
      </c>
      <c r="AJ270" s="17">
        <v>108138</v>
      </c>
      <c r="AK270" s="645">
        <v>45611</v>
      </c>
      <c r="AL270" s="33" t="s">
        <v>3791</v>
      </c>
    </row>
    <row r="271" spans="1:38" ht="39.6" x14ac:dyDescent="0.3">
      <c r="A271" s="614">
        <v>45555</v>
      </c>
      <c r="B271" s="9" t="s">
        <v>3792</v>
      </c>
      <c r="C271" s="398" t="s">
        <v>2527</v>
      </c>
      <c r="D271" s="41" t="str">
        <f>VLOOKUP($C271,Customers!$A$2:$Z$1010,2,FALSE)</f>
        <v>Naomi Attrill</v>
      </c>
      <c r="E271" s="381" t="s">
        <v>3793</v>
      </c>
      <c r="F271" s="41" t="str">
        <f xml:space="preserve"> VLOOKUP($C271,Customers!$A$2:$Z$1010,5,FALSE)</f>
        <v>Nautilus Environmental Company Inc. - Calgary</v>
      </c>
      <c r="G271" s="41" t="str">
        <f>VLOOKUP($C271,Customers!$A$2:$Z$1010,10,FALSE) &amp; ", " &amp; VLOOKUP($C271,Customers!$A$2:$Z$1010,11,FALSE)</f>
        <v>Calgary, AB</v>
      </c>
      <c r="H271" s="41" t="str">
        <f>VLOOKUP($C271,Customers!$A$2:$Z$1010,13,FALSE)</f>
        <v>Canada</v>
      </c>
      <c r="I271" s="41" t="str">
        <f>VLOOKUP($C271,Customers!$A$2:$Z$1010,18,FALSE)</f>
        <v>CC</v>
      </c>
      <c r="J271" s="3" t="s">
        <v>304</v>
      </c>
      <c r="K271" s="9">
        <v>37</v>
      </c>
      <c r="L271" s="617">
        <v>1</v>
      </c>
      <c r="M271" s="9">
        <v>30</v>
      </c>
      <c r="N271" s="617">
        <f>2</f>
        <v>2</v>
      </c>
      <c r="O271" s="20" t="s">
        <v>16</v>
      </c>
      <c r="P271" s="9">
        <v>0</v>
      </c>
      <c r="Q271" s="20" t="s">
        <v>16</v>
      </c>
      <c r="R271" s="9">
        <v>0</v>
      </c>
      <c r="S271" s="9" t="s">
        <v>16</v>
      </c>
      <c r="T271" s="24" t="s">
        <v>3794</v>
      </c>
      <c r="U271" s="24" t="s">
        <v>2656</v>
      </c>
      <c r="V271" s="383">
        <f>260</f>
        <v>260</v>
      </c>
      <c r="W271" s="375" t="s">
        <v>16</v>
      </c>
      <c r="X271" s="375" t="s">
        <v>16</v>
      </c>
      <c r="Y271" s="375" t="s">
        <v>16</v>
      </c>
      <c r="Z271" s="26">
        <f t="shared" si="64"/>
        <v>260</v>
      </c>
      <c r="AA271" s="27">
        <v>25</v>
      </c>
      <c r="AB271" s="35">
        <f t="shared" ref="AB271:AB273" si="66">SUM(Z271:AA271)</f>
        <v>285</v>
      </c>
      <c r="AC271" s="27" t="s">
        <v>304</v>
      </c>
      <c r="AD271" s="28" t="s">
        <v>3795</v>
      </c>
      <c r="AE271" s="30">
        <v>45565</v>
      </c>
      <c r="AF271" s="43" t="s">
        <v>3796</v>
      </c>
      <c r="AG271" s="350">
        <v>18.48</v>
      </c>
      <c r="AH271" s="350">
        <v>17.89</v>
      </c>
      <c r="AI271" s="10" t="s">
        <v>304</v>
      </c>
      <c r="AJ271" s="37">
        <v>103485</v>
      </c>
      <c r="AK271" s="645">
        <v>45611</v>
      </c>
      <c r="AL271" s="42" t="s">
        <v>3797</v>
      </c>
    </row>
    <row r="272" spans="1:38" ht="42" customHeight="1" x14ac:dyDescent="0.3">
      <c r="A272" s="614">
        <v>45555</v>
      </c>
      <c r="B272" s="9" t="s">
        <v>3798</v>
      </c>
      <c r="C272" s="41" t="s">
        <v>3799</v>
      </c>
      <c r="D272" s="41" t="str">
        <f>VLOOKUP($C272,Customers!$A$2:$Z$1010,2,FALSE)</f>
        <v>Rebecca Hobbs</v>
      </c>
      <c r="E272" s="351" t="s">
        <v>3800</v>
      </c>
      <c r="F272" s="41" t="str">
        <f xml:space="preserve"> VLOOKUP($C272,Customers!$A$2:$Z$1010,5,FALSE)</f>
        <v>Thor Specialties, Inc.</v>
      </c>
      <c r="G272" s="41" t="str">
        <f>VLOOKUP($C272,Customers!$A$2:$Z$1010,10,FALSE) &amp; ", " &amp; VLOOKUP($C272,Customers!$A$2:$Z$1010,11,FALSE)</f>
        <v>Shelton, CT</v>
      </c>
      <c r="H272" s="41" t="str">
        <f>VLOOKUP($C272,Customers!$A$2:$Z$1010,13,FALSE)</f>
        <v>USA</v>
      </c>
      <c r="I272" s="41" t="str">
        <f>VLOOKUP($C272,Customers!$A$2:$Z$1010,18,FALSE)</f>
        <v>IC</v>
      </c>
      <c r="J272" s="3" t="s">
        <v>304</v>
      </c>
      <c r="K272" s="20" t="s">
        <v>16</v>
      </c>
      <c r="L272" s="9">
        <v>0</v>
      </c>
      <c r="M272" s="9">
        <v>0</v>
      </c>
      <c r="N272" s="9">
        <v>0</v>
      </c>
      <c r="O272" s="20" t="s">
        <v>16</v>
      </c>
      <c r="P272" s="9">
        <v>0</v>
      </c>
      <c r="Q272" s="20" t="s">
        <v>16</v>
      </c>
      <c r="R272" s="9">
        <v>0</v>
      </c>
      <c r="S272" s="9" t="s">
        <v>2303</v>
      </c>
      <c r="T272" s="13" t="s">
        <v>3801</v>
      </c>
      <c r="U272" s="618" t="s">
        <v>3802</v>
      </c>
      <c r="V272" s="378" t="s">
        <v>16</v>
      </c>
      <c r="W272" s="378" t="s">
        <v>16</v>
      </c>
      <c r="X272" s="378" t="s">
        <v>16</v>
      </c>
      <c r="Y272" s="183">
        <f>(700*2)+(350*2)+(150*2)</f>
        <v>2400</v>
      </c>
      <c r="Z272" s="26">
        <f t="shared" si="64"/>
        <v>2400</v>
      </c>
      <c r="AA272" s="10" t="s">
        <v>308</v>
      </c>
      <c r="AB272" s="35">
        <f t="shared" si="66"/>
        <v>2400</v>
      </c>
      <c r="AC272" s="10" t="s">
        <v>308</v>
      </c>
      <c r="AD272" s="41" t="s">
        <v>3803</v>
      </c>
      <c r="AE272" s="9" t="s">
        <v>3804</v>
      </c>
      <c r="AF272" s="5" t="s">
        <v>308</v>
      </c>
      <c r="AG272" s="10" t="s">
        <v>308</v>
      </c>
      <c r="AH272" s="10" t="s">
        <v>308</v>
      </c>
      <c r="AI272" s="8" t="s">
        <v>304</v>
      </c>
      <c r="AJ272" s="17">
        <v>111841</v>
      </c>
      <c r="AK272" s="11">
        <v>45583</v>
      </c>
      <c r="AL272" s="33" t="s">
        <v>3805</v>
      </c>
    </row>
    <row r="273" spans="1:38" ht="66" x14ac:dyDescent="0.3">
      <c r="A273" s="619">
        <v>45555</v>
      </c>
      <c r="B273" s="41" t="s">
        <v>3806</v>
      </c>
      <c r="C273" s="347" t="s">
        <v>1025</v>
      </c>
      <c r="D273" s="41" t="str">
        <f>VLOOKUP($C273,Customers!$A$2:$Z$1010,2,FALSE)</f>
        <v>Chelsea Blake</v>
      </c>
      <c r="E273" s="381" t="s">
        <v>16</v>
      </c>
      <c r="F273" s="41" t="str">
        <f xml:space="preserve"> VLOOKUP($C273,Customers!$A$2:$Z$1010,5,FALSE)</f>
        <v>Bureau Veritas Laboratories - Quebec</v>
      </c>
      <c r="G273" s="41" t="str">
        <f>VLOOKUP($C273,Customers!$A$2:$Z$1010,10,FALSE) &amp; ", " &amp; VLOOKUP($C273,Customers!$A$2:$Z$1010,11,FALSE)</f>
        <v>Quebec, QC</v>
      </c>
      <c r="H273" s="41" t="str">
        <f>VLOOKUP($C273,Customers!$A$2:$Z$1010,13,FALSE)</f>
        <v>Canada</v>
      </c>
      <c r="I273" s="41" t="str">
        <f>VLOOKUP($C273,Customers!$A$2:$Z$1010,18,FALSE)</f>
        <v>CC</v>
      </c>
      <c r="J273" s="22" t="s">
        <v>306</v>
      </c>
      <c r="K273" s="9">
        <v>37</v>
      </c>
      <c r="L273" s="22">
        <v>1</v>
      </c>
      <c r="M273" s="9">
        <v>15</v>
      </c>
      <c r="N273" s="22">
        <f>1</f>
        <v>1</v>
      </c>
      <c r="O273" s="15" t="s">
        <v>16</v>
      </c>
      <c r="P273" s="9">
        <v>0</v>
      </c>
      <c r="Q273" s="15" t="s">
        <v>16</v>
      </c>
      <c r="R273" s="9">
        <v>0</v>
      </c>
      <c r="S273" s="9" t="s">
        <v>16</v>
      </c>
      <c r="T273" s="39" t="s">
        <v>360</v>
      </c>
      <c r="U273" s="24" t="s">
        <v>417</v>
      </c>
      <c r="V273" s="383">
        <v>200</v>
      </c>
      <c r="W273" s="375" t="s">
        <v>16</v>
      </c>
      <c r="X273" s="375" t="s">
        <v>16</v>
      </c>
      <c r="Y273" s="375" t="s">
        <v>16</v>
      </c>
      <c r="Z273" s="26">
        <f t="shared" si="64"/>
        <v>200</v>
      </c>
      <c r="AA273" s="26">
        <v>25</v>
      </c>
      <c r="AB273" s="27">
        <f t="shared" si="66"/>
        <v>225</v>
      </c>
      <c r="AC273" s="27" t="s">
        <v>304</v>
      </c>
      <c r="AD273" s="41" t="s">
        <v>3807</v>
      </c>
      <c r="AE273" s="30" t="s">
        <v>3808</v>
      </c>
      <c r="AF273" s="43" t="s">
        <v>3809</v>
      </c>
      <c r="AG273" s="27">
        <v>5.71</v>
      </c>
      <c r="AH273" s="27">
        <v>5.53</v>
      </c>
      <c r="AI273" s="27" t="s">
        <v>304</v>
      </c>
      <c r="AJ273" s="31">
        <v>103380</v>
      </c>
      <c r="AK273" s="645">
        <v>45611</v>
      </c>
      <c r="AL273" s="33" t="s">
        <v>3810</v>
      </c>
    </row>
    <row r="274" spans="1:38" ht="39.6" x14ac:dyDescent="0.3">
      <c r="A274" s="620">
        <v>45559</v>
      </c>
      <c r="B274" s="41" t="s">
        <v>3811</v>
      </c>
      <c r="C274" s="41" t="s">
        <v>1043</v>
      </c>
      <c r="D274" s="41" t="str">
        <f>VLOOKUP($C274,Customers!$A$2:$Z$1010,2,FALSE)</f>
        <v>Lidan Tao</v>
      </c>
      <c r="E274" s="43" t="s">
        <v>16</v>
      </c>
      <c r="F274" s="41" t="str">
        <f xml:space="preserve"> VLOOKUP($C274,Customers!$A$2:$Z$1010,5,FALSE)</f>
        <v>Memorial University of Newfoundland</v>
      </c>
      <c r="G274" s="41" t="str">
        <f>VLOOKUP($C274,Customers!$A$2:$Z$1010,10,FALSE) &amp; ", " &amp; VLOOKUP($C274,Customers!$A$2:$Z$1010,11,FALSE)</f>
        <v>St. John’s, NL</v>
      </c>
      <c r="H274" s="41" t="str">
        <f>VLOOKUP($C274,Customers!$A$2:$Z$1010,13,FALSE)</f>
        <v>Canada</v>
      </c>
      <c r="I274" s="41" t="str">
        <f>VLOOKUP($C274,Customers!$A$2:$Z$1010,18,FALSE)</f>
        <v>CA</v>
      </c>
      <c r="J274" s="34" t="s">
        <v>306</v>
      </c>
      <c r="K274" s="41" t="s">
        <v>16</v>
      </c>
      <c r="L274" s="139">
        <v>0</v>
      </c>
      <c r="M274" s="139">
        <v>0</v>
      </c>
      <c r="N274" s="139">
        <v>0</v>
      </c>
      <c r="O274" s="41" t="s">
        <v>352</v>
      </c>
      <c r="P274" s="139">
        <v>4</v>
      </c>
      <c r="Q274" s="22" t="s">
        <v>16</v>
      </c>
      <c r="R274" s="41">
        <v>0</v>
      </c>
      <c r="S274" s="41" t="s">
        <v>16</v>
      </c>
      <c r="T274" s="24" t="s">
        <v>1291</v>
      </c>
      <c r="U274" s="24" t="s">
        <v>1292</v>
      </c>
      <c r="V274" s="46" t="s">
        <v>16</v>
      </c>
      <c r="W274" s="46">
        <f>60*4</f>
        <v>240</v>
      </c>
      <c r="X274" s="46" t="s">
        <v>16</v>
      </c>
      <c r="Y274" s="46" t="s">
        <v>16</v>
      </c>
      <c r="Z274" s="26">
        <f>SUM(V274:Y274)</f>
        <v>240</v>
      </c>
      <c r="AA274" s="27">
        <v>40</v>
      </c>
      <c r="AB274" s="27">
        <f>SUM(Z274:AA274)</f>
        <v>280</v>
      </c>
      <c r="AC274" s="27" t="s">
        <v>304</v>
      </c>
      <c r="AD274" s="41" t="s">
        <v>3812</v>
      </c>
      <c r="AE274" s="30">
        <v>45566</v>
      </c>
      <c r="AF274" s="43" t="s">
        <v>3813</v>
      </c>
      <c r="AG274" s="27">
        <v>35.04</v>
      </c>
      <c r="AH274" s="27">
        <v>31.67</v>
      </c>
      <c r="AI274" s="32" t="s">
        <v>304</v>
      </c>
      <c r="AJ274" s="31">
        <v>108138</v>
      </c>
      <c r="AK274" s="645">
        <v>45611</v>
      </c>
      <c r="AL274" s="33" t="s">
        <v>3814</v>
      </c>
    </row>
    <row r="275" spans="1:38" ht="39.6" x14ac:dyDescent="0.3">
      <c r="A275" s="619">
        <v>45559</v>
      </c>
      <c r="B275" s="41" t="s">
        <v>3815</v>
      </c>
      <c r="C275" s="22" t="s">
        <v>3816</v>
      </c>
      <c r="D275" s="41" t="str">
        <f>VLOOKUP($C275,Customers!$A$2:$Z$1010,2,FALSE)</f>
        <v>Valerie Ward</v>
      </c>
      <c r="E275" s="381" t="s">
        <v>3817</v>
      </c>
      <c r="F275" s="41" t="str">
        <f xml:space="preserve"> VLOOKUP($C275,Customers!$A$2:$Z$1010,5,FALSE)</f>
        <v>University of Waterloo</v>
      </c>
      <c r="G275" s="41" t="str">
        <f>VLOOKUP($C275,Customers!$A$2:$Z$1010,10,FALSE) &amp; ", " &amp; VLOOKUP($C275,Customers!$A$2:$Z$1010,11,FALSE)</f>
        <v>Waterloo, ON</v>
      </c>
      <c r="H275" s="41" t="str">
        <f>VLOOKUP($C275,Customers!$A$2:$Z$1010,13,FALSE)</f>
        <v>Canada</v>
      </c>
      <c r="I275" s="41" t="str">
        <f>VLOOKUP($C275,Customers!$A$2:$Z$1010,18,FALSE)</f>
        <v>CA</v>
      </c>
      <c r="J275" s="22" t="s">
        <v>304</v>
      </c>
      <c r="K275" s="9">
        <v>11</v>
      </c>
      <c r="L275" s="22">
        <v>1</v>
      </c>
      <c r="M275" s="9">
        <v>15</v>
      </c>
      <c r="N275" s="22">
        <f>1</f>
        <v>1</v>
      </c>
      <c r="O275" s="15" t="s">
        <v>16</v>
      </c>
      <c r="P275" s="9">
        <v>0</v>
      </c>
      <c r="Q275" s="15" t="s">
        <v>16</v>
      </c>
      <c r="R275" s="9">
        <v>0</v>
      </c>
      <c r="S275" s="20" t="s">
        <v>16</v>
      </c>
      <c r="T275" s="24" t="s">
        <v>1201</v>
      </c>
      <c r="U275" s="24" t="s">
        <v>3818</v>
      </c>
      <c r="V275" s="383">
        <f>100</f>
        <v>100</v>
      </c>
      <c r="W275" s="375" t="s">
        <v>16</v>
      </c>
      <c r="X275" s="375" t="s">
        <v>16</v>
      </c>
      <c r="Y275" s="375" t="s">
        <v>16</v>
      </c>
      <c r="Z275" s="26">
        <f t="shared" ref="Z275:Z278" si="67">SUM(V275:Y275)</f>
        <v>100</v>
      </c>
      <c r="AA275" s="26" t="s">
        <v>308</v>
      </c>
      <c r="AB275" s="27">
        <f t="shared" ref="AB275:AB277" si="68">SUM(Z275:AA275)</f>
        <v>100</v>
      </c>
      <c r="AC275" s="27" t="s">
        <v>304</v>
      </c>
      <c r="AD275" s="41" t="s">
        <v>308</v>
      </c>
      <c r="AE275" s="30">
        <v>45574</v>
      </c>
      <c r="AF275" s="43" t="s">
        <v>3819</v>
      </c>
      <c r="AG275" s="350" t="s">
        <v>308</v>
      </c>
      <c r="AH275" s="350" t="s">
        <v>308</v>
      </c>
      <c r="AI275" s="22" t="s">
        <v>308</v>
      </c>
      <c r="AJ275" s="3" t="s">
        <v>308</v>
      </c>
      <c r="AK275" s="616" t="s">
        <v>3782</v>
      </c>
      <c r="AL275" s="57" t="s">
        <v>4040</v>
      </c>
    </row>
    <row r="276" spans="1:38" s="623" customFormat="1" ht="40.200000000000003" thickBot="1" x14ac:dyDescent="0.35">
      <c r="A276" s="615">
        <v>45559</v>
      </c>
      <c r="B276" s="353" t="s">
        <v>3820</v>
      </c>
      <c r="C276" s="354" t="s">
        <v>2513</v>
      </c>
      <c r="D276" s="356" t="str">
        <f>VLOOKUP($C276,Customers!$A$2:$Z$1010,2,FALSE)</f>
        <v>Mireille Ratté</v>
      </c>
      <c r="E276" s="587" t="s">
        <v>16</v>
      </c>
      <c r="F276" s="356" t="str">
        <f xml:space="preserve"> VLOOKUP($C276,Customers!$A$2:$Z$1010,5,FALSE)</f>
        <v>Centre d'Expertise en Analyse Environnementale du Quebec (CEAEQ)</v>
      </c>
      <c r="G276" s="356" t="str">
        <f>VLOOKUP($C276,Customers!$A$2:$Z$1010,10,FALSE) &amp; ", " &amp; VLOOKUP($C276,Customers!$A$2:$Z$1010,11,FALSE)</f>
        <v>Quebec, QC</v>
      </c>
      <c r="H276" s="356" t="str">
        <f>VLOOKUP($C276,Customers!$A$2:$Z$1010,13,FALSE)</f>
        <v>Canada</v>
      </c>
      <c r="I276" s="356" t="str">
        <f>VLOOKUP($C276,Customers!$A$2:$Z$1010,18,FALSE)</f>
        <v>CG</v>
      </c>
      <c r="J276" s="374" t="s">
        <v>306</v>
      </c>
      <c r="K276" s="371" t="s">
        <v>16</v>
      </c>
      <c r="L276" s="621">
        <v>0</v>
      </c>
      <c r="M276" s="621">
        <v>0</v>
      </c>
      <c r="N276" s="621">
        <v>0</v>
      </c>
      <c r="O276" s="353" t="s">
        <v>371</v>
      </c>
      <c r="P276" s="621">
        <v>1</v>
      </c>
      <c r="Q276" s="357" t="s">
        <v>16</v>
      </c>
      <c r="R276" s="621">
        <v>0</v>
      </c>
      <c r="S276" s="353" t="s">
        <v>16</v>
      </c>
      <c r="T276" s="358" t="s">
        <v>1247</v>
      </c>
      <c r="U276" s="358" t="s">
        <v>386</v>
      </c>
      <c r="V276" s="360" t="s">
        <v>16</v>
      </c>
      <c r="W276" s="359">
        <v>65</v>
      </c>
      <c r="X276" s="360" t="s">
        <v>16</v>
      </c>
      <c r="Y276" s="360" t="s">
        <v>16</v>
      </c>
      <c r="Z276" s="362">
        <f t="shared" si="67"/>
        <v>65</v>
      </c>
      <c r="AA276" s="372">
        <v>25</v>
      </c>
      <c r="AB276" s="362">
        <f t="shared" si="68"/>
        <v>90</v>
      </c>
      <c r="AC276" s="363" t="s">
        <v>304</v>
      </c>
      <c r="AD276" s="371" t="s">
        <v>3821</v>
      </c>
      <c r="AE276" s="516">
        <v>45566</v>
      </c>
      <c r="AF276" s="355" t="s">
        <v>3822</v>
      </c>
      <c r="AG276" s="365">
        <v>5.71</v>
      </c>
      <c r="AH276" s="363">
        <v>5.53</v>
      </c>
      <c r="AI276" s="373" t="s">
        <v>304</v>
      </c>
      <c r="AJ276" s="366">
        <v>100033</v>
      </c>
      <c r="AK276" s="516">
        <v>45611</v>
      </c>
      <c r="AL276" s="622" t="s">
        <v>3823</v>
      </c>
    </row>
    <row r="277" spans="1:38" ht="52.8" x14ac:dyDescent="0.3">
      <c r="A277" s="614">
        <v>45566</v>
      </c>
      <c r="B277" s="9" t="s">
        <v>3824</v>
      </c>
      <c r="C277" s="347" t="s">
        <v>1054</v>
      </c>
      <c r="D277" s="41" t="str">
        <f>VLOOKUP($C277,Customers!$A$2:$Z$1010,2,FALSE)</f>
        <v>Carlos Cruz</v>
      </c>
      <c r="E277" s="381" t="s">
        <v>1535</v>
      </c>
      <c r="F277" s="41" t="str">
        <f xml:space="preserve"> VLOOKUP($C277,Customers!$A$2:$Z$1010,5,FALSE)</f>
        <v>University of Toronto</v>
      </c>
      <c r="G277" s="41" t="str">
        <f>VLOOKUP($C277,Customers!$A$2:$Z$1010,10,FALSE) &amp; ", " &amp; VLOOKUP($C277,Customers!$A$2:$Z$1010,11,FALSE)</f>
        <v>Toronto, ON</v>
      </c>
      <c r="H277" s="611" t="str">
        <f>VLOOKUP($C277,Customers!$A$2:$Z$1010,13,FALSE)</f>
        <v>Canada</v>
      </c>
      <c r="I277" s="41" t="str">
        <f>VLOOKUP($C277,Customers!$A$2:$Z$1010,18,FALSE)</f>
        <v>CA</v>
      </c>
      <c r="J277" s="22" t="s">
        <v>306</v>
      </c>
      <c r="K277" s="9" t="s">
        <v>2981</v>
      </c>
      <c r="L277" s="34">
        <v>4</v>
      </c>
      <c r="M277" s="9" t="s">
        <v>3211</v>
      </c>
      <c r="N277" s="34">
        <f>2+2+2+2</f>
        <v>8</v>
      </c>
      <c r="O277" s="20" t="s">
        <v>16</v>
      </c>
      <c r="P277" s="9">
        <v>0</v>
      </c>
      <c r="Q277" s="20" t="s">
        <v>16</v>
      </c>
      <c r="R277" s="9">
        <v>0</v>
      </c>
      <c r="S277" s="9" t="s">
        <v>16</v>
      </c>
      <c r="T277" s="24" t="s">
        <v>3212</v>
      </c>
      <c r="U277" s="24" t="s">
        <v>3825</v>
      </c>
      <c r="V277" s="383">
        <f>380*4</f>
        <v>1520</v>
      </c>
      <c r="W277" s="375" t="s">
        <v>16</v>
      </c>
      <c r="X277" s="375" t="s">
        <v>16</v>
      </c>
      <c r="Y277" s="375" t="s">
        <v>16</v>
      </c>
      <c r="Z277" s="26">
        <f t="shared" si="67"/>
        <v>1520</v>
      </c>
      <c r="AA277" s="26" t="s">
        <v>308</v>
      </c>
      <c r="AB277" s="26">
        <f t="shared" si="68"/>
        <v>1520</v>
      </c>
      <c r="AC277" s="627" t="s">
        <v>378</v>
      </c>
      <c r="AD277" s="28" t="s">
        <v>16</v>
      </c>
      <c r="AE277" s="49" t="s">
        <v>3826</v>
      </c>
      <c r="AF277" s="56" t="s">
        <v>1134</v>
      </c>
      <c r="AG277" s="27" t="s">
        <v>308</v>
      </c>
      <c r="AH277" s="27" t="s">
        <v>308</v>
      </c>
      <c r="AI277" s="628" t="s">
        <v>304</v>
      </c>
      <c r="AJ277" s="17">
        <v>103819</v>
      </c>
      <c r="AK277" s="629"/>
      <c r="AL277" s="388" t="s">
        <v>3827</v>
      </c>
    </row>
    <row r="278" spans="1:38" ht="52.8" x14ac:dyDescent="0.3">
      <c r="A278" s="614">
        <v>45567</v>
      </c>
      <c r="B278" s="9" t="s">
        <v>3828</v>
      </c>
      <c r="C278" s="347" t="s">
        <v>1050</v>
      </c>
      <c r="D278" s="41" t="str">
        <f>VLOOKUP($C278,Customers!$A$2:$Z$1010,2,FALSE)</f>
        <v>Michelle Tseng</v>
      </c>
      <c r="E278" s="352" t="s">
        <v>16</v>
      </c>
      <c r="F278" s="41" t="str">
        <f xml:space="preserve"> VLOOKUP($C278,Customers!$A$2:$Z$1010,5,FALSE)</f>
        <v>University of British Columbia</v>
      </c>
      <c r="G278" s="41" t="str">
        <f>VLOOKUP($C278,Customers!$A$2:$Z$1010,10,FALSE) &amp; ", " &amp; VLOOKUP($C278,Customers!$A$2:$Z$1010,11,FALSE)</f>
        <v>Vancouver, BC</v>
      </c>
      <c r="H278" s="41" t="str">
        <f>VLOOKUP($C278,Customers!$A$2:$Z$1010,13,FALSE)</f>
        <v>Canada</v>
      </c>
      <c r="I278" s="41" t="str">
        <f>VLOOKUP($C278,Customers!$A$2:$Z$1010,18,FALSE)</f>
        <v>CA</v>
      </c>
      <c r="J278" s="3" t="s">
        <v>306</v>
      </c>
      <c r="K278" s="9">
        <v>5</v>
      </c>
      <c r="L278" s="3">
        <v>1</v>
      </c>
      <c r="M278" s="9">
        <v>15</v>
      </c>
      <c r="N278" s="3">
        <f>1</f>
        <v>1</v>
      </c>
      <c r="O278" s="36" t="s">
        <v>16</v>
      </c>
      <c r="P278" s="41">
        <v>0</v>
      </c>
      <c r="Q278" s="36" t="s">
        <v>16</v>
      </c>
      <c r="R278" s="41">
        <v>0</v>
      </c>
      <c r="S278" s="9" t="s">
        <v>16</v>
      </c>
      <c r="T278" s="24" t="s">
        <v>3317</v>
      </c>
      <c r="U278" s="24" t="s">
        <v>402</v>
      </c>
      <c r="V278" s="630">
        <f>150</f>
        <v>150</v>
      </c>
      <c r="W278" s="631" t="s">
        <v>16</v>
      </c>
      <c r="X278" s="631" t="s">
        <v>16</v>
      </c>
      <c r="Y278" s="631" t="s">
        <v>16</v>
      </c>
      <c r="Z278" s="26">
        <f t="shared" si="67"/>
        <v>150</v>
      </c>
      <c r="AA278" s="35">
        <v>30</v>
      </c>
      <c r="AB278" s="27">
        <f>SUM(Z278:AA278)</f>
        <v>180</v>
      </c>
      <c r="AC278" s="27" t="s">
        <v>304</v>
      </c>
      <c r="AD278" s="20" t="s">
        <v>16</v>
      </c>
      <c r="AE278" s="30">
        <v>45572</v>
      </c>
      <c r="AF278" s="43" t="s">
        <v>3829</v>
      </c>
      <c r="AG278" s="626">
        <v>22.98</v>
      </c>
      <c r="AH278" s="626">
        <v>22.25</v>
      </c>
      <c r="AI278" s="10" t="s">
        <v>304</v>
      </c>
      <c r="AJ278" s="37">
        <v>104982</v>
      </c>
      <c r="AK278" s="645">
        <v>45611</v>
      </c>
      <c r="AL278" s="33" t="s">
        <v>4068</v>
      </c>
    </row>
    <row r="279" spans="1:38" ht="52.8" x14ac:dyDescent="0.3">
      <c r="A279" s="614">
        <v>45574</v>
      </c>
      <c r="B279" s="9" t="s">
        <v>3830</v>
      </c>
      <c r="C279" s="3" t="s">
        <v>1045</v>
      </c>
      <c r="D279" s="41" t="str">
        <f>VLOOKUP($C279,Customers!$A$2:$Z$1010,2,FALSE)</f>
        <v>Adam Wartman</v>
      </c>
      <c r="E279" s="381" t="s">
        <v>2313</v>
      </c>
      <c r="F279" s="41" t="str">
        <f xml:space="preserve"> VLOOKUP($C279,Customers!$A$2:$Z$1010,5,FALSE)</f>
        <v>Nautilus Environmental Company Inc. - Guelph</v>
      </c>
      <c r="G279" s="41" t="str">
        <f>VLOOKUP($C279,Customers!$A$2:$Z$1010,10,FALSE) &amp; ", " &amp; VLOOKUP($C279,Customers!$A$2:$Z$1010,11,FALSE)</f>
        <v>Puslinch, ON</v>
      </c>
      <c r="H279" s="41" t="str">
        <f>VLOOKUP($C279,Customers!$A$2:$Z$1010,13,FALSE)</f>
        <v>Canada</v>
      </c>
      <c r="I279" s="41" t="str">
        <f>VLOOKUP($C279,Customers!$A$2:$Z$1010,18,FALSE)</f>
        <v>CC</v>
      </c>
      <c r="J279" s="22" t="s">
        <v>306</v>
      </c>
      <c r="K279" s="20" t="s">
        <v>16</v>
      </c>
      <c r="L279" s="36">
        <v>0</v>
      </c>
      <c r="M279" s="9">
        <v>0</v>
      </c>
      <c r="N279" s="36">
        <v>0</v>
      </c>
      <c r="O279" s="20" t="s">
        <v>16</v>
      </c>
      <c r="P279" s="22">
        <v>0</v>
      </c>
      <c r="Q279" s="20" t="s">
        <v>318</v>
      </c>
      <c r="R279" s="22">
        <v>2000</v>
      </c>
      <c r="S279" s="20" t="s">
        <v>16</v>
      </c>
      <c r="T279" s="24" t="s">
        <v>1192</v>
      </c>
      <c r="U279" s="24" t="s">
        <v>1193</v>
      </c>
      <c r="V279" s="349" t="s">
        <v>16</v>
      </c>
      <c r="W279" s="349" t="s">
        <v>16</v>
      </c>
      <c r="X279" s="348">
        <f>520+25</f>
        <v>545</v>
      </c>
      <c r="Y279" s="349" t="s">
        <v>16</v>
      </c>
      <c r="Z279" s="35">
        <f>520+25</f>
        <v>545</v>
      </c>
      <c r="AA279" s="27">
        <v>25</v>
      </c>
      <c r="AB279" s="27">
        <f t="shared" ref="AB279:AB282" si="69">SUM(Z279:AA279)</f>
        <v>570</v>
      </c>
      <c r="AC279" s="27" t="s">
        <v>304</v>
      </c>
      <c r="AD279" s="41" t="s">
        <v>16</v>
      </c>
      <c r="AE279" s="30">
        <v>45581</v>
      </c>
      <c r="AF279" s="43" t="s">
        <v>3831</v>
      </c>
      <c r="AG279" s="27">
        <v>6.81</v>
      </c>
      <c r="AH279" s="27">
        <v>6.23</v>
      </c>
      <c r="AI279" s="40" t="s">
        <v>304</v>
      </c>
      <c r="AJ279" s="31">
        <v>102886</v>
      </c>
      <c r="AK279" s="696">
        <v>45629</v>
      </c>
      <c r="AL279" s="42" t="s">
        <v>3832</v>
      </c>
    </row>
    <row r="280" spans="1:38" ht="92.4" x14ac:dyDescent="0.3">
      <c r="A280" s="614">
        <v>45575</v>
      </c>
      <c r="B280" s="9" t="s">
        <v>3833</v>
      </c>
      <c r="C280" s="3" t="s">
        <v>2391</v>
      </c>
      <c r="D280" s="41" t="str">
        <f>VLOOKUP($C280,Customers!$A$2:$Z$1010,2,FALSE)</f>
        <v>Alexei Guerra</v>
      </c>
      <c r="E280" s="351" t="s">
        <v>3556</v>
      </c>
      <c r="F280" s="41" t="str">
        <f xml:space="preserve"> VLOOKUP($C280,Customers!$A$2:$Z$1010,5,FALSE)</f>
        <v>Universite de Montreal</v>
      </c>
      <c r="G280" s="41" t="str">
        <f>VLOOKUP($C280,Customers!$A$2:$Z$1010,10,FALSE) &amp; ", " &amp; VLOOKUP($C280,Customers!$A$2:$Z$1010,11,FALSE)</f>
        <v>Outremont, QC</v>
      </c>
      <c r="H280" s="41" t="str">
        <f>VLOOKUP($C280,Customers!$A$2:$Z$1010,13,FALSE)</f>
        <v>Canada</v>
      </c>
      <c r="I280" s="41" t="str">
        <f>VLOOKUP($C280,Customers!$A$2:$Z$1010,18,FALSE)</f>
        <v>CA</v>
      </c>
      <c r="J280" s="3" t="s">
        <v>306</v>
      </c>
      <c r="K280" s="9" t="s">
        <v>4247</v>
      </c>
      <c r="L280" s="9">
        <v>4</v>
      </c>
      <c r="M280" s="9" t="s">
        <v>2917</v>
      </c>
      <c r="N280" s="662">
        <f>2+2+2+2</f>
        <v>8</v>
      </c>
      <c r="O280" s="15" t="s">
        <v>16</v>
      </c>
      <c r="P280" s="9">
        <v>0</v>
      </c>
      <c r="Q280" s="15" t="s">
        <v>16</v>
      </c>
      <c r="R280" s="9">
        <v>0</v>
      </c>
      <c r="S280" s="9" t="s">
        <v>16</v>
      </c>
      <c r="T280" s="24" t="s">
        <v>3834</v>
      </c>
      <c r="U280" s="13" t="s">
        <v>3835</v>
      </c>
      <c r="V280" s="183">
        <f>45*4</f>
        <v>180</v>
      </c>
      <c r="W280" s="631" t="s">
        <v>16</v>
      </c>
      <c r="X280" s="631" t="s">
        <v>16</v>
      </c>
      <c r="Y280" s="631" t="s">
        <v>16</v>
      </c>
      <c r="Z280" s="26">
        <f t="shared" ref="Z280:Z281" si="70">SUM(V280:Y280)</f>
        <v>180</v>
      </c>
      <c r="AA280" s="16" t="s">
        <v>1293</v>
      </c>
      <c r="AB280" s="27">
        <f t="shared" si="69"/>
        <v>180</v>
      </c>
      <c r="AC280" s="10" t="s">
        <v>304</v>
      </c>
      <c r="AD280" s="9" t="s">
        <v>3836</v>
      </c>
      <c r="AE280" s="30">
        <v>45602</v>
      </c>
      <c r="AF280" s="394" t="s">
        <v>3837</v>
      </c>
      <c r="AG280" s="27">
        <v>8.56</v>
      </c>
      <c r="AH280" s="395"/>
      <c r="AI280" s="50" t="s">
        <v>304</v>
      </c>
      <c r="AJ280" s="31">
        <v>111982</v>
      </c>
      <c r="AK280" s="632" t="s">
        <v>3838</v>
      </c>
      <c r="AL280" s="18" t="s">
        <v>4069</v>
      </c>
    </row>
    <row r="281" spans="1:38" ht="39.6" x14ac:dyDescent="0.3">
      <c r="A281" s="614">
        <v>45576</v>
      </c>
      <c r="B281" s="9" t="s">
        <v>3839</v>
      </c>
      <c r="C281" s="3" t="s">
        <v>3840</v>
      </c>
      <c r="D281" s="41" t="str">
        <f>VLOOKUP($C281,Customers!$A$2:$Z$1010,2,FALSE)</f>
        <v>Adrien Rizzi</v>
      </c>
      <c r="E281" s="381" t="s">
        <v>16</v>
      </c>
      <c r="F281" s="41" t="str">
        <f xml:space="preserve"> VLOOKUP($C281,Customers!$A$2:$Z$1010,5,FALSE)</f>
        <v>CRB Innovations Inc.</v>
      </c>
      <c r="G281" s="41" t="str">
        <f>VLOOKUP($C281,Customers!$A$2:$Z$1010,10,FALSE) &amp; ", " &amp; VLOOKUP($C281,Customers!$A$2:$Z$1010,11,FALSE)</f>
        <v>Westbury, QC</v>
      </c>
      <c r="H281" s="41" t="str">
        <f>VLOOKUP($C281,Customers!$A$2:$Z$1010,13,FALSE)</f>
        <v>Canada</v>
      </c>
      <c r="I281" s="41" t="str">
        <f>VLOOKUP($C281,Customers!$A$2:$Z$1010,18,FALSE)</f>
        <v>CG</v>
      </c>
      <c r="J281" s="3" t="s">
        <v>304</v>
      </c>
      <c r="K281" s="20" t="s">
        <v>16</v>
      </c>
      <c r="L281" s="20">
        <v>0</v>
      </c>
      <c r="M281" s="9">
        <v>0</v>
      </c>
      <c r="N281" s="20">
        <v>0</v>
      </c>
      <c r="O281" s="9" t="s">
        <v>353</v>
      </c>
      <c r="P281" s="9">
        <v>3</v>
      </c>
      <c r="Q281" s="20" t="s">
        <v>16</v>
      </c>
      <c r="R281" s="9">
        <v>0</v>
      </c>
      <c r="S281" s="20" t="s">
        <v>16</v>
      </c>
      <c r="T281" s="13" t="s">
        <v>3841</v>
      </c>
      <c r="U281" s="25" t="s">
        <v>3842</v>
      </c>
      <c r="V281" s="378" t="s">
        <v>16</v>
      </c>
      <c r="W281" s="183">
        <f>80*3</f>
        <v>240</v>
      </c>
      <c r="X281" s="378" t="s">
        <v>16</v>
      </c>
      <c r="Y281" s="378" t="s">
        <v>16</v>
      </c>
      <c r="Z281" s="26">
        <f t="shared" si="70"/>
        <v>240</v>
      </c>
      <c r="AA281" s="10">
        <v>25</v>
      </c>
      <c r="AB281" s="27">
        <f t="shared" si="69"/>
        <v>265</v>
      </c>
      <c r="AC281" s="10" t="s">
        <v>304</v>
      </c>
      <c r="AD281" s="20" t="s">
        <v>16</v>
      </c>
      <c r="AE281" s="30">
        <v>45586</v>
      </c>
      <c r="AF281" s="43" t="s">
        <v>3843</v>
      </c>
      <c r="AG281" s="27">
        <v>7.34</v>
      </c>
      <c r="AH281" s="27">
        <v>7.71</v>
      </c>
      <c r="AI281" s="8" t="s">
        <v>304</v>
      </c>
      <c r="AJ281" s="31" t="s">
        <v>3844</v>
      </c>
      <c r="AK281" s="700">
        <v>45629</v>
      </c>
      <c r="AL281" s="42" t="s">
        <v>3845</v>
      </c>
    </row>
    <row r="282" spans="1:38" ht="26.4" x14ac:dyDescent="0.3">
      <c r="A282" s="614">
        <v>45583</v>
      </c>
      <c r="B282" s="9" t="s">
        <v>3846</v>
      </c>
      <c r="C282" s="3" t="s">
        <v>2598</v>
      </c>
      <c r="D282" s="41" t="str">
        <f>VLOOKUP($C282,Customers!$A$2:$Z$1010,2,FALSE)</f>
        <v>Joey Bernhardt</v>
      </c>
      <c r="E282" s="351" t="s">
        <v>3847</v>
      </c>
      <c r="F282" s="41" t="str">
        <f xml:space="preserve"> VLOOKUP($C282,Customers!$A$2:$Z$1010,5,FALSE)</f>
        <v>University of Guelph</v>
      </c>
      <c r="G282" s="41" t="str">
        <f>VLOOKUP($C282,Customers!$A$2:$Z$1010,10,FALSE) &amp; ", " &amp; VLOOKUP($C282,Customers!$A$2:$Z$1010,11,FALSE)</f>
        <v>Guelph, ON</v>
      </c>
      <c r="H282" s="41" t="str">
        <f>VLOOKUP($C282,Customers!$A$2:$Z$1010,13,FALSE)</f>
        <v>Canada</v>
      </c>
      <c r="I282" s="41" t="str">
        <f>VLOOKUP($C282,Customers!$A$2:$Z$1010,18,FALSE)</f>
        <v>CA</v>
      </c>
      <c r="J282" s="3" t="s">
        <v>304</v>
      </c>
      <c r="K282" s="9">
        <v>243</v>
      </c>
      <c r="L282" s="22">
        <v>1</v>
      </c>
      <c r="M282" s="9">
        <v>15</v>
      </c>
      <c r="N282" s="22">
        <f>1</f>
        <v>1</v>
      </c>
      <c r="O282" s="20" t="s">
        <v>16</v>
      </c>
      <c r="P282" s="22">
        <v>0</v>
      </c>
      <c r="Q282" s="20" t="s">
        <v>16</v>
      </c>
      <c r="R282" s="22">
        <v>0</v>
      </c>
      <c r="S282" s="20" t="s">
        <v>16</v>
      </c>
      <c r="T282" s="24" t="s">
        <v>3475</v>
      </c>
      <c r="U282" s="52" t="s">
        <v>402</v>
      </c>
      <c r="V282" s="349">
        <v>150</v>
      </c>
      <c r="W282" s="349" t="s">
        <v>16</v>
      </c>
      <c r="X282" s="349" t="s">
        <v>16</v>
      </c>
      <c r="Y282" s="349" t="s">
        <v>16</v>
      </c>
      <c r="Z282" s="35">
        <f>150</f>
        <v>150</v>
      </c>
      <c r="AA282" s="27" t="s">
        <v>308</v>
      </c>
      <c r="AB282" s="26">
        <f t="shared" si="69"/>
        <v>150</v>
      </c>
      <c r="AC282" s="10" t="s">
        <v>304</v>
      </c>
      <c r="AD282" s="28" t="s">
        <v>3848</v>
      </c>
      <c r="AE282" s="30">
        <v>45594</v>
      </c>
      <c r="AF282" s="5" t="s">
        <v>3849</v>
      </c>
      <c r="AG282" s="350" t="s">
        <v>308</v>
      </c>
      <c r="AH282" s="27" t="s">
        <v>308</v>
      </c>
      <c r="AI282" s="55" t="s">
        <v>304</v>
      </c>
      <c r="AJ282" s="31">
        <v>103794</v>
      </c>
      <c r="AK282" s="136" t="s">
        <v>3850</v>
      </c>
      <c r="AL282" s="45" t="s">
        <v>3851</v>
      </c>
    </row>
    <row r="283" spans="1:38" s="3" customFormat="1" ht="51.75" customHeight="1" x14ac:dyDescent="0.3">
      <c r="A283" s="633">
        <v>45586</v>
      </c>
      <c r="B283" s="53" t="s">
        <v>3852</v>
      </c>
      <c r="C283" s="3" t="s">
        <v>3853</v>
      </c>
      <c r="D283" s="41" t="str">
        <f>VLOOKUP($C283,Customers!$A$2:$Z$1010,2,FALSE)</f>
        <v>Irena Creed</v>
      </c>
      <c r="E283" s="9" t="s">
        <v>3854</v>
      </c>
      <c r="F283" s="41" t="str">
        <f xml:space="preserve"> VLOOKUP($C283,Customers!$A$2:$Z$1010,5,FALSE)</f>
        <v>University of Toronto Scarborough</v>
      </c>
      <c r="G283" s="41" t="str">
        <f>VLOOKUP($C283,Customers!$A$2:$Z$1010,10,FALSE) &amp; ", " &amp; VLOOKUP($C283,Customers!$A$2:$Z$1010,11,FALSE)</f>
        <v>Scarborough, ON</v>
      </c>
      <c r="H283" s="41" t="str">
        <f>VLOOKUP($C283,Customers!$A$2:$Z$1010,13,FALSE)</f>
        <v>Canada</v>
      </c>
      <c r="I283" s="41" t="str">
        <f>VLOOKUP($C283,Customers!$A$2:$Z$1010,18,FALSE)</f>
        <v>CA</v>
      </c>
      <c r="J283" s="1112" t="s">
        <v>304</v>
      </c>
      <c r="K283" s="9" t="s">
        <v>3855</v>
      </c>
      <c r="L283" s="9">
        <v>6</v>
      </c>
      <c r="M283" s="9" t="s">
        <v>3340</v>
      </c>
      <c r="N283" s="9">
        <f>1+1+1+1+1+1</f>
        <v>6</v>
      </c>
      <c r="O283" s="20" t="s">
        <v>16</v>
      </c>
      <c r="P283" s="9">
        <v>0</v>
      </c>
      <c r="Q283" s="20" t="s">
        <v>16</v>
      </c>
      <c r="R283" s="41">
        <v>0</v>
      </c>
      <c r="S283" s="20" t="s">
        <v>16</v>
      </c>
      <c r="T283" s="13" t="s">
        <v>3856</v>
      </c>
      <c r="U283" s="1113" t="s">
        <v>3857</v>
      </c>
      <c r="V283" s="155">
        <f>135*6</f>
        <v>810</v>
      </c>
      <c r="W283" s="634" t="s">
        <v>16</v>
      </c>
      <c r="X283" s="634" t="s">
        <v>16</v>
      </c>
      <c r="Y283" s="634" t="s">
        <v>16</v>
      </c>
      <c r="Z283" s="155">
        <f>135*6</f>
        <v>810</v>
      </c>
      <c r="AA283" s="16" t="s">
        <v>425</v>
      </c>
      <c r="AB283" s="1114">
        <f>SUM(Z283:AA284)</f>
        <v>1350</v>
      </c>
      <c r="AC283" s="10" t="s">
        <v>304</v>
      </c>
      <c r="AD283" s="1112" t="s">
        <v>3858</v>
      </c>
      <c r="AE283" s="5">
        <v>45601</v>
      </c>
      <c r="AF283" s="56" t="s">
        <v>3859</v>
      </c>
      <c r="AG283" s="27">
        <v>6.29</v>
      </c>
      <c r="AH283" s="185"/>
      <c r="AI283" s="1115" t="s">
        <v>304</v>
      </c>
      <c r="AJ283" s="1116">
        <v>107313</v>
      </c>
      <c r="AK283" s="736"/>
      <c r="AL283" s="1117" t="s">
        <v>3860</v>
      </c>
    </row>
    <row r="284" spans="1:38" s="3" customFormat="1" ht="51.75" customHeight="1" x14ac:dyDescent="0.3">
      <c r="A284" s="633">
        <v>45586</v>
      </c>
      <c r="B284" s="53" t="s">
        <v>3861</v>
      </c>
      <c r="C284" s="3" t="s">
        <v>3853</v>
      </c>
      <c r="D284" s="41" t="str">
        <f>VLOOKUP($C284,Customers!$A$2:$Z$1010,2,FALSE)</f>
        <v>Irena Creed</v>
      </c>
      <c r="E284" s="9" t="s">
        <v>3854</v>
      </c>
      <c r="F284" s="41" t="str">
        <f xml:space="preserve"> VLOOKUP($C284,Customers!$A$2:$Z$1010,5,FALSE)</f>
        <v>University of Toronto Scarborough</v>
      </c>
      <c r="G284" s="41" t="str">
        <f>VLOOKUP($C284,Customers!$A$2:$Z$1010,10,FALSE) &amp; ", " &amp; VLOOKUP($C284,Customers!$A$2:$Z$1010,11,FALSE)</f>
        <v>Scarborough, ON</v>
      </c>
      <c r="H284" s="41" t="str">
        <f>VLOOKUP($C284,Customers!$A$2:$Z$1010,13,FALSE)</f>
        <v>Canada</v>
      </c>
      <c r="I284" s="41" t="str">
        <f>VLOOKUP($C284,Customers!$A$2:$Z$1010,18,FALSE)</f>
        <v>CA</v>
      </c>
      <c r="J284" s="1112"/>
      <c r="K284" s="9" t="s">
        <v>3862</v>
      </c>
      <c r="L284" s="9">
        <v>4</v>
      </c>
      <c r="M284" s="9" t="s">
        <v>2917</v>
      </c>
      <c r="N284" s="9">
        <f>1+1+1+1</f>
        <v>4</v>
      </c>
      <c r="O284" s="20" t="s">
        <v>16</v>
      </c>
      <c r="P284" s="9">
        <v>0</v>
      </c>
      <c r="Q284" s="20" t="s">
        <v>16</v>
      </c>
      <c r="R284" s="41">
        <v>0</v>
      </c>
      <c r="S284" s="20" t="s">
        <v>16</v>
      </c>
      <c r="T284" s="13" t="s">
        <v>3863</v>
      </c>
      <c r="U284" s="1113"/>
      <c r="V284" s="155">
        <f>135*4</f>
        <v>540</v>
      </c>
      <c r="W284" s="634" t="s">
        <v>16</v>
      </c>
      <c r="X284" s="634" t="s">
        <v>16</v>
      </c>
      <c r="Y284" s="634" t="s">
        <v>16</v>
      </c>
      <c r="Z284" s="155">
        <f>135*4</f>
        <v>540</v>
      </c>
      <c r="AA284" s="16" t="s">
        <v>425</v>
      </c>
      <c r="AB284" s="1114"/>
      <c r="AC284" s="48" t="s">
        <v>304</v>
      </c>
      <c r="AD284" s="1112"/>
      <c r="AE284" s="137" t="s">
        <v>3864</v>
      </c>
      <c r="AF284" s="56" t="s">
        <v>3865</v>
      </c>
      <c r="AG284" s="185"/>
      <c r="AH284" s="185"/>
      <c r="AI284" s="1115"/>
      <c r="AJ284" s="1116"/>
      <c r="AK284" s="736"/>
      <c r="AL284" s="1117"/>
    </row>
    <row r="285" spans="1:38" ht="39.6" x14ac:dyDescent="0.3">
      <c r="A285" s="614">
        <v>45587</v>
      </c>
      <c r="B285" s="41" t="s">
        <v>3866</v>
      </c>
      <c r="C285" s="22" t="s">
        <v>3867</v>
      </c>
      <c r="D285" s="41" t="str">
        <f>VLOOKUP($C285,Customers!$A$2:$Z$1010,2,FALSE)</f>
        <v>Yang Xu</v>
      </c>
      <c r="E285" s="351" t="s">
        <v>3868</v>
      </c>
      <c r="F285" s="41" t="str">
        <f xml:space="preserve"> VLOOKUP($C285,Customers!$A$2:$Z$1010,5,FALSE)</f>
        <v>University of Guelph</v>
      </c>
      <c r="G285" s="41" t="str">
        <f>VLOOKUP($C285,Customers!$A$2:$Z$1010,10,FALSE) &amp; ", " &amp; VLOOKUP($C285,Customers!$A$2:$Z$1010,11,FALSE)</f>
        <v>Guelph, ON</v>
      </c>
      <c r="H285" s="41" t="str">
        <f>VLOOKUP($C285,Customers!$A$2:$Z$1010,13,FALSE)</f>
        <v>Canada</v>
      </c>
      <c r="I285" s="41" t="str">
        <f>VLOOKUP($C285,Customers!$A$2:$Z$1010,18,FALSE)</f>
        <v>CA</v>
      </c>
      <c r="J285" s="3" t="s">
        <v>304</v>
      </c>
      <c r="K285" s="20" t="s">
        <v>16</v>
      </c>
      <c r="L285" s="20">
        <v>0</v>
      </c>
      <c r="M285" s="9">
        <v>0</v>
      </c>
      <c r="N285" s="20">
        <v>0</v>
      </c>
      <c r="O285" s="20" t="s">
        <v>16</v>
      </c>
      <c r="P285" s="9">
        <v>0</v>
      </c>
      <c r="Q285" s="9" t="s">
        <v>3764</v>
      </c>
      <c r="R285" s="9">
        <v>200</v>
      </c>
      <c r="S285" s="20" t="s">
        <v>16</v>
      </c>
      <c r="T285" s="24" t="s">
        <v>3869</v>
      </c>
      <c r="U285" s="25" t="s">
        <v>3870</v>
      </c>
      <c r="V285" s="378" t="s">
        <v>16</v>
      </c>
      <c r="W285" s="378" t="s">
        <v>16</v>
      </c>
      <c r="X285" s="183">
        <f>60+60</f>
        <v>120</v>
      </c>
      <c r="Y285" s="378" t="s">
        <v>16</v>
      </c>
      <c r="Z285" s="10">
        <f>60+60</f>
        <v>120</v>
      </c>
      <c r="AA285" s="10">
        <v>5</v>
      </c>
      <c r="AB285" s="10">
        <f>SUM(Z285:AA285)</f>
        <v>125</v>
      </c>
      <c r="AC285" s="10" t="s">
        <v>304</v>
      </c>
      <c r="AD285" s="41" t="s">
        <v>3871</v>
      </c>
      <c r="AE285" s="5">
        <v>45589</v>
      </c>
      <c r="AF285" s="29" t="s">
        <v>370</v>
      </c>
      <c r="AG285" s="350" t="s">
        <v>308</v>
      </c>
      <c r="AH285" s="350" t="s">
        <v>308</v>
      </c>
      <c r="AI285" s="55" t="s">
        <v>304</v>
      </c>
      <c r="AJ285" s="37">
        <v>103794</v>
      </c>
      <c r="AK285" s="696">
        <v>45629</v>
      </c>
      <c r="AL285" s="45" t="s">
        <v>3872</v>
      </c>
    </row>
    <row r="286" spans="1:38" ht="39.6" x14ac:dyDescent="0.3">
      <c r="A286" s="614">
        <v>45589</v>
      </c>
      <c r="B286" s="9" t="s">
        <v>3873</v>
      </c>
      <c r="C286" s="3" t="s">
        <v>1028</v>
      </c>
      <c r="D286" s="41" t="str">
        <f>VLOOKUP($C286,Customers!$A$2:$Z$1010,2,FALSE)</f>
        <v>Gabrielle Huppe</v>
      </c>
      <c r="E286" s="381" t="s">
        <v>16</v>
      </c>
      <c r="F286" s="41" t="str">
        <f xml:space="preserve"> VLOOKUP($C286,Customers!$A$2:$Z$1010,5,FALSE)</f>
        <v>Centre d'Expertise en Analyse Environnementale du Quebec (CEAEQ)</v>
      </c>
      <c r="G286" s="41" t="str">
        <f>VLOOKUP($C286,Customers!$A$2:$Z$1010,10,FALSE) &amp; ", " &amp; VLOOKUP($C286,Customers!$A$2:$Z$1010,11,FALSE)</f>
        <v>Quebec, QC</v>
      </c>
      <c r="H286" s="41" t="str">
        <f>VLOOKUP($C286,Customers!$A$2:$Z$1010,13,FALSE)</f>
        <v>Canada</v>
      </c>
      <c r="I286" s="41" t="str">
        <f>VLOOKUP($C286,Customers!$A$2:$Z$1010,18,FALSE)</f>
        <v>CG</v>
      </c>
      <c r="J286" s="22" t="s">
        <v>306</v>
      </c>
      <c r="K286" s="20" t="s">
        <v>16</v>
      </c>
      <c r="L286" s="22">
        <v>0</v>
      </c>
      <c r="M286" s="9">
        <v>0</v>
      </c>
      <c r="N286" s="22">
        <v>0</v>
      </c>
      <c r="O286" s="20" t="s">
        <v>371</v>
      </c>
      <c r="P286" s="22">
        <v>1</v>
      </c>
      <c r="Q286" s="20" t="s">
        <v>16</v>
      </c>
      <c r="R286" s="22">
        <v>0</v>
      </c>
      <c r="S286" s="20" t="s">
        <v>16</v>
      </c>
      <c r="T286" s="24" t="s">
        <v>1247</v>
      </c>
      <c r="U286" s="24" t="s">
        <v>386</v>
      </c>
      <c r="V286" s="349" t="s">
        <v>16</v>
      </c>
      <c r="W286" s="348">
        <v>65</v>
      </c>
      <c r="X286" s="349" t="s">
        <v>16</v>
      </c>
      <c r="Y286" s="349" t="s">
        <v>16</v>
      </c>
      <c r="Z286" s="27">
        <f>65</f>
        <v>65</v>
      </c>
      <c r="AA286" s="35">
        <v>25</v>
      </c>
      <c r="AB286" s="26">
        <f t="shared" ref="AB286" si="71">SUM(Z286:AA286)</f>
        <v>90</v>
      </c>
      <c r="AC286" s="10" t="s">
        <v>304</v>
      </c>
      <c r="AD286" s="41" t="s">
        <v>3874</v>
      </c>
      <c r="AE286" s="32">
        <v>45594</v>
      </c>
      <c r="AF286" s="394" t="s">
        <v>3875</v>
      </c>
      <c r="AG286" s="27">
        <v>5.71</v>
      </c>
      <c r="AH286" s="395"/>
      <c r="AI286" s="55" t="s">
        <v>304</v>
      </c>
      <c r="AJ286" s="31">
        <v>100033</v>
      </c>
      <c r="AK286" s="616" t="s">
        <v>3850</v>
      </c>
      <c r="AL286" s="33" t="s">
        <v>3823</v>
      </c>
    </row>
    <row r="287" spans="1:38" s="368" customFormat="1" ht="66.599999999999994" thickBot="1" x14ac:dyDescent="0.35">
      <c r="A287" s="615">
        <v>45589</v>
      </c>
      <c r="B287" s="353" t="s">
        <v>3876</v>
      </c>
      <c r="C287" s="354" t="s">
        <v>1033</v>
      </c>
      <c r="D287" s="356" t="str">
        <f>VLOOKUP($C287,Customers!$A$2:$Z$1010,2,FALSE)</f>
        <v>Charles (Chuck) Hopper</v>
      </c>
      <c r="E287" s="399" t="s">
        <v>2610</v>
      </c>
      <c r="F287" s="356" t="str">
        <f xml:space="preserve"> VLOOKUP($C287,Customers!$A$2:$Z$1010,5,FALSE)</f>
        <v>Environment and Climate Change Canada (ECCC) - Atlantic Laboratory for Environmental Testing (ALET)</v>
      </c>
      <c r="G287" s="356" t="str">
        <f>VLOOKUP($C287,Customers!$A$2:$Z$1010,10,FALSE) &amp; ", " &amp; VLOOKUP($C287,Customers!$A$2:$Z$1010,11,FALSE)</f>
        <v>Moncton, NB</v>
      </c>
      <c r="H287" s="356" t="str">
        <f>VLOOKUP($C287,Customers!$A$2:$Z$1010,13,FALSE)</f>
        <v>Canada</v>
      </c>
      <c r="I287" s="356" t="str">
        <f>VLOOKUP($C287,Customers!$A$2:$Z$1010,18,FALSE)</f>
        <v>CG</v>
      </c>
      <c r="J287" s="374" t="s">
        <v>306</v>
      </c>
      <c r="K287" s="353" t="s">
        <v>2817</v>
      </c>
      <c r="L287" s="353">
        <v>4</v>
      </c>
      <c r="M287" s="353" t="s">
        <v>3877</v>
      </c>
      <c r="N287" s="353">
        <f>2+1+1+1</f>
        <v>5</v>
      </c>
      <c r="O287" s="357" t="s">
        <v>16</v>
      </c>
      <c r="P287" s="353">
        <v>0</v>
      </c>
      <c r="Q287" s="353" t="s">
        <v>318</v>
      </c>
      <c r="R287" s="353">
        <v>500</v>
      </c>
      <c r="S287" s="353" t="s">
        <v>16</v>
      </c>
      <c r="T287" s="358" t="s">
        <v>4076</v>
      </c>
      <c r="U287" s="358" t="s">
        <v>3878</v>
      </c>
      <c r="V287" s="379">
        <f>150+150+150+195</f>
        <v>645</v>
      </c>
      <c r="W287" s="635" t="s">
        <v>16</v>
      </c>
      <c r="X287" s="636">
        <f>210</f>
        <v>210</v>
      </c>
      <c r="Y287" s="635" t="s">
        <v>16</v>
      </c>
      <c r="Z287" s="361">
        <f t="shared" ref="Z287:Z293" si="72">SUM(V287:Y287)</f>
        <v>855</v>
      </c>
      <c r="AA287" s="380" t="s">
        <v>3534</v>
      </c>
      <c r="AB287" s="362">
        <f t="shared" ref="AB287:AB293" si="73">SUM(Z287:AA287)</f>
        <v>855</v>
      </c>
      <c r="AC287" s="361" t="s">
        <v>304</v>
      </c>
      <c r="AD287" s="376" t="s">
        <v>16</v>
      </c>
      <c r="AE287" s="516">
        <v>45601</v>
      </c>
      <c r="AF287" s="625" t="s">
        <v>3879</v>
      </c>
      <c r="AG287" s="363">
        <v>36.200000000000003</v>
      </c>
      <c r="AH287" s="624"/>
      <c r="AI287" s="373" t="s">
        <v>304</v>
      </c>
      <c r="AJ287" s="366">
        <v>103165</v>
      </c>
      <c r="AK287" s="637" t="s">
        <v>3880</v>
      </c>
      <c r="AL287" s="475" t="s">
        <v>2417</v>
      </c>
    </row>
    <row r="288" spans="1:38" ht="66" x14ac:dyDescent="0.3">
      <c r="A288" s="614">
        <v>45603</v>
      </c>
      <c r="B288" s="9" t="s">
        <v>3881</v>
      </c>
      <c r="C288" s="22" t="s">
        <v>1021</v>
      </c>
      <c r="D288" s="41" t="str">
        <f>VLOOKUP($C288,Customers!$A$2:$Z$1010,2,FALSE)</f>
        <v>Donald Lai</v>
      </c>
      <c r="E288" s="43" t="s">
        <v>876</v>
      </c>
      <c r="F288" s="41" t="str">
        <f xml:space="preserve"> VLOOKUP($C288,Customers!$A$2:$Z$1010,5,FALSE)</f>
        <v>Bureau Veritas Laboratories - Burnaby</v>
      </c>
      <c r="G288" s="41" t="str">
        <f>VLOOKUP($C288,Customers!$A$2:$Z$1010,10,FALSE) &amp; ", " &amp; VLOOKUP($C288,Customers!$A$2:$Z$1010,11,FALSE)</f>
        <v>Burnaby, BC</v>
      </c>
      <c r="H288" s="41" t="str">
        <f>VLOOKUP($C288,Customers!$A$2:$Z$1010,13,FALSE)</f>
        <v>Canada</v>
      </c>
      <c r="I288" s="611" t="str">
        <f>VLOOKUP($C288,Customers!$A$2:$Z$1010,18,FALSE)</f>
        <v>CC</v>
      </c>
      <c r="J288" s="3" t="s">
        <v>306</v>
      </c>
      <c r="K288" s="9">
        <v>715</v>
      </c>
      <c r="L288" s="9">
        <v>1</v>
      </c>
      <c r="M288" s="9">
        <v>30</v>
      </c>
      <c r="N288" s="9">
        <f>2</f>
        <v>2</v>
      </c>
      <c r="O288" s="20" t="s">
        <v>16</v>
      </c>
      <c r="P288" s="9">
        <v>0</v>
      </c>
      <c r="Q288" s="20" t="s">
        <v>16</v>
      </c>
      <c r="R288" s="9">
        <v>0</v>
      </c>
      <c r="S288" s="20" t="s">
        <v>16</v>
      </c>
      <c r="T288" s="6" t="s">
        <v>3882</v>
      </c>
      <c r="U288" s="638" t="s">
        <v>3883</v>
      </c>
      <c r="V288" s="183">
        <v>260</v>
      </c>
      <c r="W288" s="378" t="s">
        <v>16</v>
      </c>
      <c r="X288" s="378" t="s">
        <v>16</v>
      </c>
      <c r="Y288" s="378" t="s">
        <v>16</v>
      </c>
      <c r="Z288" s="10">
        <f t="shared" si="72"/>
        <v>260</v>
      </c>
      <c r="AA288" s="10">
        <v>5</v>
      </c>
      <c r="AB288" s="26">
        <f t="shared" si="73"/>
        <v>265</v>
      </c>
      <c r="AC288" s="27" t="s">
        <v>304</v>
      </c>
      <c r="AD288" s="41" t="s">
        <v>3884</v>
      </c>
      <c r="AE288" s="32">
        <v>45609</v>
      </c>
      <c r="AF288" s="43" t="s">
        <v>3885</v>
      </c>
      <c r="AG288" s="35" t="s">
        <v>308</v>
      </c>
      <c r="AH288" s="22" t="s">
        <v>308</v>
      </c>
      <c r="AI288" s="35" t="s">
        <v>304</v>
      </c>
      <c r="AJ288" s="31">
        <v>103380</v>
      </c>
      <c r="AK288" s="377" t="s">
        <v>3886</v>
      </c>
      <c r="AL288" s="33" t="s">
        <v>3887</v>
      </c>
    </row>
    <row r="289" spans="1:38" ht="79.2" x14ac:dyDescent="0.3">
      <c r="A289" s="614">
        <v>45609</v>
      </c>
      <c r="B289" s="9" t="s">
        <v>3888</v>
      </c>
      <c r="C289" s="41" t="s">
        <v>1043</v>
      </c>
      <c r="D289" s="41" t="str">
        <f>VLOOKUP($C289,Customers!$A$2:$Z$1010,2,FALSE)</f>
        <v>Lidan Tao</v>
      </c>
      <c r="E289" s="381" t="s">
        <v>16</v>
      </c>
      <c r="F289" s="41" t="str">
        <f xml:space="preserve"> VLOOKUP($C289,Customers!$A$2:$Z$1010,5,FALSE)</f>
        <v>Memorial University of Newfoundland</v>
      </c>
      <c r="G289" s="41" t="str">
        <f>VLOOKUP($C289,Customers!$A$2:$Z$1010,10,FALSE) &amp; ", " &amp; VLOOKUP($C289,Customers!$A$2:$Z$1010,11,FALSE)</f>
        <v>St. John’s, NL</v>
      </c>
      <c r="H289" s="41" t="str">
        <f>VLOOKUP($C289,Customers!$A$2:$Z$1010,13,FALSE)</f>
        <v>Canada</v>
      </c>
      <c r="I289" s="41" t="str">
        <f>VLOOKUP($C289,Customers!$A$2:$Z$1010,18,FALSE)</f>
        <v>CA</v>
      </c>
      <c r="J289" s="34" t="s">
        <v>306</v>
      </c>
      <c r="K289" s="41" t="s">
        <v>16</v>
      </c>
      <c r="L289" s="139">
        <v>0</v>
      </c>
      <c r="M289" s="139">
        <v>0</v>
      </c>
      <c r="N289" s="139">
        <v>0</v>
      </c>
      <c r="O289" s="41" t="s">
        <v>352</v>
      </c>
      <c r="P289" s="139">
        <v>8</v>
      </c>
      <c r="Q289" s="22" t="s">
        <v>318</v>
      </c>
      <c r="R289" s="41">
        <v>50</v>
      </c>
      <c r="S289" s="41" t="s">
        <v>16</v>
      </c>
      <c r="T289" s="24" t="s">
        <v>3889</v>
      </c>
      <c r="U289" s="24" t="s">
        <v>3890</v>
      </c>
      <c r="V289" s="46" t="s">
        <v>16</v>
      </c>
      <c r="W289" s="46">
        <f>60*8</f>
        <v>480</v>
      </c>
      <c r="X289" s="46">
        <v>70</v>
      </c>
      <c r="Y289" s="46" t="s">
        <v>16</v>
      </c>
      <c r="Z289" s="10">
        <f t="shared" si="72"/>
        <v>550</v>
      </c>
      <c r="AA289" s="48" t="s">
        <v>3982</v>
      </c>
      <c r="AB289" s="26">
        <f t="shared" si="73"/>
        <v>550</v>
      </c>
      <c r="AC289" s="27" t="s">
        <v>304</v>
      </c>
      <c r="AD289" s="28" t="s">
        <v>3891</v>
      </c>
      <c r="AE289" s="30">
        <v>45621</v>
      </c>
      <c r="AF289" s="56" t="s">
        <v>3980</v>
      </c>
      <c r="AG289" s="672">
        <v>66.77</v>
      </c>
      <c r="AH289" s="48"/>
      <c r="AI289" s="53" t="s">
        <v>304</v>
      </c>
      <c r="AJ289" s="47">
        <v>103401</v>
      </c>
      <c r="AK289" s="632" t="s">
        <v>3981</v>
      </c>
      <c r="AL289" s="33" t="s">
        <v>3976</v>
      </c>
    </row>
    <row r="290" spans="1:38" ht="39.6" x14ac:dyDescent="0.3">
      <c r="A290" s="614">
        <v>45611</v>
      </c>
      <c r="B290" s="9" t="s">
        <v>3892</v>
      </c>
      <c r="C290" s="22" t="s">
        <v>2524</v>
      </c>
      <c r="D290" s="41" t="str">
        <f>VLOOKUP($C290,Customers!$A$2:$Z$1010,2,FALSE)</f>
        <v>Monica Emelko</v>
      </c>
      <c r="E290" s="43" t="s">
        <v>2099</v>
      </c>
      <c r="F290" s="41" t="str">
        <f xml:space="preserve"> VLOOKUP($C290,Customers!$A$2:$Z$1010,5,FALSE)</f>
        <v>University of Waterloo</v>
      </c>
      <c r="G290" s="41" t="str">
        <f>VLOOKUP($C290,Customers!$A$2:$Z$1010,10,FALSE) &amp; ", " &amp; VLOOKUP($C290,Customers!$A$2:$Z$1010,11,FALSE)</f>
        <v>Waterloo, ON</v>
      </c>
      <c r="H290" s="41" t="str">
        <f>VLOOKUP($C290,Customers!$A$2:$Z$1010,13,FALSE)</f>
        <v>Canada</v>
      </c>
      <c r="I290" s="41" t="str">
        <f>VLOOKUP($C290,Customers!$A$2:$Z$1010,18,FALSE)</f>
        <v>CA</v>
      </c>
      <c r="J290" s="3" t="s">
        <v>306</v>
      </c>
      <c r="K290" s="20" t="s">
        <v>16</v>
      </c>
      <c r="L290" s="9">
        <v>0</v>
      </c>
      <c r="M290" s="9">
        <v>0</v>
      </c>
      <c r="N290" s="9">
        <v>0</v>
      </c>
      <c r="O290" s="9" t="s">
        <v>353</v>
      </c>
      <c r="P290" s="9">
        <v>3</v>
      </c>
      <c r="Q290" s="20" t="s">
        <v>16</v>
      </c>
      <c r="R290" s="9">
        <v>0</v>
      </c>
      <c r="S290" s="20" t="s">
        <v>16</v>
      </c>
      <c r="T290" s="6" t="s">
        <v>3358</v>
      </c>
      <c r="U290" s="13" t="s">
        <v>3359</v>
      </c>
      <c r="V290" s="378" t="s">
        <v>16</v>
      </c>
      <c r="W290" s="183">
        <f>50*3</f>
        <v>150</v>
      </c>
      <c r="X290" s="378" t="s">
        <v>16</v>
      </c>
      <c r="Y290" s="378" t="s">
        <v>16</v>
      </c>
      <c r="Z290" s="10">
        <f t="shared" si="72"/>
        <v>150</v>
      </c>
      <c r="AA290" s="10" t="s">
        <v>308</v>
      </c>
      <c r="AB290" s="26">
        <f t="shared" si="73"/>
        <v>150</v>
      </c>
      <c r="AC290" s="10" t="s">
        <v>304</v>
      </c>
      <c r="AD290" s="20" t="s">
        <v>16</v>
      </c>
      <c r="AE290" s="30">
        <v>45617</v>
      </c>
      <c r="AF290" s="30" t="s">
        <v>1297</v>
      </c>
      <c r="AG290" s="27" t="s">
        <v>308</v>
      </c>
      <c r="AH290" s="27" t="s">
        <v>308</v>
      </c>
      <c r="AI290" s="55" t="s">
        <v>308</v>
      </c>
      <c r="AJ290" s="22" t="s">
        <v>308</v>
      </c>
      <c r="AK290" s="616" t="s">
        <v>3782</v>
      </c>
      <c r="AL290" s="58" t="s">
        <v>3893</v>
      </c>
    </row>
    <row r="291" spans="1:38" ht="52.8" x14ac:dyDescent="0.3">
      <c r="A291" s="614">
        <v>45621</v>
      </c>
      <c r="B291" s="9" t="s">
        <v>3943</v>
      </c>
      <c r="C291" s="3" t="s">
        <v>3944</v>
      </c>
      <c r="D291" s="41" t="str">
        <f>VLOOKUP($C291,Customers!$A$2:$Z$1010,2,FALSE)</f>
        <v>Heidi Swanson</v>
      </c>
      <c r="E291" s="381" t="s">
        <v>16</v>
      </c>
      <c r="F291" s="41" t="str">
        <f xml:space="preserve"> VLOOKUP($C291,Customers!$A$2:$Z$1010,5,FALSE)</f>
        <v>University of Waterloo</v>
      </c>
      <c r="G291" s="41" t="str">
        <f>VLOOKUP($C291,Customers!$A$2:$Z$1010,10,FALSE) &amp; ", " &amp; VLOOKUP($C291,Customers!$A$2:$Z$1010,11,FALSE)</f>
        <v>Waterloo, ON</v>
      </c>
      <c r="H291" s="41" t="str">
        <f>VLOOKUP($C291,Customers!$A$2:$Z$1010,13,FALSE)</f>
        <v>Canada</v>
      </c>
      <c r="I291" s="41" t="str">
        <f>VLOOKUP($C291,Customers!$A$2:$Z$1010,18,FALSE)</f>
        <v>CA</v>
      </c>
      <c r="J291" s="3" t="s">
        <v>304</v>
      </c>
      <c r="K291" s="9" t="s">
        <v>3945</v>
      </c>
      <c r="L291" s="9">
        <v>5</v>
      </c>
      <c r="M291" s="9" t="s">
        <v>3946</v>
      </c>
      <c r="N291" s="9">
        <f>1+1+1+2+2</f>
        <v>7</v>
      </c>
      <c r="O291" s="20" t="s">
        <v>16</v>
      </c>
      <c r="P291" s="9">
        <v>0</v>
      </c>
      <c r="Q291" s="20" t="s">
        <v>16</v>
      </c>
      <c r="R291" s="9">
        <v>0</v>
      </c>
      <c r="S291" s="20" t="s">
        <v>16</v>
      </c>
      <c r="T291" s="24" t="s">
        <v>3971</v>
      </c>
      <c r="U291" s="52" t="s">
        <v>4093</v>
      </c>
      <c r="V291" s="183">
        <f>(50*2)+(100)+(150*2)</f>
        <v>500</v>
      </c>
      <c r="W291" s="378" t="s">
        <v>16</v>
      </c>
      <c r="X291" s="378" t="s">
        <v>16</v>
      </c>
      <c r="Y291" s="378" t="s">
        <v>16</v>
      </c>
      <c r="Z291" s="10">
        <f t="shared" si="72"/>
        <v>500</v>
      </c>
      <c r="AA291" s="10" t="s">
        <v>308</v>
      </c>
      <c r="AB291" s="26">
        <f t="shared" si="73"/>
        <v>500</v>
      </c>
      <c r="AC291" s="664" t="s">
        <v>378</v>
      </c>
      <c r="AD291" s="41" t="s">
        <v>16</v>
      </c>
      <c r="AE291" s="643" t="s">
        <v>4041</v>
      </c>
      <c r="AF291" s="394" t="s">
        <v>3947</v>
      </c>
      <c r="AG291" s="27" t="s">
        <v>308</v>
      </c>
      <c r="AH291" s="27" t="s">
        <v>308</v>
      </c>
      <c r="AI291" s="55" t="s">
        <v>308</v>
      </c>
      <c r="AJ291" s="22" t="s">
        <v>308</v>
      </c>
      <c r="AK291" s="644" t="s">
        <v>3948</v>
      </c>
      <c r="AL291" s="642" t="s">
        <v>4059</v>
      </c>
    </row>
    <row r="292" spans="1:38" ht="39.6" x14ac:dyDescent="0.3">
      <c r="A292" s="614">
        <v>45623</v>
      </c>
      <c r="B292" s="9" t="s">
        <v>3972</v>
      </c>
      <c r="C292" s="3" t="s">
        <v>2427</v>
      </c>
      <c r="D292" s="41" t="str">
        <f>VLOOKUP($C292,Customers!$A$2:$Z$1010,2,FALSE)</f>
        <v>David Depew</v>
      </c>
      <c r="E292" s="381" t="s">
        <v>16</v>
      </c>
      <c r="F292" s="41" t="str">
        <f xml:space="preserve"> VLOOKUP($C292,Customers!$A$2:$Z$1010,5,FALSE)</f>
        <v>Environment and Climate Change Canada (ECCC) - Watershed Hydrology and Ecology Research Division (WHERD)</v>
      </c>
      <c r="G292" s="41" t="str">
        <f>VLOOKUP($C292,Customers!$A$2:$Z$1010,10,FALSE) &amp; ", " &amp; VLOOKUP($C292,Customers!$A$2:$Z$1010,11,FALSE)</f>
        <v>Burlington, ON</v>
      </c>
      <c r="H292" s="41" t="str">
        <f>VLOOKUP($C292,Customers!$A$2:$Z$1010,13,FALSE)</f>
        <v>Canada</v>
      </c>
      <c r="I292" s="41" t="str">
        <f>VLOOKUP($C292,Customers!$A$2:$Z$1010,18,FALSE)</f>
        <v>CG</v>
      </c>
      <c r="J292" s="3" t="s">
        <v>306</v>
      </c>
      <c r="K292" s="9">
        <v>635</v>
      </c>
      <c r="L292" s="9">
        <v>1</v>
      </c>
      <c r="M292" s="9">
        <f>25+25</f>
        <v>50</v>
      </c>
      <c r="N292" s="9">
        <f>2</f>
        <v>2</v>
      </c>
      <c r="O292" s="20" t="s">
        <v>16</v>
      </c>
      <c r="P292" s="9">
        <v>0</v>
      </c>
      <c r="Q292" s="20" t="s">
        <v>16</v>
      </c>
      <c r="R292" s="9">
        <v>0</v>
      </c>
      <c r="S292" s="20" t="s">
        <v>16</v>
      </c>
      <c r="T292" s="13" t="s">
        <v>3968</v>
      </c>
      <c r="U292" s="13" t="s">
        <v>3496</v>
      </c>
      <c r="V292" s="183">
        <f>195</f>
        <v>195</v>
      </c>
      <c r="W292" s="378" t="s">
        <v>16</v>
      </c>
      <c r="X292" s="378" t="s">
        <v>16</v>
      </c>
      <c r="Y292" s="378" t="s">
        <v>16</v>
      </c>
      <c r="Z292" s="10">
        <f t="shared" si="72"/>
        <v>195</v>
      </c>
      <c r="AA292" s="16" t="s">
        <v>425</v>
      </c>
      <c r="AB292" s="10">
        <f t="shared" si="73"/>
        <v>195</v>
      </c>
      <c r="AC292" s="395" t="s">
        <v>304</v>
      </c>
      <c r="AD292" s="3" t="s">
        <v>3337</v>
      </c>
      <c r="AE292" s="186" t="s">
        <v>3969</v>
      </c>
      <c r="AF292" s="56" t="s">
        <v>3865</v>
      </c>
      <c r="AG292" s="16"/>
      <c r="AH292" s="16"/>
      <c r="AI292" s="40" t="s">
        <v>304</v>
      </c>
      <c r="AJ292" s="411">
        <v>103177</v>
      </c>
      <c r="AK292" s="49"/>
      <c r="AL292" s="33" t="s">
        <v>2428</v>
      </c>
    </row>
    <row r="293" spans="1:38" ht="39.6" x14ac:dyDescent="0.3">
      <c r="A293" s="614">
        <v>45623</v>
      </c>
      <c r="B293" s="9" t="s">
        <v>3973</v>
      </c>
      <c r="C293" s="3" t="s">
        <v>1042</v>
      </c>
      <c r="D293" s="41" t="str">
        <f>VLOOKUP($C293,Customers!$A$2:$Z$1010,2,FALSE)</f>
        <v>Jon Stone</v>
      </c>
      <c r="E293" s="381" t="s">
        <v>16</v>
      </c>
      <c r="F293" s="41" t="str">
        <f xml:space="preserve"> VLOOKUP($C293,Customers!$A$2:$Z$1010,5,FALSE)</f>
        <v>McMaster University</v>
      </c>
      <c r="G293" s="41" t="str">
        <f>VLOOKUP($C293,Customers!$A$2:$Z$1010,10,FALSE) &amp; ", " &amp; VLOOKUP($C293,Customers!$A$2:$Z$1010,11,FALSE)</f>
        <v>Hamilton, ON</v>
      </c>
      <c r="H293" s="41" t="str">
        <f>VLOOKUP($C293,Customers!$A$2:$Z$1010,13,FALSE)</f>
        <v>Canada</v>
      </c>
      <c r="I293" s="41" t="str">
        <f>VLOOKUP($C293,Customers!$A$2:$Z$1010,18,FALSE)</f>
        <v>CA</v>
      </c>
      <c r="J293" s="3" t="s">
        <v>306</v>
      </c>
      <c r="K293" s="41">
        <v>420</v>
      </c>
      <c r="L293" s="34">
        <v>1</v>
      </c>
      <c r="M293" s="41">
        <v>30</v>
      </c>
      <c r="N293" s="34">
        <f>1</f>
        <v>1</v>
      </c>
      <c r="O293" s="41" t="s">
        <v>352</v>
      </c>
      <c r="P293" s="41">
        <v>1</v>
      </c>
      <c r="Q293" s="22" t="s">
        <v>16</v>
      </c>
      <c r="R293" s="41">
        <v>0</v>
      </c>
      <c r="S293" s="41" t="s">
        <v>16</v>
      </c>
      <c r="T293" s="24" t="s">
        <v>2716</v>
      </c>
      <c r="U293" s="24" t="s">
        <v>2812</v>
      </c>
      <c r="V293" s="46">
        <f>195</f>
        <v>195</v>
      </c>
      <c r="W293" s="46">
        <v>65</v>
      </c>
      <c r="X293" s="46" t="s">
        <v>16</v>
      </c>
      <c r="Y293" s="46" t="s">
        <v>16</v>
      </c>
      <c r="Z293" s="10">
        <f t="shared" si="72"/>
        <v>260</v>
      </c>
      <c r="AA293" s="16" t="s">
        <v>425</v>
      </c>
      <c r="AB293" s="10">
        <f t="shared" si="73"/>
        <v>260</v>
      </c>
      <c r="AC293" s="27" t="s">
        <v>304</v>
      </c>
      <c r="AD293" s="28" t="s">
        <v>16</v>
      </c>
      <c r="AE293" s="30">
        <v>45628</v>
      </c>
      <c r="AF293" s="394" t="s">
        <v>4061</v>
      </c>
      <c r="AG293" s="27">
        <v>7.67</v>
      </c>
      <c r="AH293" s="48"/>
      <c r="AI293" s="40" t="s">
        <v>304</v>
      </c>
      <c r="AJ293" s="37">
        <v>106747</v>
      </c>
      <c r="AK293" s="632" t="s">
        <v>3981</v>
      </c>
      <c r="AL293" s="33" t="s">
        <v>3970</v>
      </c>
    </row>
    <row r="294" spans="1:38" ht="39.6" x14ac:dyDescent="0.3">
      <c r="A294" s="614">
        <v>45624</v>
      </c>
      <c r="B294" s="9" t="s">
        <v>3974</v>
      </c>
      <c r="C294" s="3" t="s">
        <v>1038</v>
      </c>
      <c r="D294" s="41" t="str">
        <f>VLOOKUP($C294,Customers!$A$2:$Z$1010,2,FALSE)</f>
        <v>Janetta Fraser</v>
      </c>
      <c r="E294" s="381" t="s">
        <v>16</v>
      </c>
      <c r="F294" s="41" t="str">
        <f xml:space="preserve"> VLOOKUP($C294,Customers!$A$2:$Z$1010,5,FALSE)</f>
        <v>Harris Industrial Testing Service Ltd. (HITS)</v>
      </c>
      <c r="G294" s="41" t="str">
        <f>VLOOKUP($C294,Customers!$A$2:$Z$1010,10,FALSE) &amp; ", " &amp; VLOOKUP($C294,Customers!$A$2:$Z$1010,11,FALSE)</f>
        <v>Waverley, NS</v>
      </c>
      <c r="H294" s="41" t="str">
        <f>VLOOKUP($C294,Customers!$A$2:$Z$1010,13,FALSE)</f>
        <v>Canada</v>
      </c>
      <c r="I294" s="41" t="str">
        <f>VLOOKUP($C294,Customers!$A$2:$Z$1010,18,FALSE)</f>
        <v>CC</v>
      </c>
      <c r="J294" s="22" t="s">
        <v>306</v>
      </c>
      <c r="K294" s="41">
        <v>266</v>
      </c>
      <c r="L294" s="22">
        <v>1</v>
      </c>
      <c r="M294" s="41">
        <v>15</v>
      </c>
      <c r="N294" s="22">
        <f>1</f>
        <v>1</v>
      </c>
      <c r="O294" s="41" t="s">
        <v>16</v>
      </c>
      <c r="P294" s="22">
        <v>0</v>
      </c>
      <c r="Q294" s="41" t="s">
        <v>16</v>
      </c>
      <c r="R294" s="22">
        <v>0</v>
      </c>
      <c r="S294" s="41" t="s">
        <v>16</v>
      </c>
      <c r="T294" s="24" t="s">
        <v>391</v>
      </c>
      <c r="U294" s="24" t="s">
        <v>417</v>
      </c>
      <c r="V294" s="46">
        <v>200</v>
      </c>
      <c r="W294" s="46" t="s">
        <v>16</v>
      </c>
      <c r="X294" s="46" t="s">
        <v>16</v>
      </c>
      <c r="Y294" s="46" t="s">
        <v>16</v>
      </c>
      <c r="Z294" s="35">
        <v>200</v>
      </c>
      <c r="AA294" s="16" t="s">
        <v>4060</v>
      </c>
      <c r="AB294" s="27">
        <v>225</v>
      </c>
      <c r="AC294" s="27" t="s">
        <v>304</v>
      </c>
      <c r="AD294" s="55" t="s">
        <v>16</v>
      </c>
      <c r="AE294" s="30">
        <v>45628</v>
      </c>
      <c r="AF294" s="394" t="s">
        <v>4062</v>
      </c>
      <c r="AG294" s="27">
        <v>26.76</v>
      </c>
      <c r="AH294" s="48"/>
      <c r="AI294" s="46" t="s">
        <v>304</v>
      </c>
      <c r="AJ294" s="31">
        <v>103252</v>
      </c>
      <c r="AK294" s="632" t="s">
        <v>3981</v>
      </c>
      <c r="AL294" s="33" t="s">
        <v>3465</v>
      </c>
    </row>
    <row r="295" spans="1:38" ht="39.6" x14ac:dyDescent="0.3">
      <c r="A295" s="614">
        <v>45630</v>
      </c>
      <c r="B295" s="41" t="s">
        <v>4275</v>
      </c>
      <c r="C295" s="3" t="s">
        <v>1027</v>
      </c>
      <c r="D295" s="41" t="str">
        <f>VLOOKUP($C295,Customers!$A$2:$Z$1010,2,FALSE)</f>
        <v>Andrée-Anne Audet</v>
      </c>
      <c r="E295" s="381" t="s">
        <v>16</v>
      </c>
      <c r="F295" s="41" t="str">
        <f xml:space="preserve"> VLOOKUP($C295,Customers!$A$2:$Z$1010,5,FALSE)</f>
        <v>Cegep de Shawinigan</v>
      </c>
      <c r="G295" s="41" t="str">
        <f>VLOOKUP($C295,Customers!$A$2:$Z$1010,10,FALSE) &amp; ", " &amp; VLOOKUP($C295,Customers!$A$2:$Z$1010,11,FALSE)</f>
        <v>Shawinigan, QC</v>
      </c>
      <c r="H295" s="41" t="str">
        <f>VLOOKUP($C295,Customers!$A$2:$Z$1010,13,FALSE)</f>
        <v>Canada</v>
      </c>
      <c r="I295" s="41" t="str">
        <f>VLOOKUP($C295,Customers!$A$2:$Z$1010,18,FALSE)</f>
        <v>CA</v>
      </c>
      <c r="J295" s="3" t="s">
        <v>306</v>
      </c>
      <c r="K295" s="9">
        <v>37</v>
      </c>
      <c r="L295" s="9">
        <v>1</v>
      </c>
      <c r="M295" s="9">
        <v>30</v>
      </c>
      <c r="N295" s="9">
        <f>1</f>
        <v>1</v>
      </c>
      <c r="O295" s="20" t="s">
        <v>16</v>
      </c>
      <c r="P295" s="9">
        <v>0</v>
      </c>
      <c r="Q295" s="20" t="s">
        <v>16</v>
      </c>
      <c r="R295" s="9">
        <v>0</v>
      </c>
      <c r="S295" s="20" t="s">
        <v>16</v>
      </c>
      <c r="T295" s="13" t="s">
        <v>4079</v>
      </c>
      <c r="U295" s="13" t="s">
        <v>1322</v>
      </c>
      <c r="V295" s="183">
        <f>195</f>
        <v>195</v>
      </c>
      <c r="W295" s="378" t="s">
        <v>16</v>
      </c>
      <c r="X295" s="378" t="s">
        <v>16</v>
      </c>
      <c r="Y295" s="378" t="s">
        <v>16</v>
      </c>
      <c r="Z295" s="10">
        <f t="shared" ref="Z295:Z301" si="74">SUM(V295:Y295)</f>
        <v>195</v>
      </c>
      <c r="AA295" s="16" t="s">
        <v>425</v>
      </c>
      <c r="AB295" s="10">
        <f t="shared" ref="AB295:AB300" si="75">SUM(Z295:AA295)</f>
        <v>195</v>
      </c>
      <c r="AC295" s="10" t="s">
        <v>304</v>
      </c>
      <c r="AD295" s="3" t="s">
        <v>4080</v>
      </c>
      <c r="AE295" s="30">
        <v>45635</v>
      </c>
      <c r="AF295" s="56" t="s">
        <v>4276</v>
      </c>
      <c r="AG295" s="16">
        <v>6.94</v>
      </c>
      <c r="AH295" s="16"/>
      <c r="AI295" s="40" t="s">
        <v>304</v>
      </c>
      <c r="AJ295" s="31">
        <v>107453</v>
      </c>
      <c r="AK295" s="136" t="s">
        <v>4277</v>
      </c>
      <c r="AL295" s="33" t="s">
        <v>4081</v>
      </c>
    </row>
    <row r="296" spans="1:38" ht="39.6" x14ac:dyDescent="0.3">
      <c r="A296" s="614">
        <v>45630</v>
      </c>
      <c r="B296" s="41" t="s">
        <v>4278</v>
      </c>
      <c r="C296" s="3" t="s">
        <v>1027</v>
      </c>
      <c r="D296" s="41" t="str">
        <f>VLOOKUP($C296,Customers!$A$2:$Z$1010,2,FALSE)</f>
        <v>Andrée-Anne Audet</v>
      </c>
      <c r="E296" s="381" t="s">
        <v>16</v>
      </c>
      <c r="F296" s="41" t="str">
        <f xml:space="preserve"> VLOOKUP($C296,Customers!$A$2:$Z$1010,5,FALSE)</f>
        <v>Cegep de Shawinigan</v>
      </c>
      <c r="G296" s="41" t="str">
        <f>VLOOKUP($C296,Customers!$A$2:$Z$1010,10,FALSE) &amp; ", " &amp; VLOOKUP($C296,Customers!$A$2:$Z$1010,11,FALSE)</f>
        <v>Shawinigan, QC</v>
      </c>
      <c r="H296" s="41" t="str">
        <f>VLOOKUP($C296,Customers!$A$2:$Z$1010,13,FALSE)</f>
        <v>Canada</v>
      </c>
      <c r="I296" s="41" t="str">
        <f>VLOOKUP($C296,Customers!$A$2:$Z$1010,18,FALSE)</f>
        <v>CA</v>
      </c>
      <c r="J296" s="3" t="s">
        <v>306</v>
      </c>
      <c r="K296" s="20" t="s">
        <v>16</v>
      </c>
      <c r="L296" s="9">
        <v>0</v>
      </c>
      <c r="M296" s="9">
        <v>0</v>
      </c>
      <c r="N296" s="9">
        <v>0</v>
      </c>
      <c r="O296" s="20" t="s">
        <v>307</v>
      </c>
      <c r="P296" s="9">
        <v>7</v>
      </c>
      <c r="Q296" s="20" t="s">
        <v>16</v>
      </c>
      <c r="R296" s="9">
        <v>0</v>
      </c>
      <c r="S296" s="20" t="s">
        <v>16</v>
      </c>
      <c r="T296" s="13" t="s">
        <v>4082</v>
      </c>
      <c r="U296" s="13" t="s">
        <v>4083</v>
      </c>
      <c r="V296" s="378" t="s">
        <v>16</v>
      </c>
      <c r="W296" s="378">
        <f>60*7</f>
        <v>420</v>
      </c>
      <c r="X296" s="378" t="s">
        <v>16</v>
      </c>
      <c r="Y296" s="378" t="s">
        <v>16</v>
      </c>
      <c r="Z296" s="10">
        <f t="shared" si="74"/>
        <v>420</v>
      </c>
      <c r="AA296" s="16" t="s">
        <v>1293</v>
      </c>
      <c r="AB296" s="10">
        <f t="shared" si="75"/>
        <v>420</v>
      </c>
      <c r="AC296" s="195" t="s">
        <v>306</v>
      </c>
      <c r="AD296" s="3" t="s">
        <v>4084</v>
      </c>
      <c r="AE296" s="186" t="s">
        <v>4085</v>
      </c>
      <c r="AF296" s="56" t="s">
        <v>3865</v>
      </c>
      <c r="AG296" s="16"/>
      <c r="AH296" s="16"/>
      <c r="AI296" s="40" t="s">
        <v>304</v>
      </c>
      <c r="AJ296" s="31">
        <v>107453</v>
      </c>
      <c r="AK296" s="707"/>
      <c r="AL296" s="33" t="s">
        <v>4081</v>
      </c>
    </row>
    <row r="297" spans="1:38" ht="39.6" x14ac:dyDescent="0.3">
      <c r="A297" s="614">
        <v>45631</v>
      </c>
      <c r="B297" s="9" t="s">
        <v>4095</v>
      </c>
      <c r="C297" s="22" t="s">
        <v>4222</v>
      </c>
      <c r="D297" s="41" t="str">
        <f>VLOOKUP($C297,Customers!$A$2:$Z$1010,2,FALSE)</f>
        <v>Scott Pierobon</v>
      </c>
      <c r="E297" s="381" t="s">
        <v>16</v>
      </c>
      <c r="F297" s="41" t="str">
        <f xml:space="preserve"> VLOOKUP($C297,Customers!$A$2:$Z$1010,5,FALSE)</f>
        <v>Neuston Biosystems Inc.</v>
      </c>
      <c r="G297" s="41" t="str">
        <f>VLOOKUP($C297,Customers!$A$2:$Z$1010,10,FALSE) &amp; ", " &amp; VLOOKUP($C297,Customers!$A$2:$Z$1010,11,FALSE)</f>
        <v>Toronto, ON</v>
      </c>
      <c r="H297" s="41" t="str">
        <f>VLOOKUP($C297,Customers!$A$2:$Z$1010,13,FALSE)</f>
        <v>Canada</v>
      </c>
      <c r="I297" s="41" t="str">
        <f>VLOOKUP($C297,Customers!$A$2:$Z$1010,18,FALSE)</f>
        <v>CC</v>
      </c>
      <c r="J297" s="3" t="s">
        <v>304</v>
      </c>
      <c r="K297" s="9">
        <v>5</v>
      </c>
      <c r="L297" s="9">
        <v>1</v>
      </c>
      <c r="M297" s="9">
        <f>50+25+25</f>
        <v>100</v>
      </c>
      <c r="N297" s="9">
        <f>3</f>
        <v>3</v>
      </c>
      <c r="O297" s="20" t="s">
        <v>16</v>
      </c>
      <c r="P297" s="9">
        <v>0</v>
      </c>
      <c r="Q297" s="20" t="s">
        <v>16</v>
      </c>
      <c r="R297" s="41">
        <v>110</v>
      </c>
      <c r="S297" s="20" t="s">
        <v>16</v>
      </c>
      <c r="T297" s="24" t="s">
        <v>4230</v>
      </c>
      <c r="U297" s="13" t="s">
        <v>4279</v>
      </c>
      <c r="V297" s="350">
        <v>300</v>
      </c>
      <c r="W297" s="775" t="s">
        <v>16</v>
      </c>
      <c r="X297" s="350">
        <v>120</v>
      </c>
      <c r="Y297" s="775" t="s">
        <v>16</v>
      </c>
      <c r="Z297" s="10">
        <f t="shared" si="74"/>
        <v>420</v>
      </c>
      <c r="AA297" s="395" t="s">
        <v>425</v>
      </c>
      <c r="AB297" s="10">
        <f t="shared" si="75"/>
        <v>420</v>
      </c>
      <c r="AC297" s="395" t="s">
        <v>304</v>
      </c>
      <c r="AD297" s="22" t="s">
        <v>16</v>
      </c>
      <c r="AE297" s="49" t="s">
        <v>4210</v>
      </c>
      <c r="AF297" s="56" t="s">
        <v>3865</v>
      </c>
      <c r="AG297" s="777"/>
      <c r="AH297" s="778"/>
      <c r="AI297" s="135" t="s">
        <v>306</v>
      </c>
      <c r="AJ297" s="688"/>
      <c r="AK297" s="49"/>
      <c r="AL297" s="405" t="s">
        <v>4231</v>
      </c>
    </row>
    <row r="298" spans="1:38" ht="52.8" x14ac:dyDescent="0.3">
      <c r="A298" s="614">
        <v>45631</v>
      </c>
      <c r="B298" s="9" t="s">
        <v>4280</v>
      </c>
      <c r="C298" s="3" t="s">
        <v>1019</v>
      </c>
      <c r="D298" s="41" t="str">
        <f>VLOOKUP($C298,Customers!$A$2:$Z$1010,2,FALSE)</f>
        <v>Jeremy Byrnes</v>
      </c>
      <c r="E298" s="381" t="s">
        <v>16</v>
      </c>
      <c r="F298" s="41" t="str">
        <f xml:space="preserve"> VLOOKUP($C298,Customers!$A$2:$Z$1010,5,FALSE)</f>
        <v>ALS Environmental - Winnipeg</v>
      </c>
      <c r="G298" s="41" t="str">
        <f>VLOOKUP($C298,Customers!$A$2:$Z$1010,10,FALSE) &amp; ", " &amp; VLOOKUP($C298,Customers!$A$2:$Z$1010,11,FALSE)</f>
        <v>Winnipeg, MB</v>
      </c>
      <c r="H298" s="41" t="str">
        <f>VLOOKUP($C298,Customers!$A$2:$Z$1010,13,FALSE)</f>
        <v>Canada</v>
      </c>
      <c r="I298" s="41" t="str">
        <f>VLOOKUP($C298,Customers!$A$2:$Z$1010,18,FALSE)</f>
        <v>CC</v>
      </c>
      <c r="J298" s="3" t="s">
        <v>306</v>
      </c>
      <c r="K298" s="9" t="s">
        <v>3101</v>
      </c>
      <c r="L298" s="9">
        <v>2</v>
      </c>
      <c r="M298" s="9" t="s">
        <v>4211</v>
      </c>
      <c r="N298" s="9">
        <f>5+5</f>
        <v>10</v>
      </c>
      <c r="O298" s="9" t="s">
        <v>16</v>
      </c>
      <c r="P298" s="9">
        <v>0</v>
      </c>
      <c r="Q298" s="9" t="s">
        <v>16</v>
      </c>
      <c r="R298" s="9">
        <v>0</v>
      </c>
      <c r="S298" s="9" t="s">
        <v>16</v>
      </c>
      <c r="T298" s="6" t="s">
        <v>4212</v>
      </c>
      <c r="U298" s="13" t="s">
        <v>4213</v>
      </c>
      <c r="V298" s="350">
        <f>(200*2)+(50*8)</f>
        <v>800</v>
      </c>
      <c r="W298" s="350" t="s">
        <v>16</v>
      </c>
      <c r="X298" s="350" t="s">
        <v>16</v>
      </c>
      <c r="Y298" s="350" t="s">
        <v>16</v>
      </c>
      <c r="Z298" s="10">
        <f t="shared" si="74"/>
        <v>800</v>
      </c>
      <c r="AA298" s="10">
        <v>5</v>
      </c>
      <c r="AB298" s="10">
        <f t="shared" si="75"/>
        <v>805</v>
      </c>
      <c r="AC298" s="776" t="s">
        <v>378</v>
      </c>
      <c r="AD298" s="28" t="s">
        <v>4281</v>
      </c>
      <c r="AE298" s="49" t="s">
        <v>3969</v>
      </c>
      <c r="AF298" s="56" t="s">
        <v>3865</v>
      </c>
      <c r="AG298" s="777"/>
      <c r="AH298" s="778"/>
      <c r="AI298" s="40" t="s">
        <v>304</v>
      </c>
      <c r="AJ298" s="37">
        <v>102875</v>
      </c>
      <c r="AK298" s="1001"/>
      <c r="AL298" s="38" t="s">
        <v>4282</v>
      </c>
    </row>
    <row r="299" spans="1:38" ht="52.8" x14ac:dyDescent="0.3">
      <c r="A299" s="614">
        <v>45632</v>
      </c>
      <c r="B299" s="9" t="s">
        <v>4283</v>
      </c>
      <c r="C299" s="3" t="s">
        <v>2584</v>
      </c>
      <c r="D299" s="41" t="str">
        <f>VLOOKUP($C299,Customers!$A$2:$Z$1010,2,FALSE)</f>
        <v>Beria Lima de Rodriguez</v>
      </c>
      <c r="E299" s="381" t="s">
        <v>16</v>
      </c>
      <c r="F299" s="41" t="str">
        <f xml:space="preserve"> VLOOKUP($C299,Customers!$A$2:$Z$1010,5,FALSE)</f>
        <v>Bureau Veritas Laboratories - Montreal</v>
      </c>
      <c r="G299" s="41" t="str">
        <f>VLOOKUP($C299,Customers!$A$2:$Z$1010,10,FALSE) &amp; ", " &amp; VLOOKUP($C299,Customers!$A$2:$Z$1010,11,FALSE)</f>
        <v>Saint-Laurent, QC</v>
      </c>
      <c r="H299" s="41" t="str">
        <f>VLOOKUP($C299,Customers!$A$2:$Z$1010,13,FALSE)</f>
        <v>Canada</v>
      </c>
      <c r="I299" s="41" t="str">
        <f>VLOOKUP($C299,Customers!$A$2:$Z$1010,18,FALSE)</f>
        <v>CC</v>
      </c>
      <c r="J299" s="3" t="s">
        <v>306</v>
      </c>
      <c r="K299" s="9">
        <v>37</v>
      </c>
      <c r="L299" s="9">
        <v>1</v>
      </c>
      <c r="M299" s="9">
        <v>15</v>
      </c>
      <c r="N299" s="9">
        <v>1</v>
      </c>
      <c r="O299" s="9" t="s">
        <v>16</v>
      </c>
      <c r="P299" s="9">
        <v>0</v>
      </c>
      <c r="Q299" s="9" t="s">
        <v>16</v>
      </c>
      <c r="R299" s="9">
        <v>0</v>
      </c>
      <c r="S299" s="9" t="s">
        <v>16</v>
      </c>
      <c r="T299" s="6" t="s">
        <v>360</v>
      </c>
      <c r="U299" s="13" t="s">
        <v>417</v>
      </c>
      <c r="V299" s="350">
        <v>200</v>
      </c>
      <c r="W299" s="350" t="s">
        <v>16</v>
      </c>
      <c r="X299" s="350" t="s">
        <v>16</v>
      </c>
      <c r="Y299" s="350" t="s">
        <v>16</v>
      </c>
      <c r="Z299" s="10">
        <f t="shared" si="74"/>
        <v>200</v>
      </c>
      <c r="AA299" s="395" t="s">
        <v>425</v>
      </c>
      <c r="AB299" s="10">
        <f t="shared" si="75"/>
        <v>200</v>
      </c>
      <c r="AC299" s="10" t="s">
        <v>304</v>
      </c>
      <c r="AD299" s="22" t="s">
        <v>4214</v>
      </c>
      <c r="AE299" s="30">
        <v>45635</v>
      </c>
      <c r="AF299" s="56" t="s">
        <v>4284</v>
      </c>
      <c r="AG299" s="16">
        <v>6.54</v>
      </c>
      <c r="AH299" s="16"/>
      <c r="AI299" s="27" t="s">
        <v>304</v>
      </c>
      <c r="AJ299" s="31">
        <v>103380</v>
      </c>
      <c r="AK299" s="136" t="s">
        <v>4277</v>
      </c>
      <c r="AL299" s="18" t="s">
        <v>3994</v>
      </c>
    </row>
    <row r="300" spans="1:38" ht="52.8" x14ac:dyDescent="0.3">
      <c r="A300" s="614">
        <v>45636</v>
      </c>
      <c r="B300" s="9" t="s">
        <v>4285</v>
      </c>
      <c r="C300" s="22" t="s">
        <v>4286</v>
      </c>
      <c r="D300" s="41" t="str">
        <f>VLOOKUP($C300,Customers!$A$2:$Z$1010,2,FALSE)</f>
        <v>Rose Boudria</v>
      </c>
      <c r="E300" s="381" t="s">
        <v>16</v>
      </c>
      <c r="F300" s="41" t="str">
        <f xml:space="preserve"> VLOOKUP($C300,Customers!$A$2:$Z$1010,5,FALSE)</f>
        <v>Elmwood School</v>
      </c>
      <c r="G300" s="41" t="str">
        <f>VLOOKUP($C300,Customers!$A$2:$Z$1010,10,FALSE) &amp; ", " &amp; VLOOKUP($C300,Customers!$A$2:$Z$1010,11,FALSE)</f>
        <v>Ottawa, ON</v>
      </c>
      <c r="H300" s="41" t="str">
        <f>VLOOKUP($C300,Customers!$A$2:$Z$1010,13,FALSE)</f>
        <v>Canada</v>
      </c>
      <c r="I300" s="41" t="str">
        <f>VLOOKUP($C300,Customers!$A$2:$Z$1010,18,FALSE)</f>
        <v>CA</v>
      </c>
      <c r="J300" s="3" t="s">
        <v>304</v>
      </c>
      <c r="K300" s="9">
        <v>37</v>
      </c>
      <c r="L300" s="9">
        <v>1</v>
      </c>
      <c r="M300" s="9">
        <v>30</v>
      </c>
      <c r="N300" s="9">
        <v>3</v>
      </c>
      <c r="O300" s="20" t="s">
        <v>307</v>
      </c>
      <c r="P300" s="9">
        <v>1</v>
      </c>
      <c r="Q300" s="20" t="s">
        <v>16</v>
      </c>
      <c r="R300" s="9">
        <v>0</v>
      </c>
      <c r="S300" s="20" t="s">
        <v>16</v>
      </c>
      <c r="T300" s="24" t="s">
        <v>4287</v>
      </c>
      <c r="U300" s="25" t="s">
        <v>4288</v>
      </c>
      <c r="V300" s="183">
        <f>195+5</f>
        <v>200</v>
      </c>
      <c r="W300" s="183">
        <f>75+10</f>
        <v>85</v>
      </c>
      <c r="X300" s="378" t="s">
        <v>16</v>
      </c>
      <c r="Y300" s="378" t="s">
        <v>16</v>
      </c>
      <c r="Z300" s="10">
        <f t="shared" si="74"/>
        <v>285</v>
      </c>
      <c r="AA300" s="395" t="s">
        <v>425</v>
      </c>
      <c r="AB300" s="10">
        <f t="shared" si="75"/>
        <v>285</v>
      </c>
      <c r="AC300" s="1002" t="s">
        <v>306</v>
      </c>
      <c r="AD300" s="41" t="s">
        <v>16</v>
      </c>
      <c r="AE300" s="643" t="s">
        <v>3969</v>
      </c>
      <c r="AF300" s="394" t="s">
        <v>3865</v>
      </c>
      <c r="AG300" s="734"/>
      <c r="AH300" s="735"/>
      <c r="AI300" s="27" t="s">
        <v>304</v>
      </c>
      <c r="AJ300" s="31">
        <v>102078</v>
      </c>
      <c r="AK300" s="643"/>
      <c r="AL300" s="33" t="s">
        <v>4289</v>
      </c>
    </row>
    <row r="301" spans="1:38" ht="52.8" x14ac:dyDescent="0.3">
      <c r="A301" s="614">
        <v>45637</v>
      </c>
      <c r="B301" s="9" t="s">
        <v>4302</v>
      </c>
      <c r="C301" s="3" t="s">
        <v>1045</v>
      </c>
      <c r="D301" s="41" t="str">
        <f>VLOOKUP($C301,Customers!$A$2:$Z$1010,2,FALSE)</f>
        <v>Adam Wartman</v>
      </c>
      <c r="E301" s="351" t="s">
        <v>2313</v>
      </c>
      <c r="F301" s="41" t="str">
        <f xml:space="preserve"> VLOOKUP($C301,Customers!$A$2:$Z$1010,5,FALSE)</f>
        <v>Nautilus Environmental Company Inc. - Guelph</v>
      </c>
      <c r="G301" s="41" t="str">
        <f>VLOOKUP($C301,Customers!$A$2:$Z$1010,10,FALSE) &amp; ", " &amp; VLOOKUP($C301,Customers!$A$2:$Z$1010,11,FALSE)</f>
        <v>Puslinch, ON</v>
      </c>
      <c r="H301" s="41" t="str">
        <f>VLOOKUP($C301,Customers!$A$2:$Z$1010,13,FALSE)</f>
        <v>Canada</v>
      </c>
      <c r="I301" s="41" t="str">
        <f>VLOOKUP($C301,Customers!$A$2:$Z$1010,18,FALSE)</f>
        <v>CC</v>
      </c>
      <c r="J301" s="3" t="s">
        <v>306</v>
      </c>
      <c r="K301" s="9" t="s">
        <v>16</v>
      </c>
      <c r="L301" s="9">
        <v>0</v>
      </c>
      <c r="M301" s="9">
        <v>0</v>
      </c>
      <c r="N301" s="9">
        <v>0</v>
      </c>
      <c r="O301" s="9" t="s">
        <v>16</v>
      </c>
      <c r="P301" s="9">
        <v>0</v>
      </c>
      <c r="Q301" s="9" t="s">
        <v>318</v>
      </c>
      <c r="R301" s="9">
        <v>2000</v>
      </c>
      <c r="S301" s="9" t="s">
        <v>16</v>
      </c>
      <c r="T301" s="13" t="s">
        <v>1192</v>
      </c>
      <c r="U301" s="13" t="s">
        <v>1193</v>
      </c>
      <c r="V301" s="183" t="s">
        <v>16</v>
      </c>
      <c r="W301" s="183" t="s">
        <v>16</v>
      </c>
      <c r="X301" s="183">
        <f>520+25</f>
        <v>545</v>
      </c>
      <c r="Y301" s="183" t="s">
        <v>16</v>
      </c>
      <c r="Z301" s="10">
        <f t="shared" si="74"/>
        <v>545</v>
      </c>
      <c r="AA301" s="10" t="s">
        <v>308</v>
      </c>
      <c r="AB301" s="10">
        <v>570</v>
      </c>
      <c r="AC301" s="395" t="s">
        <v>304</v>
      </c>
      <c r="AD301" s="3" t="s">
        <v>16</v>
      </c>
      <c r="AE301" s="186" t="s">
        <v>4290</v>
      </c>
      <c r="AF301" s="394" t="s">
        <v>3865</v>
      </c>
      <c r="AG301" s="734"/>
      <c r="AH301" s="735"/>
      <c r="AI301" s="8" t="s">
        <v>304</v>
      </c>
      <c r="AJ301" s="17">
        <v>102886</v>
      </c>
      <c r="AK301" s="707"/>
      <c r="AL301" s="18" t="s">
        <v>3832</v>
      </c>
    </row>
    <row r="302" spans="1:38" x14ac:dyDescent="0.3">
      <c r="A302" s="614"/>
      <c r="D302" s="41"/>
      <c r="F302" s="41"/>
      <c r="G302" s="41"/>
      <c r="H302" s="41"/>
      <c r="I302" s="41"/>
      <c r="O302" s="41"/>
      <c r="P302" s="54"/>
      <c r="Q302" s="20"/>
      <c r="S302" s="20"/>
      <c r="T302" s="24"/>
      <c r="U302" s="52"/>
      <c r="V302" s="350"/>
      <c r="W302" s="775"/>
      <c r="X302" s="775"/>
      <c r="Y302" s="775"/>
      <c r="AB302" s="26"/>
      <c r="AC302" s="27"/>
      <c r="AD302" s="41"/>
      <c r="AE302" s="30"/>
      <c r="AF302" s="43"/>
      <c r="AG302" s="27"/>
      <c r="AH302" s="27"/>
      <c r="AI302" s="55"/>
      <c r="AJ302" s="22"/>
      <c r="AK302" s="30"/>
      <c r="AL302" s="33"/>
    </row>
    <row r="303" spans="1:38" x14ac:dyDescent="0.3">
      <c r="A303" s="614"/>
      <c r="D303" s="41"/>
      <c r="E303" s="381"/>
      <c r="F303" s="41"/>
      <c r="G303" s="41"/>
      <c r="H303" s="41"/>
      <c r="I303" s="41"/>
      <c r="S303" s="20"/>
      <c r="T303" s="13"/>
      <c r="V303" s="350"/>
      <c r="W303" s="775"/>
      <c r="X303" s="775"/>
      <c r="Y303" s="775"/>
      <c r="AC303" s="27"/>
      <c r="AD303" s="3"/>
      <c r="AF303" s="43"/>
      <c r="AI303" s="40"/>
      <c r="AJ303" s="41"/>
      <c r="AK303" s="30"/>
      <c r="AL303" s="33"/>
    </row>
    <row r="304" spans="1:38" x14ac:dyDescent="0.3">
      <c r="G304" s="3"/>
    </row>
    <row r="305" spans="7:7" x14ac:dyDescent="0.3">
      <c r="G305" s="3"/>
    </row>
    <row r="306" spans="7:7" x14ac:dyDescent="0.3">
      <c r="G306" s="3"/>
    </row>
    <row r="307" spans="7:7" x14ac:dyDescent="0.3">
      <c r="G307" s="3"/>
    </row>
    <row r="308" spans="7:7" x14ac:dyDescent="0.3">
      <c r="G308" s="3"/>
    </row>
    <row r="309" spans="7:7" x14ac:dyDescent="0.3">
      <c r="G309" s="3"/>
    </row>
    <row r="310" spans="7:7" x14ac:dyDescent="0.3">
      <c r="G310" s="3"/>
    </row>
    <row r="311" spans="7:7" x14ac:dyDescent="0.3">
      <c r="G311" s="3"/>
    </row>
    <row r="312" spans="7:7" x14ac:dyDescent="0.3">
      <c r="G312" s="3"/>
    </row>
    <row r="313" spans="7:7" x14ac:dyDescent="0.3">
      <c r="G313" s="3"/>
    </row>
    <row r="314" spans="7:7" x14ac:dyDescent="0.3">
      <c r="G314" s="3"/>
    </row>
    <row r="315" spans="7:7" x14ac:dyDescent="0.3">
      <c r="G315" s="3"/>
    </row>
    <row r="316" spans="7:7" x14ac:dyDescent="0.3">
      <c r="G316" s="3"/>
    </row>
    <row r="317" spans="7:7" x14ac:dyDescent="0.3">
      <c r="G317" s="3"/>
    </row>
    <row r="318" spans="7:7" x14ac:dyDescent="0.3">
      <c r="G318" s="3"/>
    </row>
    <row r="319" spans="7:7" x14ac:dyDescent="0.3">
      <c r="G319" s="3"/>
    </row>
    <row r="320" spans="7:7" x14ac:dyDescent="0.3">
      <c r="G320" s="3"/>
    </row>
    <row r="321" spans="7:7" x14ac:dyDescent="0.3">
      <c r="G321" s="3"/>
    </row>
    <row r="322" spans="7:7" x14ac:dyDescent="0.3">
      <c r="G322" s="3"/>
    </row>
    <row r="323" spans="7:7" x14ac:dyDescent="0.3">
      <c r="G323" s="3"/>
    </row>
    <row r="324" spans="7:7" x14ac:dyDescent="0.3">
      <c r="G324" s="3"/>
    </row>
    <row r="325" spans="7:7" x14ac:dyDescent="0.3">
      <c r="G325" s="3"/>
    </row>
    <row r="326" spans="7:7" x14ac:dyDescent="0.3">
      <c r="G326" s="3"/>
    </row>
    <row r="327" spans="7:7" x14ac:dyDescent="0.3">
      <c r="G327" s="3"/>
    </row>
    <row r="328" spans="7:7" x14ac:dyDescent="0.3">
      <c r="G328" s="3"/>
    </row>
    <row r="329" spans="7:7" x14ac:dyDescent="0.3">
      <c r="G329" s="3"/>
    </row>
    <row r="330" spans="7:7" x14ac:dyDescent="0.3">
      <c r="G330" s="3"/>
    </row>
    <row r="331" spans="7:7" x14ac:dyDescent="0.3">
      <c r="G331" s="3"/>
    </row>
    <row r="332" spans="7:7" x14ac:dyDescent="0.3">
      <c r="G332" s="3"/>
    </row>
    <row r="333" spans="7:7" x14ac:dyDescent="0.3">
      <c r="G333" s="3"/>
    </row>
    <row r="334" spans="7:7" x14ac:dyDescent="0.3">
      <c r="G334" s="3"/>
    </row>
    <row r="335" spans="7:7" x14ac:dyDescent="0.3">
      <c r="G335" s="3"/>
    </row>
    <row r="336" spans="7:7" x14ac:dyDescent="0.3">
      <c r="G336" s="3"/>
    </row>
    <row r="337" spans="7:7" x14ac:dyDescent="0.3">
      <c r="G337" s="3"/>
    </row>
    <row r="338" spans="7:7" x14ac:dyDescent="0.3">
      <c r="G338" s="3"/>
    </row>
    <row r="339" spans="7:7" x14ac:dyDescent="0.3">
      <c r="G339" s="3"/>
    </row>
    <row r="340" spans="7:7" x14ac:dyDescent="0.3">
      <c r="G340" s="3"/>
    </row>
    <row r="341" spans="7:7" x14ac:dyDescent="0.3">
      <c r="G341" s="3"/>
    </row>
    <row r="342" spans="7:7" x14ac:dyDescent="0.3">
      <c r="G342" s="3"/>
    </row>
    <row r="343" spans="7:7" x14ac:dyDescent="0.3">
      <c r="G343" s="3"/>
    </row>
    <row r="344" spans="7:7" x14ac:dyDescent="0.3">
      <c r="G344" s="3"/>
    </row>
    <row r="345" spans="7:7" x14ac:dyDescent="0.3">
      <c r="G345" s="3"/>
    </row>
    <row r="346" spans="7:7" x14ac:dyDescent="0.3">
      <c r="G346" s="3"/>
    </row>
    <row r="347" spans="7:7" x14ac:dyDescent="0.3">
      <c r="G347" s="3"/>
    </row>
    <row r="348" spans="7:7" x14ac:dyDescent="0.3">
      <c r="G348" s="3"/>
    </row>
    <row r="349" spans="7:7" x14ac:dyDescent="0.3">
      <c r="G349" s="3"/>
    </row>
    <row r="350" spans="7:7" x14ac:dyDescent="0.3">
      <c r="G350" s="3"/>
    </row>
    <row r="351" spans="7:7" x14ac:dyDescent="0.3">
      <c r="G351" s="3"/>
    </row>
    <row r="352" spans="7:7" x14ac:dyDescent="0.3">
      <c r="G352" s="3"/>
    </row>
    <row r="353" spans="7:7" x14ac:dyDescent="0.3">
      <c r="G353" s="3"/>
    </row>
    <row r="354" spans="7:7" x14ac:dyDescent="0.3">
      <c r="G354" s="3"/>
    </row>
    <row r="355" spans="7:7" x14ac:dyDescent="0.3">
      <c r="G355" s="3"/>
    </row>
    <row r="356" spans="7:7" x14ac:dyDescent="0.3">
      <c r="G356" s="3"/>
    </row>
    <row r="357" spans="7:7" x14ac:dyDescent="0.3">
      <c r="G357" s="3"/>
    </row>
    <row r="358" spans="7:7" x14ac:dyDescent="0.3">
      <c r="G358" s="3"/>
    </row>
    <row r="359" spans="7:7" x14ac:dyDescent="0.3">
      <c r="G359" s="3"/>
    </row>
    <row r="360" spans="7:7" x14ac:dyDescent="0.3">
      <c r="G360" s="3"/>
    </row>
    <row r="361" spans="7:7" x14ac:dyDescent="0.3">
      <c r="G361" s="3"/>
    </row>
    <row r="362" spans="7:7" x14ac:dyDescent="0.3">
      <c r="G362" s="3"/>
    </row>
    <row r="363" spans="7:7" x14ac:dyDescent="0.3">
      <c r="G363" s="3"/>
    </row>
    <row r="364" spans="7:7" x14ac:dyDescent="0.3">
      <c r="G364" s="3"/>
    </row>
    <row r="365" spans="7:7" x14ac:dyDescent="0.3">
      <c r="G365" s="3"/>
    </row>
    <row r="366" spans="7:7" x14ac:dyDescent="0.3">
      <c r="G366" s="3"/>
    </row>
    <row r="367" spans="7:7" x14ac:dyDescent="0.3">
      <c r="G367" s="3"/>
    </row>
    <row r="368" spans="7:7" x14ac:dyDescent="0.3">
      <c r="G368" s="3"/>
    </row>
    <row r="369" spans="7:7" x14ac:dyDescent="0.3">
      <c r="G369" s="3"/>
    </row>
    <row r="370" spans="7:7" x14ac:dyDescent="0.3">
      <c r="G370" s="3"/>
    </row>
    <row r="371" spans="7:7" x14ac:dyDescent="0.3">
      <c r="G371" s="3"/>
    </row>
    <row r="372" spans="7:7" x14ac:dyDescent="0.3">
      <c r="G372" s="3"/>
    </row>
    <row r="373" spans="7:7" x14ac:dyDescent="0.3">
      <c r="G373" s="3"/>
    </row>
    <row r="374" spans="7:7" x14ac:dyDescent="0.3">
      <c r="G374" s="3"/>
    </row>
    <row r="375" spans="7:7" x14ac:dyDescent="0.3">
      <c r="G375" s="3"/>
    </row>
    <row r="376" spans="7:7" x14ac:dyDescent="0.3">
      <c r="G376" s="3"/>
    </row>
    <row r="377" spans="7:7" x14ac:dyDescent="0.3">
      <c r="G377" s="3"/>
    </row>
    <row r="378" spans="7:7" x14ac:dyDescent="0.3">
      <c r="G378" s="3"/>
    </row>
    <row r="379" spans="7:7" x14ac:dyDescent="0.3">
      <c r="G379" s="3"/>
    </row>
    <row r="380" spans="7:7" x14ac:dyDescent="0.3">
      <c r="G380" s="3"/>
    </row>
    <row r="381" spans="7:7" x14ac:dyDescent="0.3">
      <c r="G381" s="3"/>
    </row>
    <row r="382" spans="7:7" x14ac:dyDescent="0.3">
      <c r="G382" s="3"/>
    </row>
    <row r="383" spans="7:7" x14ac:dyDescent="0.3">
      <c r="G383" s="3"/>
    </row>
    <row r="384" spans="7:7" x14ac:dyDescent="0.3">
      <c r="G384" s="3"/>
    </row>
    <row r="385" spans="7:7" x14ac:dyDescent="0.3">
      <c r="G385" s="3"/>
    </row>
    <row r="386" spans="7:7" x14ac:dyDescent="0.3">
      <c r="G386" s="3"/>
    </row>
    <row r="387" spans="7:7" x14ac:dyDescent="0.3">
      <c r="G387" s="3"/>
    </row>
    <row r="388" spans="7:7" x14ac:dyDescent="0.3">
      <c r="G388" s="3"/>
    </row>
    <row r="389" spans="7:7" x14ac:dyDescent="0.3">
      <c r="G389" s="3"/>
    </row>
    <row r="390" spans="7:7" x14ac:dyDescent="0.3">
      <c r="G390" s="3"/>
    </row>
    <row r="391" spans="7:7" x14ac:dyDescent="0.3">
      <c r="G391" s="3"/>
    </row>
    <row r="392" spans="7:7" x14ac:dyDescent="0.3">
      <c r="G392" s="3"/>
    </row>
    <row r="393" spans="7:7" x14ac:dyDescent="0.3">
      <c r="G393" s="3"/>
    </row>
    <row r="394" spans="7:7" x14ac:dyDescent="0.3">
      <c r="G394" s="3"/>
    </row>
    <row r="395" spans="7:7" x14ac:dyDescent="0.3">
      <c r="G395" s="3"/>
    </row>
    <row r="396" spans="7:7" x14ac:dyDescent="0.3">
      <c r="G396" s="3"/>
    </row>
    <row r="397" spans="7:7" x14ac:dyDescent="0.3">
      <c r="G397" s="3"/>
    </row>
    <row r="398" spans="7:7" x14ac:dyDescent="0.3">
      <c r="G398" s="3"/>
    </row>
    <row r="399" spans="7:7" x14ac:dyDescent="0.3">
      <c r="G399" s="3"/>
    </row>
    <row r="400" spans="7:7" x14ac:dyDescent="0.3">
      <c r="G400" s="3"/>
    </row>
    <row r="401" spans="7:7" x14ac:dyDescent="0.3">
      <c r="G401" s="3"/>
    </row>
    <row r="402" spans="7:7" x14ac:dyDescent="0.3">
      <c r="G402" s="3"/>
    </row>
    <row r="403" spans="7:7" x14ac:dyDescent="0.3">
      <c r="G403" s="3"/>
    </row>
    <row r="404" spans="7:7" x14ac:dyDescent="0.3">
      <c r="G404" s="3"/>
    </row>
    <row r="405" spans="7:7" x14ac:dyDescent="0.3">
      <c r="G405" s="3"/>
    </row>
    <row r="406" spans="7:7" x14ac:dyDescent="0.3">
      <c r="G406" s="3"/>
    </row>
    <row r="407" spans="7:7" x14ac:dyDescent="0.3">
      <c r="G407" s="3"/>
    </row>
    <row r="408" spans="7:7" x14ac:dyDescent="0.3">
      <c r="G408" s="3"/>
    </row>
    <row r="409" spans="7:7" x14ac:dyDescent="0.3">
      <c r="G409" s="3"/>
    </row>
    <row r="410" spans="7:7" x14ac:dyDescent="0.3">
      <c r="G410" s="3"/>
    </row>
    <row r="411" spans="7:7" x14ac:dyDescent="0.3">
      <c r="G411" s="3"/>
    </row>
    <row r="412" spans="7:7" x14ac:dyDescent="0.3">
      <c r="G412" s="3"/>
    </row>
    <row r="413" spans="7:7" x14ac:dyDescent="0.3">
      <c r="G413" s="3"/>
    </row>
    <row r="414" spans="7:7" x14ac:dyDescent="0.3">
      <c r="G414" s="3"/>
    </row>
    <row r="415" spans="7:7" x14ac:dyDescent="0.3">
      <c r="G415" s="3"/>
    </row>
    <row r="416" spans="7:7" x14ac:dyDescent="0.3">
      <c r="G416" s="3"/>
    </row>
    <row r="417" spans="7:7" x14ac:dyDescent="0.3">
      <c r="G417" s="3"/>
    </row>
    <row r="418" spans="7:7" x14ac:dyDescent="0.3">
      <c r="G418" s="3"/>
    </row>
    <row r="419" spans="7:7" x14ac:dyDescent="0.3">
      <c r="G419" s="3"/>
    </row>
    <row r="420" spans="7:7" x14ac:dyDescent="0.3">
      <c r="G420" s="3"/>
    </row>
    <row r="421" spans="7:7" x14ac:dyDescent="0.3">
      <c r="G421" s="3"/>
    </row>
    <row r="422" spans="7:7" x14ac:dyDescent="0.3">
      <c r="G422" s="3"/>
    </row>
    <row r="423" spans="7:7" x14ac:dyDescent="0.3">
      <c r="G423" s="3"/>
    </row>
    <row r="424" spans="7:7" x14ac:dyDescent="0.3">
      <c r="G424" s="3"/>
    </row>
    <row r="425" spans="7:7" x14ac:dyDescent="0.3">
      <c r="G425" s="3"/>
    </row>
    <row r="426" spans="7:7" x14ac:dyDescent="0.3">
      <c r="G426" s="3"/>
    </row>
    <row r="427" spans="7:7" x14ac:dyDescent="0.3">
      <c r="G427" s="3"/>
    </row>
    <row r="428" spans="7:7" x14ac:dyDescent="0.3">
      <c r="G428" s="3"/>
    </row>
    <row r="429" spans="7:7" x14ac:dyDescent="0.3">
      <c r="G429" s="3"/>
    </row>
    <row r="430" spans="7:7" x14ac:dyDescent="0.3">
      <c r="G430" s="3"/>
    </row>
    <row r="431" spans="7:7" x14ac:dyDescent="0.3">
      <c r="G431" s="3"/>
    </row>
    <row r="432" spans="7:7" x14ac:dyDescent="0.3">
      <c r="G432" s="3"/>
    </row>
    <row r="433" spans="7:7" x14ac:dyDescent="0.3">
      <c r="G433" s="3"/>
    </row>
    <row r="434" spans="7:7" x14ac:dyDescent="0.3">
      <c r="G434" s="3"/>
    </row>
    <row r="435" spans="7:7" x14ac:dyDescent="0.3">
      <c r="G435" s="3"/>
    </row>
    <row r="436" spans="7:7" x14ac:dyDescent="0.3">
      <c r="G436" s="3"/>
    </row>
    <row r="437" spans="7:7" x14ac:dyDescent="0.3">
      <c r="G437" s="3"/>
    </row>
    <row r="438" spans="7:7" x14ac:dyDescent="0.3">
      <c r="G438" s="3"/>
    </row>
    <row r="439" spans="7:7" x14ac:dyDescent="0.3">
      <c r="G439" s="3"/>
    </row>
    <row r="440" spans="7:7" x14ac:dyDescent="0.3">
      <c r="G440" s="3"/>
    </row>
    <row r="441" spans="7:7" x14ac:dyDescent="0.3">
      <c r="G441" s="3"/>
    </row>
    <row r="442" spans="7:7" x14ac:dyDescent="0.3">
      <c r="G442" s="3"/>
    </row>
    <row r="443" spans="7:7" x14ac:dyDescent="0.3">
      <c r="G443" s="3"/>
    </row>
    <row r="444" spans="7:7" x14ac:dyDescent="0.3">
      <c r="G444" s="3"/>
    </row>
    <row r="445" spans="7:7" x14ac:dyDescent="0.3">
      <c r="G445" s="3"/>
    </row>
    <row r="446" spans="7:7" x14ac:dyDescent="0.3">
      <c r="G446" s="3"/>
    </row>
    <row r="447" spans="7:7" x14ac:dyDescent="0.3">
      <c r="G447" s="3"/>
    </row>
    <row r="448" spans="7:7" x14ac:dyDescent="0.3">
      <c r="G448" s="3"/>
    </row>
    <row r="449" spans="7:7" x14ac:dyDescent="0.3">
      <c r="G449" s="3"/>
    </row>
    <row r="450" spans="7:7" x14ac:dyDescent="0.3">
      <c r="G450" s="3"/>
    </row>
    <row r="451" spans="7:7" x14ac:dyDescent="0.3">
      <c r="G451" s="3"/>
    </row>
    <row r="452" spans="7:7" x14ac:dyDescent="0.3">
      <c r="G452" s="3"/>
    </row>
    <row r="453" spans="7:7" x14ac:dyDescent="0.3">
      <c r="G453" s="3"/>
    </row>
    <row r="454" spans="7:7" x14ac:dyDescent="0.3">
      <c r="G454" s="3"/>
    </row>
    <row r="455" spans="7:7" x14ac:dyDescent="0.3">
      <c r="G455" s="3"/>
    </row>
    <row r="456" spans="7:7" x14ac:dyDescent="0.3">
      <c r="G456" s="3"/>
    </row>
    <row r="457" spans="7:7" x14ac:dyDescent="0.3">
      <c r="G457" s="3"/>
    </row>
    <row r="458" spans="7:7" x14ac:dyDescent="0.3">
      <c r="G458" s="3"/>
    </row>
    <row r="459" spans="7:7" x14ac:dyDescent="0.3">
      <c r="G459" s="3"/>
    </row>
    <row r="460" spans="7:7" x14ac:dyDescent="0.3">
      <c r="G460" s="3"/>
    </row>
    <row r="461" spans="7:7" x14ac:dyDescent="0.3">
      <c r="G461" s="3"/>
    </row>
    <row r="462" spans="7:7" x14ac:dyDescent="0.3">
      <c r="G462" s="3"/>
    </row>
    <row r="463" spans="7:7" x14ac:dyDescent="0.3">
      <c r="G463" s="3"/>
    </row>
    <row r="464" spans="7:7" x14ac:dyDescent="0.3">
      <c r="G464" s="3"/>
    </row>
    <row r="465" spans="7:7" x14ac:dyDescent="0.3">
      <c r="G465" s="3"/>
    </row>
    <row r="466" spans="7:7" x14ac:dyDescent="0.3">
      <c r="G466" s="3"/>
    </row>
    <row r="467" spans="7:7" x14ac:dyDescent="0.3">
      <c r="G467" s="3"/>
    </row>
    <row r="468" spans="7:7" x14ac:dyDescent="0.3">
      <c r="G468" s="3"/>
    </row>
    <row r="469" spans="7:7" x14ac:dyDescent="0.3">
      <c r="G469" s="3"/>
    </row>
    <row r="470" spans="7:7" x14ac:dyDescent="0.3">
      <c r="G470" s="3"/>
    </row>
    <row r="471" spans="7:7" x14ac:dyDescent="0.3">
      <c r="G471" s="3"/>
    </row>
    <row r="472" spans="7:7" x14ac:dyDescent="0.3">
      <c r="G472" s="3"/>
    </row>
    <row r="473" spans="7:7" x14ac:dyDescent="0.3">
      <c r="G473" s="3"/>
    </row>
    <row r="474" spans="7:7" x14ac:dyDescent="0.3">
      <c r="G474" s="3"/>
    </row>
    <row r="475" spans="7:7" x14ac:dyDescent="0.3">
      <c r="G475" s="3"/>
    </row>
    <row r="476" spans="7:7" x14ac:dyDescent="0.3">
      <c r="G476" s="3"/>
    </row>
    <row r="477" spans="7:7" x14ac:dyDescent="0.3">
      <c r="G477" s="3"/>
    </row>
    <row r="478" spans="7:7" x14ac:dyDescent="0.3">
      <c r="G478" s="3"/>
    </row>
    <row r="479" spans="7:7" x14ac:dyDescent="0.3">
      <c r="G479" s="3"/>
    </row>
    <row r="480" spans="7:7" x14ac:dyDescent="0.3">
      <c r="G480" s="3"/>
    </row>
    <row r="481" spans="7:7" x14ac:dyDescent="0.3">
      <c r="G481" s="3"/>
    </row>
    <row r="482" spans="7:7" x14ac:dyDescent="0.3">
      <c r="G482" s="3"/>
    </row>
    <row r="483" spans="7:7" x14ac:dyDescent="0.3">
      <c r="G483" s="3"/>
    </row>
    <row r="484" spans="7:7" x14ac:dyDescent="0.3">
      <c r="G484" s="3"/>
    </row>
    <row r="485" spans="7:7" x14ac:dyDescent="0.3">
      <c r="G485" s="3"/>
    </row>
    <row r="486" spans="7:7" x14ac:dyDescent="0.3">
      <c r="G486" s="3"/>
    </row>
    <row r="487" spans="7:7" x14ac:dyDescent="0.3">
      <c r="G487" s="3"/>
    </row>
    <row r="488" spans="7:7" x14ac:dyDescent="0.3">
      <c r="G488" s="3"/>
    </row>
    <row r="489" spans="7:7" x14ac:dyDescent="0.3">
      <c r="G489" s="3"/>
    </row>
    <row r="490" spans="7:7" x14ac:dyDescent="0.3">
      <c r="G490" s="3"/>
    </row>
    <row r="491" spans="7:7" x14ac:dyDescent="0.3">
      <c r="G491" s="3"/>
    </row>
    <row r="492" spans="7:7" x14ac:dyDescent="0.3">
      <c r="G492" s="3"/>
    </row>
    <row r="493" spans="7:7" x14ac:dyDescent="0.3">
      <c r="G493" s="3"/>
    </row>
    <row r="494" spans="7:7" x14ac:dyDescent="0.3">
      <c r="G494" s="3"/>
    </row>
    <row r="495" spans="7:7" x14ac:dyDescent="0.3">
      <c r="G495" s="3"/>
    </row>
    <row r="496" spans="7:7" x14ac:dyDescent="0.3">
      <c r="G496" s="3"/>
    </row>
    <row r="497" spans="7:7" x14ac:dyDescent="0.3">
      <c r="G497" s="3"/>
    </row>
    <row r="498" spans="7:7" x14ac:dyDescent="0.3">
      <c r="G498" s="3"/>
    </row>
    <row r="499" spans="7:7" x14ac:dyDescent="0.3">
      <c r="G499" s="3"/>
    </row>
    <row r="500" spans="7:7" x14ac:dyDescent="0.3">
      <c r="G500" s="3"/>
    </row>
    <row r="501" spans="7:7" x14ac:dyDescent="0.3">
      <c r="G501" s="3"/>
    </row>
    <row r="502" spans="7:7" x14ac:dyDescent="0.3">
      <c r="G502" s="3"/>
    </row>
    <row r="503" spans="7:7" x14ac:dyDescent="0.3">
      <c r="G503" s="3"/>
    </row>
    <row r="504" spans="7:7" x14ac:dyDescent="0.3">
      <c r="G504" s="3"/>
    </row>
    <row r="505" spans="7:7" x14ac:dyDescent="0.3">
      <c r="G505" s="3"/>
    </row>
    <row r="506" spans="7:7" x14ac:dyDescent="0.3">
      <c r="G506" s="3"/>
    </row>
    <row r="507" spans="7:7" x14ac:dyDescent="0.3">
      <c r="G507" s="3"/>
    </row>
    <row r="508" spans="7:7" x14ac:dyDescent="0.3">
      <c r="G508" s="3"/>
    </row>
    <row r="509" spans="7:7" x14ac:dyDescent="0.3">
      <c r="G509" s="3"/>
    </row>
    <row r="510" spans="7:7" x14ac:dyDescent="0.3">
      <c r="G510" s="3"/>
    </row>
    <row r="511" spans="7:7" x14ac:dyDescent="0.3">
      <c r="G511" s="3"/>
    </row>
    <row r="512" spans="7:7" x14ac:dyDescent="0.3">
      <c r="G512" s="3"/>
    </row>
    <row r="513" spans="7:7" x14ac:dyDescent="0.3">
      <c r="G513" s="3"/>
    </row>
    <row r="514" spans="7:7" x14ac:dyDescent="0.3">
      <c r="G514" s="3"/>
    </row>
    <row r="515" spans="7:7" x14ac:dyDescent="0.3">
      <c r="G515" s="3"/>
    </row>
    <row r="516" spans="7:7" x14ac:dyDescent="0.3">
      <c r="G516" s="3"/>
    </row>
    <row r="517" spans="7:7" x14ac:dyDescent="0.3">
      <c r="G517" s="3"/>
    </row>
    <row r="518" spans="7:7" x14ac:dyDescent="0.3">
      <c r="G518" s="3"/>
    </row>
    <row r="519" spans="7:7" x14ac:dyDescent="0.3">
      <c r="G519" s="3"/>
    </row>
    <row r="520" spans="7:7" x14ac:dyDescent="0.3">
      <c r="G520" s="3"/>
    </row>
    <row r="521" spans="7:7" x14ac:dyDescent="0.3">
      <c r="G521" s="3"/>
    </row>
    <row r="522" spans="7:7" x14ac:dyDescent="0.3">
      <c r="G522" s="3"/>
    </row>
    <row r="523" spans="7:7" x14ac:dyDescent="0.3">
      <c r="G523" s="3"/>
    </row>
    <row r="524" spans="7:7" x14ac:dyDescent="0.3">
      <c r="G524" s="3"/>
    </row>
    <row r="525" spans="7:7" x14ac:dyDescent="0.3">
      <c r="G525" s="3"/>
    </row>
    <row r="526" spans="7:7" x14ac:dyDescent="0.3">
      <c r="G526" s="3"/>
    </row>
    <row r="527" spans="7:7" x14ac:dyDescent="0.3">
      <c r="G527" s="3"/>
    </row>
    <row r="528" spans="7:7" x14ac:dyDescent="0.3">
      <c r="G528" s="3"/>
    </row>
    <row r="529" spans="7:7" x14ac:dyDescent="0.3">
      <c r="G529" s="3"/>
    </row>
    <row r="530" spans="7:7" x14ac:dyDescent="0.3">
      <c r="G530" s="3"/>
    </row>
    <row r="531" spans="7:7" x14ac:dyDescent="0.3">
      <c r="G531" s="3"/>
    </row>
    <row r="532" spans="7:7" x14ac:dyDescent="0.3">
      <c r="G532" s="3"/>
    </row>
    <row r="533" spans="7:7" x14ac:dyDescent="0.3">
      <c r="G533" s="3"/>
    </row>
    <row r="534" spans="7:7" x14ac:dyDescent="0.3">
      <c r="G534" s="3"/>
    </row>
    <row r="535" spans="7:7" x14ac:dyDescent="0.3">
      <c r="G535" s="3"/>
    </row>
    <row r="536" spans="7:7" x14ac:dyDescent="0.3">
      <c r="G536" s="3"/>
    </row>
    <row r="537" spans="7:7" x14ac:dyDescent="0.3">
      <c r="G537" s="3"/>
    </row>
    <row r="538" spans="7:7" x14ac:dyDescent="0.3">
      <c r="G538" s="3"/>
    </row>
    <row r="539" spans="7:7" x14ac:dyDescent="0.3">
      <c r="G539" s="3"/>
    </row>
    <row r="540" spans="7:7" x14ac:dyDescent="0.3">
      <c r="G540" s="3"/>
    </row>
    <row r="541" spans="7:7" x14ac:dyDescent="0.3">
      <c r="G541" s="3"/>
    </row>
    <row r="542" spans="7:7" x14ac:dyDescent="0.3">
      <c r="G542" s="3"/>
    </row>
    <row r="543" spans="7:7" x14ac:dyDescent="0.3">
      <c r="G543" s="3"/>
    </row>
    <row r="544" spans="7:7" x14ac:dyDescent="0.3">
      <c r="G544" s="3"/>
    </row>
    <row r="545" spans="7:7" x14ac:dyDescent="0.3">
      <c r="G545" s="3"/>
    </row>
    <row r="546" spans="7:7" x14ac:dyDescent="0.3">
      <c r="G546" s="3"/>
    </row>
    <row r="547" spans="7:7" x14ac:dyDescent="0.3">
      <c r="G547" s="3"/>
    </row>
    <row r="548" spans="7:7" x14ac:dyDescent="0.3">
      <c r="G548" s="3"/>
    </row>
    <row r="549" spans="7:7" x14ac:dyDescent="0.3">
      <c r="G549" s="3"/>
    </row>
    <row r="550" spans="7:7" x14ac:dyDescent="0.3">
      <c r="G550" s="3"/>
    </row>
    <row r="551" spans="7:7" x14ac:dyDescent="0.3">
      <c r="G551" s="3"/>
    </row>
    <row r="552" spans="7:7" x14ac:dyDescent="0.3">
      <c r="G552" s="3"/>
    </row>
    <row r="553" spans="7:7" x14ac:dyDescent="0.3">
      <c r="G553" s="3"/>
    </row>
    <row r="554" spans="7:7" x14ac:dyDescent="0.3">
      <c r="G554" s="3"/>
    </row>
    <row r="555" spans="7:7" x14ac:dyDescent="0.3">
      <c r="G555" s="3"/>
    </row>
    <row r="556" spans="7:7" x14ac:dyDescent="0.3">
      <c r="G556" s="3"/>
    </row>
    <row r="557" spans="7:7" x14ac:dyDescent="0.3">
      <c r="G557" s="3"/>
    </row>
    <row r="558" spans="7:7" x14ac:dyDescent="0.3">
      <c r="G558" s="3"/>
    </row>
    <row r="559" spans="7:7" x14ac:dyDescent="0.3">
      <c r="G559" s="3"/>
    </row>
    <row r="560" spans="7:7" x14ac:dyDescent="0.3">
      <c r="G560" s="3"/>
    </row>
    <row r="561" spans="7:7" x14ac:dyDescent="0.3">
      <c r="G561" s="3"/>
    </row>
    <row r="562" spans="7:7" x14ac:dyDescent="0.3">
      <c r="G562" s="3"/>
    </row>
    <row r="563" spans="7:7" x14ac:dyDescent="0.3">
      <c r="G563" s="3"/>
    </row>
    <row r="564" spans="7:7" x14ac:dyDescent="0.3">
      <c r="G564" s="3"/>
    </row>
    <row r="565" spans="7:7" x14ac:dyDescent="0.3">
      <c r="G565" s="3"/>
    </row>
    <row r="566" spans="7:7" x14ac:dyDescent="0.3">
      <c r="G566" s="3"/>
    </row>
    <row r="567" spans="7:7" x14ac:dyDescent="0.3">
      <c r="G567" s="3"/>
    </row>
    <row r="568" spans="7:7" x14ac:dyDescent="0.3">
      <c r="G568" s="3"/>
    </row>
    <row r="569" spans="7:7" x14ac:dyDescent="0.3">
      <c r="G569" s="3"/>
    </row>
    <row r="570" spans="7:7" x14ac:dyDescent="0.3">
      <c r="G570" s="3"/>
    </row>
    <row r="571" spans="7:7" x14ac:dyDescent="0.3">
      <c r="G571" s="3"/>
    </row>
    <row r="572" spans="7:7" x14ac:dyDescent="0.3">
      <c r="G572" s="3"/>
    </row>
    <row r="573" spans="7:7" x14ac:dyDescent="0.3">
      <c r="G573" s="3"/>
    </row>
    <row r="574" spans="7:7" x14ac:dyDescent="0.3">
      <c r="G574" s="3"/>
    </row>
    <row r="575" spans="7:7" x14ac:dyDescent="0.3">
      <c r="G575" s="3"/>
    </row>
    <row r="576" spans="7:7" x14ac:dyDescent="0.3">
      <c r="G576" s="3"/>
    </row>
    <row r="577" spans="7:7" x14ac:dyDescent="0.3">
      <c r="G577" s="3"/>
    </row>
    <row r="578" spans="7:7" x14ac:dyDescent="0.3">
      <c r="G578" s="3"/>
    </row>
    <row r="579" spans="7:7" x14ac:dyDescent="0.3">
      <c r="G579" s="3"/>
    </row>
    <row r="580" spans="7:7" x14ac:dyDescent="0.3">
      <c r="G580" s="3"/>
    </row>
    <row r="581" spans="7:7" x14ac:dyDescent="0.3">
      <c r="G581" s="3"/>
    </row>
    <row r="582" spans="7:7" x14ac:dyDescent="0.3">
      <c r="G582" s="3"/>
    </row>
    <row r="583" spans="7:7" x14ac:dyDescent="0.3">
      <c r="G583" s="3"/>
    </row>
    <row r="584" spans="7:7" x14ac:dyDescent="0.3">
      <c r="G584" s="3"/>
    </row>
    <row r="585" spans="7:7" x14ac:dyDescent="0.3">
      <c r="G585" s="3"/>
    </row>
    <row r="586" spans="7:7" x14ac:dyDescent="0.3">
      <c r="G586" s="3"/>
    </row>
    <row r="587" spans="7:7" x14ac:dyDescent="0.3">
      <c r="G587" s="3"/>
    </row>
    <row r="588" spans="7:7" x14ac:dyDescent="0.3">
      <c r="G588" s="3"/>
    </row>
    <row r="589" spans="7:7" x14ac:dyDescent="0.3">
      <c r="G589" s="3"/>
    </row>
    <row r="590" spans="7:7" x14ac:dyDescent="0.3">
      <c r="G590" s="3"/>
    </row>
    <row r="591" spans="7:7" x14ac:dyDescent="0.3">
      <c r="G591" s="3"/>
    </row>
    <row r="592" spans="7:7" x14ac:dyDescent="0.3">
      <c r="G592" s="3"/>
    </row>
    <row r="593" spans="7:7" x14ac:dyDescent="0.3">
      <c r="G593" s="3"/>
    </row>
    <row r="594" spans="7:7" x14ac:dyDescent="0.3">
      <c r="G594" s="3"/>
    </row>
    <row r="595" spans="7:7" x14ac:dyDescent="0.3">
      <c r="G595" s="3"/>
    </row>
    <row r="596" spans="7:7" x14ac:dyDescent="0.3">
      <c r="G596" s="3"/>
    </row>
    <row r="597" spans="7:7" x14ac:dyDescent="0.3">
      <c r="G597" s="3"/>
    </row>
    <row r="598" spans="7:7" x14ac:dyDescent="0.3">
      <c r="G598" s="3"/>
    </row>
    <row r="599" spans="7:7" x14ac:dyDescent="0.3">
      <c r="G599" s="3"/>
    </row>
    <row r="600" spans="7:7" x14ac:dyDescent="0.3">
      <c r="G600" s="3"/>
    </row>
    <row r="601" spans="7:7" x14ac:dyDescent="0.3">
      <c r="G601" s="3"/>
    </row>
    <row r="602" spans="7:7" x14ac:dyDescent="0.3">
      <c r="G602" s="3"/>
    </row>
    <row r="603" spans="7:7" x14ac:dyDescent="0.3">
      <c r="G603" s="3"/>
    </row>
    <row r="604" spans="7:7" x14ac:dyDescent="0.3">
      <c r="G604" s="3"/>
    </row>
    <row r="605" spans="7:7" x14ac:dyDescent="0.3">
      <c r="G605" s="3"/>
    </row>
    <row r="606" spans="7:7" x14ac:dyDescent="0.3">
      <c r="G606" s="3"/>
    </row>
    <row r="607" spans="7:7" x14ac:dyDescent="0.3">
      <c r="G607" s="3"/>
    </row>
    <row r="608" spans="7:7" x14ac:dyDescent="0.3">
      <c r="G608" s="3"/>
    </row>
    <row r="609" spans="7:7" x14ac:dyDescent="0.3">
      <c r="G609" s="3"/>
    </row>
    <row r="610" spans="7:7" x14ac:dyDescent="0.3">
      <c r="G610" s="3"/>
    </row>
    <row r="611" spans="7:7" x14ac:dyDescent="0.3">
      <c r="G611" s="3"/>
    </row>
    <row r="612" spans="7:7" x14ac:dyDescent="0.3">
      <c r="G612" s="3"/>
    </row>
    <row r="613" spans="7:7" x14ac:dyDescent="0.3">
      <c r="G613" s="3"/>
    </row>
    <row r="614" spans="7:7" x14ac:dyDescent="0.3">
      <c r="G614" s="3"/>
    </row>
    <row r="615" spans="7:7" x14ac:dyDescent="0.3">
      <c r="G615" s="3"/>
    </row>
    <row r="616" spans="7:7" x14ac:dyDescent="0.3">
      <c r="G616" s="3"/>
    </row>
    <row r="617" spans="7:7" x14ac:dyDescent="0.3">
      <c r="G617" s="3"/>
    </row>
    <row r="618" spans="7:7" x14ac:dyDescent="0.3">
      <c r="G618" s="3"/>
    </row>
    <row r="619" spans="7:7" x14ac:dyDescent="0.3">
      <c r="G619" s="3"/>
    </row>
    <row r="620" spans="7:7" x14ac:dyDescent="0.3">
      <c r="G620" s="3"/>
    </row>
    <row r="621" spans="7:7" x14ac:dyDescent="0.3">
      <c r="G621" s="3"/>
    </row>
    <row r="622" spans="7:7" x14ac:dyDescent="0.3">
      <c r="G622" s="3"/>
    </row>
    <row r="623" spans="7:7" x14ac:dyDescent="0.3">
      <c r="G623" s="3"/>
    </row>
    <row r="624" spans="7:7" x14ac:dyDescent="0.3">
      <c r="G624" s="3"/>
    </row>
    <row r="625" spans="7:7" x14ac:dyDescent="0.3">
      <c r="G625" s="3"/>
    </row>
    <row r="626" spans="7:7" x14ac:dyDescent="0.3">
      <c r="G626" s="3"/>
    </row>
    <row r="627" spans="7:7" x14ac:dyDescent="0.3">
      <c r="G627" s="3"/>
    </row>
    <row r="628" spans="7:7" x14ac:dyDescent="0.3">
      <c r="G628" s="3"/>
    </row>
    <row r="629" spans="7:7" x14ac:dyDescent="0.3">
      <c r="G629" s="3"/>
    </row>
    <row r="630" spans="7:7" x14ac:dyDescent="0.3">
      <c r="G630" s="3"/>
    </row>
    <row r="631" spans="7:7" x14ac:dyDescent="0.3">
      <c r="G631" s="3"/>
    </row>
    <row r="632" spans="7:7" x14ac:dyDescent="0.3">
      <c r="G632" s="3"/>
    </row>
    <row r="633" spans="7:7" x14ac:dyDescent="0.3">
      <c r="G633" s="3"/>
    </row>
    <row r="634" spans="7:7" x14ac:dyDescent="0.3">
      <c r="G634" s="3"/>
    </row>
    <row r="635" spans="7:7" x14ac:dyDescent="0.3">
      <c r="G635" s="3"/>
    </row>
    <row r="636" spans="7:7" x14ac:dyDescent="0.3">
      <c r="G636" s="3"/>
    </row>
    <row r="637" spans="7:7" x14ac:dyDescent="0.3">
      <c r="G637" s="3"/>
    </row>
    <row r="638" spans="7:7" x14ac:dyDescent="0.3">
      <c r="G638" s="3"/>
    </row>
    <row r="639" spans="7:7" x14ac:dyDescent="0.3">
      <c r="G639" s="3"/>
    </row>
    <row r="640" spans="7:7" x14ac:dyDescent="0.3">
      <c r="G640" s="3"/>
    </row>
    <row r="641" spans="7:7" x14ac:dyDescent="0.3">
      <c r="G641" s="3"/>
    </row>
    <row r="642" spans="7:7" x14ac:dyDescent="0.3">
      <c r="G642" s="3"/>
    </row>
    <row r="643" spans="7:7" x14ac:dyDescent="0.3">
      <c r="G643" s="3"/>
    </row>
    <row r="644" spans="7:7" x14ac:dyDescent="0.3">
      <c r="G644" s="3"/>
    </row>
    <row r="645" spans="7:7" x14ac:dyDescent="0.3">
      <c r="G645" s="3"/>
    </row>
    <row r="646" spans="7:7" x14ac:dyDescent="0.3">
      <c r="G646" s="3"/>
    </row>
    <row r="647" spans="7:7" x14ac:dyDescent="0.3">
      <c r="G647" s="3"/>
    </row>
    <row r="648" spans="7:7" x14ac:dyDescent="0.3">
      <c r="G648" s="3"/>
    </row>
    <row r="649" spans="7:7" x14ac:dyDescent="0.3">
      <c r="G649" s="3"/>
    </row>
    <row r="650" spans="7:7" x14ac:dyDescent="0.3">
      <c r="G650" s="3"/>
    </row>
    <row r="651" spans="7:7" x14ac:dyDescent="0.3">
      <c r="G651" s="3"/>
    </row>
    <row r="652" spans="7:7" x14ac:dyDescent="0.3">
      <c r="G652" s="3"/>
    </row>
    <row r="653" spans="7:7" x14ac:dyDescent="0.3">
      <c r="G653" s="3"/>
    </row>
    <row r="654" spans="7:7" x14ac:dyDescent="0.3">
      <c r="G654" s="3"/>
    </row>
    <row r="655" spans="7:7" x14ac:dyDescent="0.3">
      <c r="G655" s="3"/>
    </row>
    <row r="656" spans="7:7" x14ac:dyDescent="0.3">
      <c r="G656" s="3"/>
    </row>
    <row r="657" spans="7:7" x14ac:dyDescent="0.3">
      <c r="G657" s="3"/>
    </row>
    <row r="658" spans="7:7" x14ac:dyDescent="0.3">
      <c r="G658" s="3"/>
    </row>
    <row r="659" spans="7:7" x14ac:dyDescent="0.3">
      <c r="G659" s="3"/>
    </row>
    <row r="660" spans="7:7" x14ac:dyDescent="0.3">
      <c r="G660" s="3"/>
    </row>
    <row r="661" spans="7:7" x14ac:dyDescent="0.3">
      <c r="G661" s="3"/>
    </row>
    <row r="662" spans="7:7" x14ac:dyDescent="0.3">
      <c r="G662" s="3"/>
    </row>
    <row r="663" spans="7:7" x14ac:dyDescent="0.3">
      <c r="G663" s="3"/>
    </row>
    <row r="664" spans="7:7" x14ac:dyDescent="0.3">
      <c r="G664" s="3"/>
    </row>
    <row r="665" spans="7:7" x14ac:dyDescent="0.3">
      <c r="G665" s="3"/>
    </row>
    <row r="666" spans="7:7" x14ac:dyDescent="0.3">
      <c r="G666" s="3"/>
    </row>
    <row r="667" spans="7:7" x14ac:dyDescent="0.3">
      <c r="G667" s="3"/>
    </row>
    <row r="668" spans="7:7" x14ac:dyDescent="0.3">
      <c r="G668" s="3"/>
    </row>
    <row r="669" spans="7:7" x14ac:dyDescent="0.3">
      <c r="G669" s="3"/>
    </row>
    <row r="670" spans="7:7" x14ac:dyDescent="0.3">
      <c r="G670" s="3"/>
    </row>
    <row r="671" spans="7:7" x14ac:dyDescent="0.3">
      <c r="G671" s="3"/>
    </row>
    <row r="672" spans="7:7" x14ac:dyDescent="0.3">
      <c r="G672" s="3"/>
    </row>
    <row r="673" spans="7:7" x14ac:dyDescent="0.3">
      <c r="G673" s="3"/>
    </row>
    <row r="674" spans="7:7" x14ac:dyDescent="0.3">
      <c r="G674" s="3"/>
    </row>
    <row r="675" spans="7:7" x14ac:dyDescent="0.3">
      <c r="G675" s="3"/>
    </row>
    <row r="676" spans="7:7" x14ac:dyDescent="0.3">
      <c r="G676" s="3"/>
    </row>
    <row r="677" spans="7:7" x14ac:dyDescent="0.3">
      <c r="G677" s="3"/>
    </row>
    <row r="678" spans="7:7" x14ac:dyDescent="0.3">
      <c r="G678" s="3"/>
    </row>
    <row r="679" spans="7:7" x14ac:dyDescent="0.3">
      <c r="G679" s="3"/>
    </row>
    <row r="680" spans="7:7" x14ac:dyDescent="0.3">
      <c r="G680" s="3"/>
    </row>
    <row r="681" spans="7:7" x14ac:dyDescent="0.3">
      <c r="G681" s="3"/>
    </row>
    <row r="682" spans="7:7" x14ac:dyDescent="0.3">
      <c r="G682" s="3"/>
    </row>
    <row r="683" spans="7:7" x14ac:dyDescent="0.3">
      <c r="G683" s="3"/>
    </row>
    <row r="684" spans="7:7" x14ac:dyDescent="0.3">
      <c r="G684" s="3"/>
    </row>
    <row r="685" spans="7:7" x14ac:dyDescent="0.3">
      <c r="G685" s="3"/>
    </row>
    <row r="686" spans="7:7" x14ac:dyDescent="0.3">
      <c r="G686" s="3"/>
    </row>
    <row r="687" spans="7:7" x14ac:dyDescent="0.3">
      <c r="G687" s="3"/>
    </row>
    <row r="688" spans="7:7" x14ac:dyDescent="0.3">
      <c r="G688" s="3"/>
    </row>
    <row r="689" spans="7:7" x14ac:dyDescent="0.3">
      <c r="G689" s="3"/>
    </row>
    <row r="690" spans="7:7" x14ac:dyDescent="0.3">
      <c r="G690" s="3"/>
    </row>
    <row r="691" spans="7:7" x14ac:dyDescent="0.3">
      <c r="G691" s="3"/>
    </row>
    <row r="692" spans="7:7" x14ac:dyDescent="0.3">
      <c r="G692" s="3"/>
    </row>
    <row r="693" spans="7:7" x14ac:dyDescent="0.3">
      <c r="G693" s="3"/>
    </row>
    <row r="694" spans="7:7" x14ac:dyDescent="0.3">
      <c r="G694" s="3"/>
    </row>
    <row r="695" spans="7:7" x14ac:dyDescent="0.3">
      <c r="G695" s="3"/>
    </row>
    <row r="696" spans="7:7" x14ac:dyDescent="0.3">
      <c r="G696" s="3"/>
    </row>
    <row r="697" spans="7:7" x14ac:dyDescent="0.3">
      <c r="G697" s="3"/>
    </row>
    <row r="698" spans="7:7" x14ac:dyDescent="0.3">
      <c r="G698" s="3"/>
    </row>
    <row r="699" spans="7:7" x14ac:dyDescent="0.3">
      <c r="G699" s="3"/>
    </row>
    <row r="700" spans="7:7" x14ac:dyDescent="0.3">
      <c r="G700" s="3"/>
    </row>
    <row r="701" spans="7:7" x14ac:dyDescent="0.3">
      <c r="G701" s="3"/>
    </row>
    <row r="702" spans="7:7" x14ac:dyDescent="0.3">
      <c r="G702" s="3"/>
    </row>
    <row r="703" spans="7:7" x14ac:dyDescent="0.3">
      <c r="G703" s="3"/>
    </row>
    <row r="704" spans="7:7" x14ac:dyDescent="0.3">
      <c r="G704" s="3"/>
    </row>
    <row r="705" spans="7:7" x14ac:dyDescent="0.3">
      <c r="G705" s="3"/>
    </row>
    <row r="706" spans="7:7" x14ac:dyDescent="0.3">
      <c r="G706" s="3"/>
    </row>
    <row r="707" spans="7:7" x14ac:dyDescent="0.3">
      <c r="G707" s="3"/>
    </row>
    <row r="708" spans="7:7" x14ac:dyDescent="0.3">
      <c r="G708" s="3"/>
    </row>
    <row r="709" spans="7:7" x14ac:dyDescent="0.3">
      <c r="G709" s="3"/>
    </row>
    <row r="710" spans="7:7" x14ac:dyDescent="0.3">
      <c r="G710" s="3"/>
    </row>
    <row r="711" spans="7:7" x14ac:dyDescent="0.3">
      <c r="G711" s="3"/>
    </row>
    <row r="712" spans="7:7" x14ac:dyDescent="0.3">
      <c r="G712" s="3"/>
    </row>
    <row r="713" spans="7:7" x14ac:dyDescent="0.3">
      <c r="G713" s="3"/>
    </row>
    <row r="714" spans="7:7" x14ac:dyDescent="0.3">
      <c r="G714" s="3"/>
    </row>
    <row r="715" spans="7:7" x14ac:dyDescent="0.3">
      <c r="G715" s="3"/>
    </row>
    <row r="716" spans="7:7" x14ac:dyDescent="0.3">
      <c r="G716" s="3"/>
    </row>
    <row r="717" spans="7:7" x14ac:dyDescent="0.3">
      <c r="G717" s="3"/>
    </row>
    <row r="718" spans="7:7" x14ac:dyDescent="0.3">
      <c r="G718" s="3"/>
    </row>
    <row r="719" spans="7:7" x14ac:dyDescent="0.3">
      <c r="G719" s="3"/>
    </row>
    <row r="720" spans="7:7" x14ac:dyDescent="0.3">
      <c r="G720" s="3"/>
    </row>
    <row r="721" spans="7:7" x14ac:dyDescent="0.3">
      <c r="G721" s="3"/>
    </row>
    <row r="722" spans="7:7" x14ac:dyDescent="0.3">
      <c r="G722" s="3"/>
    </row>
    <row r="723" spans="7:7" x14ac:dyDescent="0.3">
      <c r="G723" s="3"/>
    </row>
    <row r="724" spans="7:7" x14ac:dyDescent="0.3">
      <c r="G724" s="3"/>
    </row>
    <row r="725" spans="7:7" x14ac:dyDescent="0.3">
      <c r="G725" s="3"/>
    </row>
    <row r="726" spans="7:7" x14ac:dyDescent="0.3">
      <c r="G726" s="3"/>
    </row>
    <row r="727" spans="7:7" x14ac:dyDescent="0.3">
      <c r="G727" s="3"/>
    </row>
    <row r="728" spans="7:7" x14ac:dyDescent="0.3">
      <c r="G728" s="3"/>
    </row>
    <row r="729" spans="7:7" x14ac:dyDescent="0.3">
      <c r="G729" s="3"/>
    </row>
    <row r="730" spans="7:7" x14ac:dyDescent="0.3">
      <c r="G730" s="3"/>
    </row>
    <row r="731" spans="7:7" x14ac:dyDescent="0.3">
      <c r="G731" s="3"/>
    </row>
    <row r="732" spans="7:7" x14ac:dyDescent="0.3">
      <c r="G732" s="3"/>
    </row>
    <row r="733" spans="7:7" x14ac:dyDescent="0.3">
      <c r="G733" s="3"/>
    </row>
    <row r="734" spans="7:7" x14ac:dyDescent="0.3">
      <c r="G734" s="3"/>
    </row>
    <row r="735" spans="7:7" x14ac:dyDescent="0.3">
      <c r="G735" s="3"/>
    </row>
    <row r="736" spans="7:7" x14ac:dyDescent="0.3">
      <c r="G736" s="3"/>
    </row>
    <row r="737" spans="7:7" x14ac:dyDescent="0.3">
      <c r="G737" s="3"/>
    </row>
    <row r="738" spans="7:7" x14ac:dyDescent="0.3">
      <c r="G738" s="3"/>
    </row>
    <row r="739" spans="7:7" x14ac:dyDescent="0.3">
      <c r="G739" s="3"/>
    </row>
    <row r="740" spans="7:7" x14ac:dyDescent="0.3">
      <c r="G740" s="3"/>
    </row>
    <row r="741" spans="7:7" x14ac:dyDescent="0.3">
      <c r="G741" s="3"/>
    </row>
    <row r="742" spans="7:7" x14ac:dyDescent="0.3">
      <c r="G742" s="3"/>
    </row>
    <row r="743" spans="7:7" x14ac:dyDescent="0.3">
      <c r="G743" s="3"/>
    </row>
    <row r="744" spans="7:7" x14ac:dyDescent="0.3">
      <c r="G744" s="3"/>
    </row>
    <row r="745" spans="7:7" x14ac:dyDescent="0.3">
      <c r="G745" s="3"/>
    </row>
    <row r="746" spans="7:7" x14ac:dyDescent="0.3">
      <c r="G746" s="3"/>
    </row>
    <row r="747" spans="7:7" x14ac:dyDescent="0.3">
      <c r="G747" s="3"/>
    </row>
    <row r="748" spans="7:7" x14ac:dyDescent="0.3">
      <c r="G748" s="3"/>
    </row>
    <row r="749" spans="7:7" x14ac:dyDescent="0.3">
      <c r="G749" s="3"/>
    </row>
    <row r="750" spans="7:7" x14ac:dyDescent="0.3">
      <c r="G750" s="3"/>
    </row>
    <row r="751" spans="7:7" x14ac:dyDescent="0.3">
      <c r="G751" s="3"/>
    </row>
    <row r="752" spans="7:7" x14ac:dyDescent="0.3">
      <c r="G752" s="3"/>
    </row>
    <row r="753" spans="7:7" x14ac:dyDescent="0.3">
      <c r="G753" s="3"/>
    </row>
    <row r="754" spans="7:7" x14ac:dyDescent="0.3">
      <c r="G754" s="3"/>
    </row>
    <row r="755" spans="7:7" x14ac:dyDescent="0.3">
      <c r="G755" s="3"/>
    </row>
    <row r="756" spans="7:7" x14ac:dyDescent="0.3">
      <c r="G756" s="3"/>
    </row>
    <row r="757" spans="7:7" x14ac:dyDescent="0.3">
      <c r="G757" s="3"/>
    </row>
    <row r="758" spans="7:7" x14ac:dyDescent="0.3">
      <c r="G758" s="3"/>
    </row>
    <row r="759" spans="7:7" x14ac:dyDescent="0.3">
      <c r="G759" s="3"/>
    </row>
    <row r="760" spans="7:7" x14ac:dyDescent="0.3">
      <c r="G760" s="3"/>
    </row>
    <row r="761" spans="7:7" x14ac:dyDescent="0.3">
      <c r="G761" s="3"/>
    </row>
    <row r="762" spans="7:7" x14ac:dyDescent="0.3">
      <c r="G762" s="3"/>
    </row>
    <row r="763" spans="7:7" x14ac:dyDescent="0.3">
      <c r="G763" s="3"/>
    </row>
    <row r="764" spans="7:7" x14ac:dyDescent="0.3">
      <c r="G764" s="3"/>
    </row>
    <row r="765" spans="7:7" x14ac:dyDescent="0.3">
      <c r="G765" s="3"/>
    </row>
    <row r="766" spans="7:7" x14ac:dyDescent="0.3">
      <c r="G766" s="3"/>
    </row>
    <row r="767" spans="7:7" x14ac:dyDescent="0.3">
      <c r="G767" s="3"/>
    </row>
    <row r="768" spans="7:7" x14ac:dyDescent="0.3">
      <c r="G768" s="3"/>
    </row>
    <row r="769" spans="7:7" x14ac:dyDescent="0.3">
      <c r="G769" s="3"/>
    </row>
    <row r="770" spans="7:7" x14ac:dyDescent="0.3">
      <c r="G770" s="3"/>
    </row>
    <row r="771" spans="7:7" x14ac:dyDescent="0.3">
      <c r="G771" s="3"/>
    </row>
    <row r="772" spans="7:7" x14ac:dyDescent="0.3">
      <c r="G772" s="3"/>
    </row>
    <row r="773" spans="7:7" x14ac:dyDescent="0.3">
      <c r="G773" s="3"/>
    </row>
    <row r="774" spans="7:7" x14ac:dyDescent="0.3">
      <c r="G774" s="3"/>
    </row>
    <row r="775" spans="7:7" x14ac:dyDescent="0.3">
      <c r="G775" s="3"/>
    </row>
    <row r="776" spans="7:7" x14ac:dyDescent="0.3">
      <c r="G776" s="3"/>
    </row>
    <row r="777" spans="7:7" x14ac:dyDescent="0.3">
      <c r="G777" s="3"/>
    </row>
    <row r="778" spans="7:7" x14ac:dyDescent="0.3">
      <c r="G778" s="3"/>
    </row>
    <row r="779" spans="7:7" x14ac:dyDescent="0.3">
      <c r="G779" s="3"/>
    </row>
    <row r="780" spans="7:7" x14ac:dyDescent="0.3">
      <c r="G780" s="3"/>
    </row>
    <row r="781" spans="7:7" x14ac:dyDescent="0.3">
      <c r="G781" s="3"/>
    </row>
    <row r="782" spans="7:7" x14ac:dyDescent="0.3">
      <c r="G782" s="3"/>
    </row>
    <row r="783" spans="7:7" x14ac:dyDescent="0.3">
      <c r="G783" s="3"/>
    </row>
    <row r="784" spans="7:7" x14ac:dyDescent="0.3">
      <c r="G784" s="3"/>
    </row>
    <row r="785" spans="7:7" x14ac:dyDescent="0.3">
      <c r="G785" s="3"/>
    </row>
    <row r="786" spans="7:7" x14ac:dyDescent="0.3">
      <c r="G786" s="3"/>
    </row>
    <row r="787" spans="7:7" x14ac:dyDescent="0.3">
      <c r="G787" s="3"/>
    </row>
    <row r="788" spans="7:7" x14ac:dyDescent="0.3">
      <c r="G788" s="3"/>
    </row>
    <row r="789" spans="7:7" x14ac:dyDescent="0.3">
      <c r="G789" s="3"/>
    </row>
    <row r="790" spans="7:7" x14ac:dyDescent="0.3">
      <c r="G790" s="3"/>
    </row>
    <row r="791" spans="7:7" x14ac:dyDescent="0.3">
      <c r="G791" s="3"/>
    </row>
    <row r="792" spans="7:7" x14ac:dyDescent="0.3">
      <c r="G792" s="3"/>
    </row>
    <row r="793" spans="7:7" x14ac:dyDescent="0.3">
      <c r="G793" s="3"/>
    </row>
    <row r="794" spans="7:7" x14ac:dyDescent="0.3">
      <c r="G794" s="3"/>
    </row>
    <row r="795" spans="7:7" x14ac:dyDescent="0.3">
      <c r="G795" s="3"/>
    </row>
    <row r="796" spans="7:7" x14ac:dyDescent="0.3">
      <c r="G796" s="3"/>
    </row>
    <row r="797" spans="7:7" x14ac:dyDescent="0.3">
      <c r="G797" s="3"/>
    </row>
    <row r="798" spans="7:7" x14ac:dyDescent="0.3">
      <c r="G798" s="3"/>
    </row>
    <row r="799" spans="7:7" x14ac:dyDescent="0.3">
      <c r="G799" s="3"/>
    </row>
    <row r="800" spans="7:7" x14ac:dyDescent="0.3">
      <c r="G800" s="3"/>
    </row>
    <row r="801" spans="7:7" x14ac:dyDescent="0.3">
      <c r="G801" s="3"/>
    </row>
    <row r="802" spans="7:7" x14ac:dyDescent="0.3">
      <c r="G802" s="3"/>
    </row>
    <row r="803" spans="7:7" x14ac:dyDescent="0.3">
      <c r="G803" s="3"/>
    </row>
    <row r="804" spans="7:7" x14ac:dyDescent="0.3">
      <c r="G804" s="3"/>
    </row>
    <row r="805" spans="7:7" x14ac:dyDescent="0.3">
      <c r="G805" s="3"/>
    </row>
    <row r="806" spans="7:7" x14ac:dyDescent="0.3">
      <c r="G806" s="3"/>
    </row>
    <row r="807" spans="7:7" x14ac:dyDescent="0.3">
      <c r="G807" s="3"/>
    </row>
    <row r="808" spans="7:7" x14ac:dyDescent="0.3">
      <c r="G808" s="3"/>
    </row>
    <row r="809" spans="7:7" x14ac:dyDescent="0.3">
      <c r="G809" s="3"/>
    </row>
    <row r="810" spans="7:7" x14ac:dyDescent="0.3">
      <c r="G810" s="3"/>
    </row>
    <row r="811" spans="7:7" x14ac:dyDescent="0.3">
      <c r="G811" s="3"/>
    </row>
    <row r="812" spans="7:7" x14ac:dyDescent="0.3">
      <c r="G812" s="3"/>
    </row>
    <row r="813" spans="7:7" x14ac:dyDescent="0.3">
      <c r="G813" s="3"/>
    </row>
    <row r="814" spans="7:7" x14ac:dyDescent="0.3">
      <c r="G814" s="3"/>
    </row>
    <row r="815" spans="7:7" x14ac:dyDescent="0.3">
      <c r="G815" s="3"/>
    </row>
    <row r="816" spans="7:7" x14ac:dyDescent="0.3">
      <c r="G816" s="3"/>
    </row>
    <row r="817" spans="7:7" x14ac:dyDescent="0.3">
      <c r="G817" s="3"/>
    </row>
    <row r="818" spans="7:7" x14ac:dyDescent="0.3">
      <c r="G818" s="3"/>
    </row>
    <row r="819" spans="7:7" x14ac:dyDescent="0.3">
      <c r="G819" s="3"/>
    </row>
    <row r="820" spans="7:7" x14ac:dyDescent="0.3">
      <c r="G820" s="3"/>
    </row>
    <row r="821" spans="7:7" x14ac:dyDescent="0.3">
      <c r="G821" s="3"/>
    </row>
    <row r="822" spans="7:7" x14ac:dyDescent="0.3">
      <c r="G822" s="3"/>
    </row>
    <row r="823" spans="7:7" x14ac:dyDescent="0.3">
      <c r="G823" s="3"/>
    </row>
    <row r="824" spans="7:7" x14ac:dyDescent="0.3">
      <c r="G824" s="3"/>
    </row>
    <row r="825" spans="7:7" x14ac:dyDescent="0.3">
      <c r="G825" s="3"/>
    </row>
    <row r="826" spans="7:7" x14ac:dyDescent="0.3">
      <c r="G826" s="3"/>
    </row>
    <row r="827" spans="7:7" x14ac:dyDescent="0.3">
      <c r="G827" s="3"/>
    </row>
    <row r="828" spans="7:7" x14ac:dyDescent="0.3">
      <c r="G828" s="3"/>
    </row>
    <row r="829" spans="7:7" x14ac:dyDescent="0.3">
      <c r="G829" s="3"/>
    </row>
    <row r="830" spans="7:7" x14ac:dyDescent="0.3">
      <c r="G830" s="3"/>
    </row>
    <row r="831" spans="7:7" x14ac:dyDescent="0.3">
      <c r="G831" s="3"/>
    </row>
    <row r="832" spans="7:7" x14ac:dyDescent="0.3">
      <c r="G832" s="3"/>
    </row>
    <row r="833" spans="7:7" x14ac:dyDescent="0.3">
      <c r="G833" s="3"/>
    </row>
    <row r="834" spans="7:7" x14ac:dyDescent="0.3">
      <c r="G834" s="3"/>
    </row>
    <row r="835" spans="7:7" x14ac:dyDescent="0.3">
      <c r="G835" s="3"/>
    </row>
    <row r="836" spans="7:7" x14ac:dyDescent="0.3">
      <c r="G836" s="3"/>
    </row>
    <row r="837" spans="7:7" x14ac:dyDescent="0.3">
      <c r="G837" s="3"/>
    </row>
    <row r="838" spans="7:7" x14ac:dyDescent="0.3">
      <c r="G838" s="3"/>
    </row>
    <row r="839" spans="7:7" x14ac:dyDescent="0.3">
      <c r="G839" s="3"/>
    </row>
    <row r="840" spans="7:7" x14ac:dyDescent="0.3">
      <c r="G840" s="3"/>
    </row>
    <row r="841" spans="7:7" x14ac:dyDescent="0.3">
      <c r="G841" s="3"/>
    </row>
    <row r="842" spans="7:7" x14ac:dyDescent="0.3">
      <c r="G842" s="3"/>
    </row>
    <row r="843" spans="7:7" x14ac:dyDescent="0.3">
      <c r="G843" s="3"/>
    </row>
    <row r="844" spans="7:7" x14ac:dyDescent="0.3">
      <c r="G844" s="3"/>
    </row>
    <row r="845" spans="7:7" x14ac:dyDescent="0.3">
      <c r="G845" s="3"/>
    </row>
    <row r="846" spans="7:7" x14ac:dyDescent="0.3">
      <c r="G846" s="3"/>
    </row>
    <row r="847" spans="7:7" x14ac:dyDescent="0.3">
      <c r="G847" s="3"/>
    </row>
    <row r="848" spans="7:7" x14ac:dyDescent="0.3">
      <c r="G848" s="3"/>
    </row>
    <row r="849" spans="7:7" x14ac:dyDescent="0.3">
      <c r="G849" s="3"/>
    </row>
    <row r="850" spans="7:7" x14ac:dyDescent="0.3">
      <c r="G850" s="3"/>
    </row>
    <row r="851" spans="7:7" x14ac:dyDescent="0.3">
      <c r="G851" s="3"/>
    </row>
    <row r="852" spans="7:7" x14ac:dyDescent="0.3">
      <c r="G852" s="3"/>
    </row>
    <row r="853" spans="7:7" x14ac:dyDescent="0.3">
      <c r="G853" s="3"/>
    </row>
    <row r="854" spans="7:7" x14ac:dyDescent="0.3">
      <c r="G854" s="3"/>
    </row>
    <row r="855" spans="7:7" x14ac:dyDescent="0.3">
      <c r="G855" s="3"/>
    </row>
    <row r="856" spans="7:7" x14ac:dyDescent="0.3">
      <c r="G856" s="3"/>
    </row>
    <row r="857" spans="7:7" x14ac:dyDescent="0.3">
      <c r="G857" s="3"/>
    </row>
    <row r="858" spans="7:7" x14ac:dyDescent="0.3">
      <c r="G858" s="3"/>
    </row>
    <row r="859" spans="7:7" x14ac:dyDescent="0.3">
      <c r="G859" s="3"/>
    </row>
    <row r="860" spans="7:7" x14ac:dyDescent="0.3">
      <c r="G860" s="3"/>
    </row>
    <row r="861" spans="7:7" x14ac:dyDescent="0.3">
      <c r="G861" s="3"/>
    </row>
    <row r="862" spans="7:7" x14ac:dyDescent="0.3">
      <c r="G862" s="3"/>
    </row>
    <row r="863" spans="7:7" x14ac:dyDescent="0.3">
      <c r="G863" s="3"/>
    </row>
    <row r="864" spans="7:7" x14ac:dyDescent="0.3">
      <c r="G864" s="3"/>
    </row>
    <row r="865" spans="7:7" x14ac:dyDescent="0.3">
      <c r="G865" s="3"/>
    </row>
    <row r="866" spans="7:7" x14ac:dyDescent="0.3">
      <c r="G866" s="3"/>
    </row>
    <row r="867" spans="7:7" x14ac:dyDescent="0.3">
      <c r="G867" s="3"/>
    </row>
    <row r="868" spans="7:7" x14ac:dyDescent="0.3">
      <c r="G868" s="3"/>
    </row>
    <row r="869" spans="7:7" x14ac:dyDescent="0.3">
      <c r="G869" s="3"/>
    </row>
    <row r="870" spans="7:7" x14ac:dyDescent="0.3">
      <c r="G870" s="3"/>
    </row>
    <row r="871" spans="7:7" x14ac:dyDescent="0.3">
      <c r="G871" s="3"/>
    </row>
    <row r="872" spans="7:7" x14ac:dyDescent="0.3">
      <c r="G872" s="3"/>
    </row>
    <row r="873" spans="7:7" x14ac:dyDescent="0.3">
      <c r="G873" s="3"/>
    </row>
    <row r="874" spans="7:7" x14ac:dyDescent="0.3">
      <c r="G874" s="3"/>
    </row>
    <row r="875" spans="7:7" x14ac:dyDescent="0.3">
      <c r="G875" s="3"/>
    </row>
    <row r="876" spans="7:7" x14ac:dyDescent="0.3">
      <c r="G876" s="3"/>
    </row>
    <row r="877" spans="7:7" x14ac:dyDescent="0.3">
      <c r="G877" s="3"/>
    </row>
    <row r="878" spans="7:7" x14ac:dyDescent="0.3">
      <c r="G878" s="3"/>
    </row>
    <row r="879" spans="7:7" x14ac:dyDescent="0.3">
      <c r="G879" s="3"/>
    </row>
    <row r="880" spans="7:7" x14ac:dyDescent="0.3">
      <c r="G880" s="3"/>
    </row>
    <row r="881" spans="7:7" x14ac:dyDescent="0.3">
      <c r="G881" s="3"/>
    </row>
    <row r="882" spans="7:7" x14ac:dyDescent="0.3">
      <c r="G882" s="3"/>
    </row>
    <row r="883" spans="7:7" x14ac:dyDescent="0.3">
      <c r="G883" s="3"/>
    </row>
    <row r="884" spans="7:7" x14ac:dyDescent="0.3">
      <c r="G884" s="3"/>
    </row>
    <row r="885" spans="7:7" x14ac:dyDescent="0.3">
      <c r="G885" s="3"/>
    </row>
    <row r="886" spans="7:7" x14ac:dyDescent="0.3">
      <c r="G886" s="3"/>
    </row>
    <row r="887" spans="7:7" x14ac:dyDescent="0.3">
      <c r="G887" s="3"/>
    </row>
    <row r="888" spans="7:7" x14ac:dyDescent="0.3">
      <c r="G888" s="3"/>
    </row>
    <row r="889" spans="7:7" x14ac:dyDescent="0.3">
      <c r="G889" s="3"/>
    </row>
    <row r="890" spans="7:7" x14ac:dyDescent="0.3">
      <c r="G890" s="3"/>
    </row>
    <row r="891" spans="7:7" x14ac:dyDescent="0.3">
      <c r="G891" s="3"/>
    </row>
    <row r="892" spans="7:7" x14ac:dyDescent="0.3">
      <c r="G892" s="3"/>
    </row>
    <row r="893" spans="7:7" x14ac:dyDescent="0.3">
      <c r="G893" s="3"/>
    </row>
    <row r="894" spans="7:7" x14ac:dyDescent="0.3">
      <c r="G894" s="3"/>
    </row>
    <row r="895" spans="7:7" x14ac:dyDescent="0.3">
      <c r="G895" s="3"/>
    </row>
    <row r="896" spans="7:7" x14ac:dyDescent="0.3">
      <c r="G896" s="3"/>
    </row>
    <row r="897" spans="7:7" x14ac:dyDescent="0.3">
      <c r="G897" s="3"/>
    </row>
    <row r="898" spans="7:7" x14ac:dyDescent="0.3">
      <c r="G898" s="3"/>
    </row>
    <row r="899" spans="7:7" x14ac:dyDescent="0.3">
      <c r="G899" s="3"/>
    </row>
    <row r="900" spans="7:7" x14ac:dyDescent="0.3">
      <c r="G900" s="3"/>
    </row>
    <row r="901" spans="7:7" x14ac:dyDescent="0.3">
      <c r="G901" s="3"/>
    </row>
    <row r="902" spans="7:7" x14ac:dyDescent="0.3">
      <c r="G902" s="3"/>
    </row>
    <row r="903" spans="7:7" x14ac:dyDescent="0.3">
      <c r="G903" s="3"/>
    </row>
    <row r="904" spans="7:7" x14ac:dyDescent="0.3">
      <c r="G904" s="3"/>
    </row>
    <row r="905" spans="7:7" x14ac:dyDescent="0.3">
      <c r="G905" s="3"/>
    </row>
    <row r="906" spans="7:7" x14ac:dyDescent="0.3">
      <c r="G906" s="3"/>
    </row>
    <row r="907" spans="7:7" x14ac:dyDescent="0.3">
      <c r="G907" s="3"/>
    </row>
    <row r="908" spans="7:7" x14ac:dyDescent="0.3">
      <c r="G908" s="3"/>
    </row>
    <row r="909" spans="7:7" x14ac:dyDescent="0.3">
      <c r="G909" s="3"/>
    </row>
    <row r="910" spans="7:7" x14ac:dyDescent="0.3">
      <c r="G910" s="3"/>
    </row>
    <row r="911" spans="7:7" x14ac:dyDescent="0.3">
      <c r="G911" s="3"/>
    </row>
    <row r="912" spans="7:7" x14ac:dyDescent="0.3">
      <c r="G912" s="3"/>
    </row>
    <row r="913" spans="7:7" x14ac:dyDescent="0.3">
      <c r="G913" s="3"/>
    </row>
    <row r="914" spans="7:7" x14ac:dyDescent="0.3">
      <c r="G914" s="3"/>
    </row>
    <row r="915" spans="7:7" x14ac:dyDescent="0.3">
      <c r="G915" s="3"/>
    </row>
    <row r="916" spans="7:7" x14ac:dyDescent="0.3">
      <c r="G916" s="3"/>
    </row>
    <row r="917" spans="7:7" x14ac:dyDescent="0.3">
      <c r="G917" s="3"/>
    </row>
    <row r="918" spans="7:7" x14ac:dyDescent="0.3">
      <c r="G918" s="3"/>
    </row>
    <row r="919" spans="7:7" x14ac:dyDescent="0.3">
      <c r="G919" s="3"/>
    </row>
    <row r="920" spans="7:7" x14ac:dyDescent="0.3">
      <c r="G920" s="3"/>
    </row>
    <row r="921" spans="7:7" x14ac:dyDescent="0.3">
      <c r="G921" s="3"/>
    </row>
    <row r="922" spans="7:7" x14ac:dyDescent="0.3">
      <c r="G922" s="3"/>
    </row>
    <row r="923" spans="7:7" x14ac:dyDescent="0.3">
      <c r="G923" s="3"/>
    </row>
    <row r="924" spans="7:7" x14ac:dyDescent="0.3">
      <c r="G924" s="3"/>
    </row>
    <row r="925" spans="7:7" x14ac:dyDescent="0.3">
      <c r="G925" s="3"/>
    </row>
    <row r="926" spans="7:7" x14ac:dyDescent="0.3">
      <c r="G926" s="3"/>
    </row>
    <row r="927" spans="7:7" x14ac:dyDescent="0.3">
      <c r="G927" s="3"/>
    </row>
    <row r="928" spans="7:7" x14ac:dyDescent="0.3">
      <c r="G928" s="3"/>
    </row>
    <row r="929" spans="7:7" x14ac:dyDescent="0.3">
      <c r="G929" s="3"/>
    </row>
    <row r="930" spans="7:7" x14ac:dyDescent="0.3">
      <c r="G930" s="3"/>
    </row>
    <row r="931" spans="7:7" x14ac:dyDescent="0.3">
      <c r="G931" s="3"/>
    </row>
    <row r="932" spans="7:7" x14ac:dyDescent="0.3">
      <c r="G932" s="3"/>
    </row>
    <row r="933" spans="7:7" x14ac:dyDescent="0.3">
      <c r="G933" s="3"/>
    </row>
    <row r="934" spans="7:7" x14ac:dyDescent="0.3">
      <c r="G934" s="3"/>
    </row>
    <row r="935" spans="7:7" x14ac:dyDescent="0.3">
      <c r="G935" s="3"/>
    </row>
    <row r="936" spans="7:7" x14ac:dyDescent="0.3">
      <c r="G936" s="3"/>
    </row>
    <row r="937" spans="7:7" x14ac:dyDescent="0.3">
      <c r="G937" s="3"/>
    </row>
    <row r="938" spans="7:7" x14ac:dyDescent="0.3">
      <c r="G938" s="3"/>
    </row>
    <row r="939" spans="7:7" x14ac:dyDescent="0.3">
      <c r="G939" s="3"/>
    </row>
    <row r="940" spans="7:7" x14ac:dyDescent="0.3">
      <c r="G940" s="3"/>
    </row>
    <row r="941" spans="7:7" x14ac:dyDescent="0.3">
      <c r="G941" s="3"/>
    </row>
    <row r="942" spans="7:7" x14ac:dyDescent="0.3">
      <c r="G942" s="3"/>
    </row>
    <row r="943" spans="7:7" x14ac:dyDescent="0.3">
      <c r="G943" s="3"/>
    </row>
    <row r="944" spans="7:7" x14ac:dyDescent="0.3">
      <c r="G944" s="3"/>
    </row>
    <row r="945" spans="7:7" x14ac:dyDescent="0.3">
      <c r="G945" s="3"/>
    </row>
    <row r="946" spans="7:7" x14ac:dyDescent="0.3">
      <c r="G946" s="3"/>
    </row>
    <row r="947" spans="7:7" x14ac:dyDescent="0.3">
      <c r="G947" s="3"/>
    </row>
    <row r="948" spans="7:7" x14ac:dyDescent="0.3">
      <c r="G948" s="3"/>
    </row>
    <row r="949" spans="7:7" x14ac:dyDescent="0.3">
      <c r="G949" s="3"/>
    </row>
    <row r="950" spans="7:7" x14ac:dyDescent="0.3">
      <c r="G950" s="3"/>
    </row>
    <row r="951" spans="7:7" x14ac:dyDescent="0.3">
      <c r="G951" s="3"/>
    </row>
    <row r="952" spans="7:7" x14ac:dyDescent="0.3">
      <c r="G952" s="3"/>
    </row>
    <row r="953" spans="7:7" x14ac:dyDescent="0.3">
      <c r="G953" s="3"/>
    </row>
    <row r="954" spans="7:7" x14ac:dyDescent="0.3">
      <c r="G954" s="3"/>
    </row>
    <row r="955" spans="7:7" x14ac:dyDescent="0.3">
      <c r="G955" s="3"/>
    </row>
    <row r="956" spans="7:7" x14ac:dyDescent="0.3">
      <c r="G956" s="3"/>
    </row>
    <row r="957" spans="7:7" x14ac:dyDescent="0.3">
      <c r="G957" s="3"/>
    </row>
    <row r="958" spans="7:7" x14ac:dyDescent="0.3">
      <c r="G958" s="3"/>
    </row>
    <row r="959" spans="7:7" x14ac:dyDescent="0.3">
      <c r="G959" s="3"/>
    </row>
    <row r="960" spans="7:7" x14ac:dyDescent="0.3">
      <c r="G960" s="3"/>
    </row>
    <row r="961" spans="7:7" x14ac:dyDescent="0.3">
      <c r="G961" s="3"/>
    </row>
    <row r="962" spans="7:7" x14ac:dyDescent="0.3">
      <c r="G962" s="3"/>
    </row>
    <row r="963" spans="7:7" x14ac:dyDescent="0.3">
      <c r="G963" s="3"/>
    </row>
    <row r="964" spans="7:7" x14ac:dyDescent="0.3">
      <c r="G964" s="3"/>
    </row>
    <row r="965" spans="7:7" x14ac:dyDescent="0.3">
      <c r="G965" s="3"/>
    </row>
    <row r="966" spans="7:7" x14ac:dyDescent="0.3">
      <c r="G966" s="3"/>
    </row>
    <row r="967" spans="7:7" x14ac:dyDescent="0.3">
      <c r="G967" s="3"/>
    </row>
    <row r="968" spans="7:7" x14ac:dyDescent="0.3">
      <c r="G968" s="3"/>
    </row>
    <row r="969" spans="7:7" x14ac:dyDescent="0.3">
      <c r="G969" s="3"/>
    </row>
    <row r="970" spans="7:7" x14ac:dyDescent="0.3">
      <c r="G970" s="3"/>
    </row>
    <row r="971" spans="7:7" x14ac:dyDescent="0.3">
      <c r="G971" s="3"/>
    </row>
    <row r="972" spans="7:7" x14ac:dyDescent="0.3">
      <c r="G972" s="3"/>
    </row>
    <row r="973" spans="7:7" x14ac:dyDescent="0.3">
      <c r="G973" s="3"/>
    </row>
    <row r="974" spans="7:7" x14ac:dyDescent="0.3">
      <c r="G974" s="3"/>
    </row>
    <row r="975" spans="7:7" x14ac:dyDescent="0.3">
      <c r="G975" s="3"/>
    </row>
    <row r="976" spans="7:7" x14ac:dyDescent="0.3">
      <c r="G976" s="3"/>
    </row>
    <row r="977" spans="7:7" x14ac:dyDescent="0.3">
      <c r="G977" s="3"/>
    </row>
    <row r="978" spans="7:7" x14ac:dyDescent="0.3">
      <c r="G978" s="3"/>
    </row>
    <row r="979" spans="7:7" x14ac:dyDescent="0.3">
      <c r="G979" s="3"/>
    </row>
    <row r="980" spans="7:7" x14ac:dyDescent="0.3">
      <c r="G980" s="3"/>
    </row>
    <row r="981" spans="7:7" x14ac:dyDescent="0.3">
      <c r="G981" s="3"/>
    </row>
    <row r="982" spans="7:7" x14ac:dyDescent="0.3">
      <c r="G982" s="3"/>
    </row>
    <row r="983" spans="7:7" x14ac:dyDescent="0.3">
      <c r="G983" s="3"/>
    </row>
    <row r="984" spans="7:7" x14ac:dyDescent="0.3">
      <c r="G984" s="3"/>
    </row>
    <row r="985" spans="7:7" x14ac:dyDescent="0.3">
      <c r="G985" s="3"/>
    </row>
    <row r="986" spans="7:7" x14ac:dyDescent="0.3">
      <c r="G986" s="3"/>
    </row>
    <row r="987" spans="7:7" x14ac:dyDescent="0.3">
      <c r="G987" s="3"/>
    </row>
    <row r="988" spans="7:7" x14ac:dyDescent="0.3">
      <c r="G988" s="3"/>
    </row>
    <row r="989" spans="7:7" x14ac:dyDescent="0.3">
      <c r="G989" s="3"/>
    </row>
    <row r="990" spans="7:7" x14ac:dyDescent="0.3">
      <c r="G990" s="3"/>
    </row>
    <row r="991" spans="7:7" x14ac:dyDescent="0.3">
      <c r="G991" s="3"/>
    </row>
    <row r="992" spans="7:7" x14ac:dyDescent="0.3">
      <c r="G992" s="3"/>
    </row>
    <row r="993" spans="7:7" x14ac:dyDescent="0.3">
      <c r="G993" s="3"/>
    </row>
    <row r="994" spans="7:7" x14ac:dyDescent="0.3">
      <c r="G994" s="3"/>
    </row>
    <row r="995" spans="7:7" x14ac:dyDescent="0.3">
      <c r="G995" s="3"/>
    </row>
    <row r="996" spans="7:7" x14ac:dyDescent="0.3">
      <c r="G996" s="3"/>
    </row>
    <row r="997" spans="7:7" x14ac:dyDescent="0.3">
      <c r="G997" s="3"/>
    </row>
    <row r="998" spans="7:7" x14ac:dyDescent="0.3">
      <c r="G998" s="3"/>
    </row>
    <row r="999" spans="7:7" x14ac:dyDescent="0.3">
      <c r="G999" s="3"/>
    </row>
    <row r="1000" spans="7:7" x14ac:dyDescent="0.3">
      <c r="G1000" s="3"/>
    </row>
    <row r="1001" spans="7:7" x14ac:dyDescent="0.3">
      <c r="G1001" s="3"/>
    </row>
    <row r="1002" spans="7:7" x14ac:dyDescent="0.3">
      <c r="G1002" s="3"/>
    </row>
    <row r="1003" spans="7:7" x14ac:dyDescent="0.3">
      <c r="G1003" s="3"/>
    </row>
    <row r="1004" spans="7:7" x14ac:dyDescent="0.3">
      <c r="G1004" s="3"/>
    </row>
    <row r="1005" spans="7:7" x14ac:dyDescent="0.3">
      <c r="G1005" s="3"/>
    </row>
    <row r="1006" spans="7:7" x14ac:dyDescent="0.3">
      <c r="G1006" s="3"/>
    </row>
    <row r="1007" spans="7:7" x14ac:dyDescent="0.3">
      <c r="G1007" s="3"/>
    </row>
    <row r="1008" spans="7:7" x14ac:dyDescent="0.3">
      <c r="G1008" s="3"/>
    </row>
    <row r="1009" spans="7:7" x14ac:dyDescent="0.3">
      <c r="G1009" s="3"/>
    </row>
    <row r="1010" spans="7:7" x14ac:dyDescent="0.3">
      <c r="G1010" s="3"/>
    </row>
    <row r="1011" spans="7:7" x14ac:dyDescent="0.3">
      <c r="G1011" s="3"/>
    </row>
    <row r="1012" spans="7:7" x14ac:dyDescent="0.3">
      <c r="G1012" s="3"/>
    </row>
    <row r="1013" spans="7:7" x14ac:dyDescent="0.3">
      <c r="G1013" s="3"/>
    </row>
    <row r="1014" spans="7:7" x14ac:dyDescent="0.3">
      <c r="G1014" s="3"/>
    </row>
    <row r="1015" spans="7:7" x14ac:dyDescent="0.3">
      <c r="G1015" s="3"/>
    </row>
    <row r="1016" spans="7:7" x14ac:dyDescent="0.3">
      <c r="G1016" s="3"/>
    </row>
    <row r="1017" spans="7:7" x14ac:dyDescent="0.3">
      <c r="G1017" s="3"/>
    </row>
    <row r="1018" spans="7:7" x14ac:dyDescent="0.3">
      <c r="G1018" s="3"/>
    </row>
    <row r="1019" spans="7:7" x14ac:dyDescent="0.3">
      <c r="G1019" s="3"/>
    </row>
    <row r="1020" spans="7:7" x14ac:dyDescent="0.3">
      <c r="G1020" s="3"/>
    </row>
    <row r="1021" spans="7:7" x14ac:dyDescent="0.3">
      <c r="G1021" s="3"/>
    </row>
    <row r="1022" spans="7:7" x14ac:dyDescent="0.3">
      <c r="G1022" s="3"/>
    </row>
    <row r="1023" spans="7:7" x14ac:dyDescent="0.3">
      <c r="G1023" s="3"/>
    </row>
    <row r="1024" spans="7:7" x14ac:dyDescent="0.3">
      <c r="G1024" s="3"/>
    </row>
    <row r="1025" spans="7:7" x14ac:dyDescent="0.3">
      <c r="G1025" s="3"/>
    </row>
    <row r="1026" spans="7:7" x14ac:dyDescent="0.3">
      <c r="G1026" s="3"/>
    </row>
    <row r="1027" spans="7:7" x14ac:dyDescent="0.3">
      <c r="G1027" s="3"/>
    </row>
    <row r="1028" spans="7:7" x14ac:dyDescent="0.3">
      <c r="G1028" s="3"/>
    </row>
    <row r="1029" spans="7:7" x14ac:dyDescent="0.3">
      <c r="G1029" s="3"/>
    </row>
    <row r="1030" spans="7:7" x14ac:dyDescent="0.3">
      <c r="G1030" s="3"/>
    </row>
    <row r="1031" spans="7:7" x14ac:dyDescent="0.3">
      <c r="G1031" s="3"/>
    </row>
    <row r="1032" spans="7:7" x14ac:dyDescent="0.3">
      <c r="G1032" s="3"/>
    </row>
    <row r="1033" spans="7:7" x14ac:dyDescent="0.3">
      <c r="G1033" s="3"/>
    </row>
    <row r="1034" spans="7:7" x14ac:dyDescent="0.3">
      <c r="G1034" s="3"/>
    </row>
    <row r="1035" spans="7:7" x14ac:dyDescent="0.3">
      <c r="G1035" s="3"/>
    </row>
    <row r="1036" spans="7:7" x14ac:dyDescent="0.3">
      <c r="G1036" s="3"/>
    </row>
    <row r="1037" spans="7:7" x14ac:dyDescent="0.3">
      <c r="G1037" s="3"/>
    </row>
    <row r="1038" spans="7:7" x14ac:dyDescent="0.3">
      <c r="G1038" s="3"/>
    </row>
    <row r="1039" spans="7:7" x14ac:dyDescent="0.3">
      <c r="G1039" s="3"/>
    </row>
    <row r="1040" spans="7:7" x14ac:dyDescent="0.3">
      <c r="G1040" s="3"/>
    </row>
    <row r="1041" spans="7:7" x14ac:dyDescent="0.3">
      <c r="G1041" s="3"/>
    </row>
    <row r="1042" spans="7:7" x14ac:dyDescent="0.3">
      <c r="G1042" s="3"/>
    </row>
    <row r="1043" spans="7:7" x14ac:dyDescent="0.3">
      <c r="G1043" s="3"/>
    </row>
    <row r="1044" spans="7:7" x14ac:dyDescent="0.3">
      <c r="G1044" s="3"/>
    </row>
    <row r="1045" spans="7:7" x14ac:dyDescent="0.3">
      <c r="G1045" s="3"/>
    </row>
    <row r="1046" spans="7:7" x14ac:dyDescent="0.3">
      <c r="G1046" s="3"/>
    </row>
    <row r="1047" spans="7:7" x14ac:dyDescent="0.3">
      <c r="G1047" s="3"/>
    </row>
    <row r="1048" spans="7:7" x14ac:dyDescent="0.3">
      <c r="G1048" s="3"/>
    </row>
    <row r="1049" spans="7:7" x14ac:dyDescent="0.3">
      <c r="G1049" s="3"/>
    </row>
    <row r="1050" spans="7:7" x14ac:dyDescent="0.3">
      <c r="G1050" s="3"/>
    </row>
    <row r="1051" spans="7:7" x14ac:dyDescent="0.3">
      <c r="G1051" s="3"/>
    </row>
    <row r="1052" spans="7:7" x14ac:dyDescent="0.3">
      <c r="G1052" s="3"/>
    </row>
    <row r="1053" spans="7:7" x14ac:dyDescent="0.3">
      <c r="G1053" s="3"/>
    </row>
    <row r="1054" spans="7:7" x14ac:dyDescent="0.3">
      <c r="G1054" s="3"/>
    </row>
    <row r="1055" spans="7:7" x14ac:dyDescent="0.3">
      <c r="G1055" s="3"/>
    </row>
    <row r="1056" spans="7:7" x14ac:dyDescent="0.3">
      <c r="G1056" s="3"/>
    </row>
    <row r="1057" spans="7:7" x14ac:dyDescent="0.3">
      <c r="G1057" s="3"/>
    </row>
    <row r="1058" spans="7:7" x14ac:dyDescent="0.3">
      <c r="G1058" s="3"/>
    </row>
    <row r="1059" spans="7:7" x14ac:dyDescent="0.3">
      <c r="G1059" s="3"/>
    </row>
    <row r="1060" spans="7:7" x14ac:dyDescent="0.3">
      <c r="G1060" s="3"/>
    </row>
    <row r="1061" spans="7:7" x14ac:dyDescent="0.3">
      <c r="G1061" s="3"/>
    </row>
    <row r="1062" spans="7:7" x14ac:dyDescent="0.3">
      <c r="G1062" s="3"/>
    </row>
    <row r="1063" spans="7:7" x14ac:dyDescent="0.3">
      <c r="G1063" s="3"/>
    </row>
    <row r="1064" spans="7:7" x14ac:dyDescent="0.3">
      <c r="G1064" s="3"/>
    </row>
    <row r="1065" spans="7:7" x14ac:dyDescent="0.3">
      <c r="G1065" s="3"/>
    </row>
    <row r="1066" spans="7:7" x14ac:dyDescent="0.3">
      <c r="G1066" s="3"/>
    </row>
    <row r="1067" spans="7:7" x14ac:dyDescent="0.3">
      <c r="G1067" s="3"/>
    </row>
    <row r="1068" spans="7:7" x14ac:dyDescent="0.3">
      <c r="G1068" s="3"/>
    </row>
    <row r="1069" spans="7:7" x14ac:dyDescent="0.3">
      <c r="G1069" s="3"/>
    </row>
    <row r="1070" spans="7:7" x14ac:dyDescent="0.3">
      <c r="G1070" s="3"/>
    </row>
    <row r="1071" spans="7:7" x14ac:dyDescent="0.3">
      <c r="G1071" s="3"/>
    </row>
    <row r="1072" spans="7:7" x14ac:dyDescent="0.3">
      <c r="G1072" s="3"/>
    </row>
    <row r="1073" spans="7:7" x14ac:dyDescent="0.3">
      <c r="G1073" s="3"/>
    </row>
    <row r="1074" spans="7:7" x14ac:dyDescent="0.3">
      <c r="G1074" s="3"/>
    </row>
    <row r="1075" spans="7:7" x14ac:dyDescent="0.3">
      <c r="G1075" s="3"/>
    </row>
    <row r="1076" spans="7:7" x14ac:dyDescent="0.3">
      <c r="G1076" s="3"/>
    </row>
    <row r="1077" spans="7:7" x14ac:dyDescent="0.3">
      <c r="G1077" s="3"/>
    </row>
    <row r="1078" spans="7:7" x14ac:dyDescent="0.3">
      <c r="G1078" s="3"/>
    </row>
    <row r="1079" spans="7:7" x14ac:dyDescent="0.3">
      <c r="G1079" s="3"/>
    </row>
    <row r="1080" spans="7:7" x14ac:dyDescent="0.3">
      <c r="G1080" s="3"/>
    </row>
    <row r="1081" spans="7:7" x14ac:dyDescent="0.3">
      <c r="G1081" s="3"/>
    </row>
    <row r="1082" spans="7:7" x14ac:dyDescent="0.3">
      <c r="G1082" s="3"/>
    </row>
    <row r="1083" spans="7:7" x14ac:dyDescent="0.3">
      <c r="G1083" s="3"/>
    </row>
    <row r="1084" spans="7:7" x14ac:dyDescent="0.3">
      <c r="G1084" s="3"/>
    </row>
    <row r="1085" spans="7:7" x14ac:dyDescent="0.3">
      <c r="G1085" s="3"/>
    </row>
    <row r="1086" spans="7:7" x14ac:dyDescent="0.3">
      <c r="G1086" s="3"/>
    </row>
    <row r="1087" spans="7:7" x14ac:dyDescent="0.3">
      <c r="G1087" s="3"/>
    </row>
    <row r="1088" spans="7:7" x14ac:dyDescent="0.3">
      <c r="G1088" s="3"/>
    </row>
    <row r="1089" spans="7:7" x14ac:dyDescent="0.3">
      <c r="G1089" s="3"/>
    </row>
    <row r="1090" spans="7:7" x14ac:dyDescent="0.3">
      <c r="G1090" s="3"/>
    </row>
    <row r="1091" spans="7:7" x14ac:dyDescent="0.3">
      <c r="G1091" s="3"/>
    </row>
    <row r="1092" spans="7:7" x14ac:dyDescent="0.3">
      <c r="G1092" s="3"/>
    </row>
    <row r="1093" spans="7:7" x14ac:dyDescent="0.3">
      <c r="G1093" s="3"/>
    </row>
    <row r="1094" spans="7:7" x14ac:dyDescent="0.3">
      <c r="G1094" s="3"/>
    </row>
    <row r="1095" spans="7:7" x14ac:dyDescent="0.3">
      <c r="G1095" s="3"/>
    </row>
    <row r="1096" spans="7:7" x14ac:dyDescent="0.3">
      <c r="G1096" s="3"/>
    </row>
    <row r="1097" spans="7:7" x14ac:dyDescent="0.3">
      <c r="G1097" s="3"/>
    </row>
    <row r="1098" spans="7:7" x14ac:dyDescent="0.3">
      <c r="G1098" s="3"/>
    </row>
    <row r="1099" spans="7:7" x14ac:dyDescent="0.3">
      <c r="G1099" s="3"/>
    </row>
    <row r="1100" spans="7:7" x14ac:dyDescent="0.3">
      <c r="G1100" s="3"/>
    </row>
    <row r="1101" spans="7:7" x14ac:dyDescent="0.3">
      <c r="G1101" s="3"/>
    </row>
    <row r="1102" spans="7:7" x14ac:dyDescent="0.3">
      <c r="G1102" s="3"/>
    </row>
    <row r="1103" spans="7:7" x14ac:dyDescent="0.3">
      <c r="G1103" s="3"/>
    </row>
    <row r="1104" spans="7:7" x14ac:dyDescent="0.3">
      <c r="G1104" s="3"/>
    </row>
    <row r="1105" spans="7:7" x14ac:dyDescent="0.3">
      <c r="G1105" s="3"/>
    </row>
    <row r="1106" spans="7:7" x14ac:dyDescent="0.3">
      <c r="G1106" s="3"/>
    </row>
    <row r="1107" spans="7:7" x14ac:dyDescent="0.3">
      <c r="G1107" s="3"/>
    </row>
    <row r="1108" spans="7:7" x14ac:dyDescent="0.3">
      <c r="G1108" s="3"/>
    </row>
    <row r="1109" spans="7:7" x14ac:dyDescent="0.3">
      <c r="G1109" s="3"/>
    </row>
    <row r="1110" spans="7:7" x14ac:dyDescent="0.3">
      <c r="G1110" s="3"/>
    </row>
    <row r="1111" spans="7:7" x14ac:dyDescent="0.3">
      <c r="G1111" s="3"/>
    </row>
    <row r="1112" spans="7:7" x14ac:dyDescent="0.3">
      <c r="G1112" s="3"/>
    </row>
    <row r="1113" spans="7:7" x14ac:dyDescent="0.3">
      <c r="G1113" s="3"/>
    </row>
    <row r="1114" spans="7:7" x14ac:dyDescent="0.3">
      <c r="G1114" s="3"/>
    </row>
    <row r="1115" spans="7:7" x14ac:dyDescent="0.3">
      <c r="G1115" s="3"/>
    </row>
    <row r="1116" spans="7:7" x14ac:dyDescent="0.3">
      <c r="G1116" s="3"/>
    </row>
    <row r="1117" spans="7:7" x14ac:dyDescent="0.3">
      <c r="G1117" s="3"/>
    </row>
    <row r="1118" spans="7:7" x14ac:dyDescent="0.3">
      <c r="G1118" s="3"/>
    </row>
    <row r="1119" spans="7:7" x14ac:dyDescent="0.3">
      <c r="G1119" s="3"/>
    </row>
    <row r="1120" spans="7:7" x14ac:dyDescent="0.3">
      <c r="G1120" s="3"/>
    </row>
    <row r="1121" spans="7:7" x14ac:dyDescent="0.3">
      <c r="G1121" s="3"/>
    </row>
    <row r="1122" spans="7:7" x14ac:dyDescent="0.3">
      <c r="G1122" s="3"/>
    </row>
    <row r="1123" spans="7:7" x14ac:dyDescent="0.3">
      <c r="G1123" s="3"/>
    </row>
    <row r="1124" spans="7:7" x14ac:dyDescent="0.3">
      <c r="G1124" s="3"/>
    </row>
    <row r="1125" spans="7:7" x14ac:dyDescent="0.3">
      <c r="G1125" s="3"/>
    </row>
    <row r="1126" spans="7:7" x14ac:dyDescent="0.3">
      <c r="G1126" s="3"/>
    </row>
    <row r="1127" spans="7:7" x14ac:dyDescent="0.3">
      <c r="G1127" s="3"/>
    </row>
    <row r="1128" spans="7:7" x14ac:dyDescent="0.3">
      <c r="G1128" s="3"/>
    </row>
    <row r="1129" spans="7:7" x14ac:dyDescent="0.3">
      <c r="G1129" s="3"/>
    </row>
    <row r="1130" spans="7:7" x14ac:dyDescent="0.3">
      <c r="G1130" s="3"/>
    </row>
    <row r="1131" spans="7:7" x14ac:dyDescent="0.3">
      <c r="G1131" s="3"/>
    </row>
    <row r="1132" spans="7:7" x14ac:dyDescent="0.3">
      <c r="G1132" s="3"/>
    </row>
    <row r="1133" spans="7:7" x14ac:dyDescent="0.3">
      <c r="G1133" s="3"/>
    </row>
    <row r="1134" spans="7:7" x14ac:dyDescent="0.3">
      <c r="G1134" s="3"/>
    </row>
    <row r="1135" spans="7:7" x14ac:dyDescent="0.3">
      <c r="G1135" s="3"/>
    </row>
    <row r="1136" spans="7:7" x14ac:dyDescent="0.3">
      <c r="G1136" s="3"/>
    </row>
    <row r="1137" spans="7:7" x14ac:dyDescent="0.3">
      <c r="G1137" s="3"/>
    </row>
    <row r="1138" spans="7:7" x14ac:dyDescent="0.3">
      <c r="G1138" s="3"/>
    </row>
    <row r="1139" spans="7:7" x14ac:dyDescent="0.3">
      <c r="G1139" s="3"/>
    </row>
    <row r="1140" spans="7:7" x14ac:dyDescent="0.3">
      <c r="G1140" s="3"/>
    </row>
    <row r="1141" spans="7:7" x14ac:dyDescent="0.3">
      <c r="G1141" s="3"/>
    </row>
    <row r="1142" spans="7:7" x14ac:dyDescent="0.3">
      <c r="G1142" s="3"/>
    </row>
    <row r="1143" spans="7:7" x14ac:dyDescent="0.3">
      <c r="G1143" s="3"/>
    </row>
    <row r="1144" spans="7:7" x14ac:dyDescent="0.3">
      <c r="G1144" s="3"/>
    </row>
    <row r="1145" spans="7:7" x14ac:dyDescent="0.3">
      <c r="G1145" s="3"/>
    </row>
    <row r="1146" spans="7:7" x14ac:dyDescent="0.3">
      <c r="G1146" s="3"/>
    </row>
    <row r="1147" spans="7:7" x14ac:dyDescent="0.3">
      <c r="G1147" s="3"/>
    </row>
    <row r="1148" spans="7:7" x14ac:dyDescent="0.3">
      <c r="G1148" s="3"/>
    </row>
    <row r="1149" spans="7:7" x14ac:dyDescent="0.3">
      <c r="G1149" s="3"/>
    </row>
    <row r="1150" spans="7:7" x14ac:dyDescent="0.3">
      <c r="G1150" s="3"/>
    </row>
    <row r="1151" spans="7:7" x14ac:dyDescent="0.3">
      <c r="G1151" s="3"/>
    </row>
    <row r="1152" spans="7:7" x14ac:dyDescent="0.3">
      <c r="G1152" s="3"/>
    </row>
    <row r="1153" spans="7:7" x14ac:dyDescent="0.3">
      <c r="G1153" s="3"/>
    </row>
    <row r="1154" spans="7:7" x14ac:dyDescent="0.3">
      <c r="G1154" s="3"/>
    </row>
    <row r="1155" spans="7:7" x14ac:dyDescent="0.3">
      <c r="G1155" s="3"/>
    </row>
    <row r="1156" spans="7:7" x14ac:dyDescent="0.3">
      <c r="G1156" s="3"/>
    </row>
    <row r="1157" spans="7:7" x14ac:dyDescent="0.3">
      <c r="G1157" s="3"/>
    </row>
    <row r="1158" spans="7:7" x14ac:dyDescent="0.3">
      <c r="G1158" s="3"/>
    </row>
    <row r="1159" spans="7:7" x14ac:dyDescent="0.3">
      <c r="G1159" s="3"/>
    </row>
    <row r="1160" spans="7:7" x14ac:dyDescent="0.3">
      <c r="G1160" s="3"/>
    </row>
    <row r="1161" spans="7:7" x14ac:dyDescent="0.3">
      <c r="G1161" s="3"/>
    </row>
    <row r="1162" spans="7:7" x14ac:dyDescent="0.3">
      <c r="G1162" s="3"/>
    </row>
    <row r="1163" spans="7:7" x14ac:dyDescent="0.3">
      <c r="G1163" s="3"/>
    </row>
    <row r="1164" spans="7:7" x14ac:dyDescent="0.3">
      <c r="G1164" s="3"/>
    </row>
    <row r="1165" spans="7:7" x14ac:dyDescent="0.3">
      <c r="G1165" s="3"/>
    </row>
    <row r="1166" spans="7:7" x14ac:dyDescent="0.3">
      <c r="G1166" s="3"/>
    </row>
    <row r="1167" spans="7:7" x14ac:dyDescent="0.3">
      <c r="G1167" s="3"/>
    </row>
    <row r="1168" spans="7:7" x14ac:dyDescent="0.3">
      <c r="G1168" s="3"/>
    </row>
    <row r="1169" spans="7:7" x14ac:dyDescent="0.3">
      <c r="G1169" s="3"/>
    </row>
    <row r="1170" spans="7:7" x14ac:dyDescent="0.3">
      <c r="G1170" s="3"/>
    </row>
    <row r="1171" spans="7:7" x14ac:dyDescent="0.3">
      <c r="G1171" s="3"/>
    </row>
    <row r="1172" spans="7:7" x14ac:dyDescent="0.3">
      <c r="G1172" s="3"/>
    </row>
    <row r="1173" spans="7:7" x14ac:dyDescent="0.3">
      <c r="G1173" s="3"/>
    </row>
    <row r="1174" spans="7:7" x14ac:dyDescent="0.3">
      <c r="G1174" s="3"/>
    </row>
    <row r="1175" spans="7:7" x14ac:dyDescent="0.3">
      <c r="G1175" s="3"/>
    </row>
    <row r="1176" spans="7:7" x14ac:dyDescent="0.3">
      <c r="G1176" s="3"/>
    </row>
    <row r="1177" spans="7:7" x14ac:dyDescent="0.3">
      <c r="G1177" s="3"/>
    </row>
    <row r="1178" spans="7:7" x14ac:dyDescent="0.3">
      <c r="G1178" s="3"/>
    </row>
    <row r="1179" spans="7:7" x14ac:dyDescent="0.3">
      <c r="G1179" s="3"/>
    </row>
    <row r="1180" spans="7:7" x14ac:dyDescent="0.3">
      <c r="G1180" s="3"/>
    </row>
    <row r="1181" spans="7:7" x14ac:dyDescent="0.3">
      <c r="G1181" s="3"/>
    </row>
    <row r="1182" spans="7:7" x14ac:dyDescent="0.3">
      <c r="G1182" s="3"/>
    </row>
    <row r="1183" spans="7:7" x14ac:dyDescent="0.3">
      <c r="G1183" s="3"/>
    </row>
    <row r="1184" spans="7:7" x14ac:dyDescent="0.3">
      <c r="G1184" s="3"/>
    </row>
    <row r="1185" spans="7:7" x14ac:dyDescent="0.3">
      <c r="G1185" s="3"/>
    </row>
    <row r="1186" spans="7:7" x14ac:dyDescent="0.3">
      <c r="G1186" s="3"/>
    </row>
    <row r="1187" spans="7:7" x14ac:dyDescent="0.3">
      <c r="G1187" s="3"/>
    </row>
    <row r="1188" spans="7:7" x14ac:dyDescent="0.3">
      <c r="G1188" s="3"/>
    </row>
    <row r="1189" spans="7:7" x14ac:dyDescent="0.3">
      <c r="G1189" s="3"/>
    </row>
    <row r="1190" spans="7:7" x14ac:dyDescent="0.3">
      <c r="G1190" s="3"/>
    </row>
    <row r="1191" spans="7:7" x14ac:dyDescent="0.3">
      <c r="G1191" s="3"/>
    </row>
    <row r="1192" spans="7:7" x14ac:dyDescent="0.3">
      <c r="G1192" s="3"/>
    </row>
    <row r="1193" spans="7:7" x14ac:dyDescent="0.3">
      <c r="G1193" s="3"/>
    </row>
    <row r="1194" spans="7:7" x14ac:dyDescent="0.3">
      <c r="G1194" s="3"/>
    </row>
    <row r="1195" spans="7:7" x14ac:dyDescent="0.3">
      <c r="G1195" s="3"/>
    </row>
    <row r="1196" spans="7:7" x14ac:dyDescent="0.3">
      <c r="G1196" s="3"/>
    </row>
    <row r="1197" spans="7:7" x14ac:dyDescent="0.3">
      <c r="G1197" s="3"/>
    </row>
    <row r="1198" spans="7:7" x14ac:dyDescent="0.3">
      <c r="G1198" s="3"/>
    </row>
    <row r="1199" spans="7:7" x14ac:dyDescent="0.3">
      <c r="G1199" s="3"/>
    </row>
    <row r="1200" spans="7:7" x14ac:dyDescent="0.3">
      <c r="G1200" s="3"/>
    </row>
    <row r="1201" spans="7:7" x14ac:dyDescent="0.3">
      <c r="G1201" s="3"/>
    </row>
    <row r="1202" spans="7:7" x14ac:dyDescent="0.3">
      <c r="G1202" s="3"/>
    </row>
    <row r="1203" spans="7:7" x14ac:dyDescent="0.3">
      <c r="G1203" s="3"/>
    </row>
    <row r="1204" spans="7:7" x14ac:dyDescent="0.3">
      <c r="G1204" s="3"/>
    </row>
    <row r="1205" spans="7:7" x14ac:dyDescent="0.3">
      <c r="G1205" s="3"/>
    </row>
    <row r="1206" spans="7:7" x14ac:dyDescent="0.3">
      <c r="G1206" s="3"/>
    </row>
    <row r="1207" spans="7:7" x14ac:dyDescent="0.3">
      <c r="G1207" s="3"/>
    </row>
    <row r="1208" spans="7:7" x14ac:dyDescent="0.3">
      <c r="G1208" s="3"/>
    </row>
    <row r="1209" spans="7:7" x14ac:dyDescent="0.3">
      <c r="G1209" s="3"/>
    </row>
    <row r="1210" spans="7:7" x14ac:dyDescent="0.3">
      <c r="G1210" s="3"/>
    </row>
    <row r="1211" spans="7:7" x14ac:dyDescent="0.3">
      <c r="G1211" s="3"/>
    </row>
    <row r="1212" spans="7:7" x14ac:dyDescent="0.3">
      <c r="G1212" s="3"/>
    </row>
    <row r="1213" spans="7:7" x14ac:dyDescent="0.3">
      <c r="G1213" s="3"/>
    </row>
    <row r="1214" spans="7:7" x14ac:dyDescent="0.3">
      <c r="G1214" s="3"/>
    </row>
    <row r="1215" spans="7:7" x14ac:dyDescent="0.3">
      <c r="G1215" s="3"/>
    </row>
    <row r="1216" spans="7:7" x14ac:dyDescent="0.3">
      <c r="G1216" s="3"/>
    </row>
    <row r="1217" spans="7:7" x14ac:dyDescent="0.3">
      <c r="G1217" s="3"/>
    </row>
    <row r="1218" spans="7:7" x14ac:dyDescent="0.3">
      <c r="G1218" s="3"/>
    </row>
    <row r="1219" spans="7:7" x14ac:dyDescent="0.3">
      <c r="G1219" s="3"/>
    </row>
    <row r="1220" spans="7:7" x14ac:dyDescent="0.3">
      <c r="G1220" s="3"/>
    </row>
    <row r="1221" spans="7:7" x14ac:dyDescent="0.3">
      <c r="G1221" s="3"/>
    </row>
    <row r="1222" spans="7:7" x14ac:dyDescent="0.3">
      <c r="G1222" s="3"/>
    </row>
    <row r="1223" spans="7:7" x14ac:dyDescent="0.3">
      <c r="G1223" s="3"/>
    </row>
    <row r="1224" spans="7:7" x14ac:dyDescent="0.3">
      <c r="G1224" s="3"/>
    </row>
    <row r="1225" spans="7:7" x14ac:dyDescent="0.3">
      <c r="G1225" s="3"/>
    </row>
    <row r="1226" spans="7:7" x14ac:dyDescent="0.3">
      <c r="G1226" s="3"/>
    </row>
    <row r="1227" spans="7:7" x14ac:dyDescent="0.3">
      <c r="G1227" s="3"/>
    </row>
    <row r="1228" spans="7:7" x14ac:dyDescent="0.3">
      <c r="G1228" s="3"/>
    </row>
    <row r="1229" spans="7:7" x14ac:dyDescent="0.3">
      <c r="G1229" s="3"/>
    </row>
    <row r="1230" spans="7:7" x14ac:dyDescent="0.3">
      <c r="G1230" s="3"/>
    </row>
    <row r="1231" spans="7:7" x14ac:dyDescent="0.3">
      <c r="G1231" s="3"/>
    </row>
    <row r="1232" spans="7:7" x14ac:dyDescent="0.3">
      <c r="G1232" s="3"/>
    </row>
    <row r="1233" spans="7:7" x14ac:dyDescent="0.3">
      <c r="G1233" s="3"/>
    </row>
    <row r="1234" spans="7:7" x14ac:dyDescent="0.3">
      <c r="G1234" s="3"/>
    </row>
    <row r="1235" spans="7:7" x14ac:dyDescent="0.3">
      <c r="G1235" s="3"/>
    </row>
    <row r="1236" spans="7:7" x14ac:dyDescent="0.3">
      <c r="G1236" s="3"/>
    </row>
    <row r="1237" spans="7:7" x14ac:dyDescent="0.3">
      <c r="G1237" s="3"/>
    </row>
    <row r="1238" spans="7:7" x14ac:dyDescent="0.3">
      <c r="G1238" s="3"/>
    </row>
    <row r="1239" spans="7:7" x14ac:dyDescent="0.3">
      <c r="G1239" s="3"/>
    </row>
    <row r="1240" spans="7:7" x14ac:dyDescent="0.3">
      <c r="G1240" s="3"/>
    </row>
    <row r="1241" spans="7:7" x14ac:dyDescent="0.3">
      <c r="G1241" s="3"/>
    </row>
    <row r="1242" spans="7:7" x14ac:dyDescent="0.3">
      <c r="G1242" s="3"/>
    </row>
    <row r="1243" spans="7:7" x14ac:dyDescent="0.3">
      <c r="G1243" s="3"/>
    </row>
    <row r="1244" spans="7:7" x14ac:dyDescent="0.3">
      <c r="G1244" s="3"/>
    </row>
    <row r="1245" spans="7:7" x14ac:dyDescent="0.3">
      <c r="G1245" s="3"/>
    </row>
    <row r="1246" spans="7:7" x14ac:dyDescent="0.3">
      <c r="G1246" s="3"/>
    </row>
    <row r="1247" spans="7:7" x14ac:dyDescent="0.3">
      <c r="G1247" s="3"/>
    </row>
    <row r="1248" spans="7:7" x14ac:dyDescent="0.3">
      <c r="G1248" s="3"/>
    </row>
    <row r="1249" spans="7:7" x14ac:dyDescent="0.3">
      <c r="G1249" s="3"/>
    </row>
    <row r="1250" spans="7:7" x14ac:dyDescent="0.3">
      <c r="G1250" s="3"/>
    </row>
    <row r="1251" spans="7:7" x14ac:dyDescent="0.3">
      <c r="G1251" s="3"/>
    </row>
    <row r="1252" spans="7:7" x14ac:dyDescent="0.3">
      <c r="G1252" s="3"/>
    </row>
    <row r="1253" spans="7:7" x14ac:dyDescent="0.3">
      <c r="G1253" s="3"/>
    </row>
    <row r="1254" spans="7:7" x14ac:dyDescent="0.3">
      <c r="G1254" s="3"/>
    </row>
    <row r="1255" spans="7:7" x14ac:dyDescent="0.3">
      <c r="G1255" s="3"/>
    </row>
    <row r="1256" spans="7:7" x14ac:dyDescent="0.3">
      <c r="G1256" s="3"/>
    </row>
    <row r="1257" spans="7:7" x14ac:dyDescent="0.3">
      <c r="G1257" s="3"/>
    </row>
    <row r="1258" spans="7:7" x14ac:dyDescent="0.3">
      <c r="G1258" s="3"/>
    </row>
    <row r="1259" spans="7:7" x14ac:dyDescent="0.3">
      <c r="G1259" s="3"/>
    </row>
    <row r="1260" spans="7:7" x14ac:dyDescent="0.3">
      <c r="G1260" s="3"/>
    </row>
    <row r="1261" spans="7:7" x14ac:dyDescent="0.3">
      <c r="G1261" s="3"/>
    </row>
    <row r="1262" spans="7:7" x14ac:dyDescent="0.3">
      <c r="G1262" s="3"/>
    </row>
    <row r="1263" spans="7:7" x14ac:dyDescent="0.3">
      <c r="G1263" s="3"/>
    </row>
    <row r="1264" spans="7:7" x14ac:dyDescent="0.3">
      <c r="G1264" s="3"/>
    </row>
    <row r="1265" spans="7:7" x14ac:dyDescent="0.3">
      <c r="G1265" s="3"/>
    </row>
    <row r="1266" spans="7:7" x14ac:dyDescent="0.3">
      <c r="G1266" s="3"/>
    </row>
    <row r="1267" spans="7:7" x14ac:dyDescent="0.3">
      <c r="G1267" s="3"/>
    </row>
    <row r="1268" spans="7:7" x14ac:dyDescent="0.3">
      <c r="G1268" s="3"/>
    </row>
    <row r="1269" spans="7:7" x14ac:dyDescent="0.3">
      <c r="G1269" s="3"/>
    </row>
    <row r="1270" spans="7:7" x14ac:dyDescent="0.3">
      <c r="G1270" s="3"/>
    </row>
    <row r="1271" spans="7:7" x14ac:dyDescent="0.3">
      <c r="G1271" s="3"/>
    </row>
    <row r="1272" spans="7:7" x14ac:dyDescent="0.3">
      <c r="G1272" s="3"/>
    </row>
    <row r="1273" spans="7:7" x14ac:dyDescent="0.3">
      <c r="G1273" s="3"/>
    </row>
    <row r="1274" spans="7:7" x14ac:dyDescent="0.3">
      <c r="G1274" s="3"/>
    </row>
    <row r="1275" spans="7:7" x14ac:dyDescent="0.3">
      <c r="G1275" s="3"/>
    </row>
    <row r="1276" spans="7:7" x14ac:dyDescent="0.3">
      <c r="G1276" s="3"/>
    </row>
    <row r="1277" spans="7:7" x14ac:dyDescent="0.3">
      <c r="G1277" s="3"/>
    </row>
    <row r="1278" spans="7:7" x14ac:dyDescent="0.3">
      <c r="G1278" s="3"/>
    </row>
    <row r="1279" spans="7:7" x14ac:dyDescent="0.3">
      <c r="G1279" s="3"/>
    </row>
    <row r="1280" spans="7:7" x14ac:dyDescent="0.3">
      <c r="G1280" s="3"/>
    </row>
    <row r="1281" spans="7:7" x14ac:dyDescent="0.3">
      <c r="G1281" s="3"/>
    </row>
    <row r="1282" spans="7:7" x14ac:dyDescent="0.3">
      <c r="G1282" s="3"/>
    </row>
    <row r="1283" spans="7:7" x14ac:dyDescent="0.3">
      <c r="G1283" s="3"/>
    </row>
    <row r="1284" spans="7:7" x14ac:dyDescent="0.3">
      <c r="G1284" s="3"/>
    </row>
    <row r="1285" spans="7:7" x14ac:dyDescent="0.3">
      <c r="G1285" s="3"/>
    </row>
    <row r="1286" spans="7:7" x14ac:dyDescent="0.3">
      <c r="G1286" s="3"/>
    </row>
    <row r="1287" spans="7:7" x14ac:dyDescent="0.3">
      <c r="G1287" s="3"/>
    </row>
    <row r="1288" spans="7:7" x14ac:dyDescent="0.3">
      <c r="G1288" s="3"/>
    </row>
    <row r="1289" spans="7:7" x14ac:dyDescent="0.3">
      <c r="G1289" s="3"/>
    </row>
    <row r="1290" spans="7:7" x14ac:dyDescent="0.3">
      <c r="G1290" s="3"/>
    </row>
    <row r="1291" spans="7:7" x14ac:dyDescent="0.3">
      <c r="G1291" s="3"/>
    </row>
    <row r="1292" spans="7:7" x14ac:dyDescent="0.3">
      <c r="G1292" s="3"/>
    </row>
    <row r="1293" spans="7:7" x14ac:dyDescent="0.3">
      <c r="G1293" s="3"/>
    </row>
    <row r="1294" spans="7:7" x14ac:dyDescent="0.3">
      <c r="G1294" s="3"/>
    </row>
    <row r="1295" spans="7:7" x14ac:dyDescent="0.3">
      <c r="G1295" s="3"/>
    </row>
    <row r="1296" spans="7:7" x14ac:dyDescent="0.3">
      <c r="G1296" s="3"/>
    </row>
    <row r="1297" spans="7:7" x14ac:dyDescent="0.3">
      <c r="G1297" s="3"/>
    </row>
    <row r="1298" spans="7:7" x14ac:dyDescent="0.3">
      <c r="G1298" s="3"/>
    </row>
    <row r="1299" spans="7:7" x14ac:dyDescent="0.3">
      <c r="G1299" s="3"/>
    </row>
    <row r="1300" spans="7:7" x14ac:dyDescent="0.3">
      <c r="G1300" s="3"/>
    </row>
    <row r="1301" spans="7:7" x14ac:dyDescent="0.3">
      <c r="G1301" s="3"/>
    </row>
    <row r="1302" spans="7:7" x14ac:dyDescent="0.3">
      <c r="G1302" s="3"/>
    </row>
    <row r="1303" spans="7:7" x14ac:dyDescent="0.3">
      <c r="G1303" s="3"/>
    </row>
    <row r="1304" spans="7:7" x14ac:dyDescent="0.3">
      <c r="G1304" s="3"/>
    </row>
    <row r="1305" spans="7:7" x14ac:dyDescent="0.3">
      <c r="G1305" s="3"/>
    </row>
    <row r="1306" spans="7:7" x14ac:dyDescent="0.3">
      <c r="G1306" s="3"/>
    </row>
    <row r="1307" spans="7:7" x14ac:dyDescent="0.3">
      <c r="G1307" s="3"/>
    </row>
    <row r="1308" spans="7:7" x14ac:dyDescent="0.3">
      <c r="G1308" s="3"/>
    </row>
    <row r="1309" spans="7:7" x14ac:dyDescent="0.3">
      <c r="G1309" s="3"/>
    </row>
    <row r="1310" spans="7:7" x14ac:dyDescent="0.3">
      <c r="G1310" s="3"/>
    </row>
    <row r="1311" spans="7:7" x14ac:dyDescent="0.3">
      <c r="G1311" s="3"/>
    </row>
    <row r="1312" spans="7:7" x14ac:dyDescent="0.3">
      <c r="G1312" s="3"/>
    </row>
    <row r="1313" spans="7:7" x14ac:dyDescent="0.3">
      <c r="G1313" s="3"/>
    </row>
    <row r="1314" spans="7:7" x14ac:dyDescent="0.3">
      <c r="G1314" s="3"/>
    </row>
    <row r="1315" spans="7:7" x14ac:dyDescent="0.3">
      <c r="G1315" s="3"/>
    </row>
    <row r="1316" spans="7:7" x14ac:dyDescent="0.3">
      <c r="G1316" s="3"/>
    </row>
    <row r="1317" spans="7:7" x14ac:dyDescent="0.3">
      <c r="G1317" s="3"/>
    </row>
    <row r="1318" spans="7:7" x14ac:dyDescent="0.3">
      <c r="G1318" s="3"/>
    </row>
    <row r="1319" spans="7:7" x14ac:dyDescent="0.3">
      <c r="G1319" s="3"/>
    </row>
    <row r="1320" spans="7:7" x14ac:dyDescent="0.3">
      <c r="G1320" s="3"/>
    </row>
    <row r="1321" spans="7:7" x14ac:dyDescent="0.3">
      <c r="G1321" s="3"/>
    </row>
    <row r="1322" spans="7:7" x14ac:dyDescent="0.3">
      <c r="G1322" s="3"/>
    </row>
    <row r="1323" spans="7:7" x14ac:dyDescent="0.3">
      <c r="G1323" s="3"/>
    </row>
    <row r="1324" spans="7:7" x14ac:dyDescent="0.3">
      <c r="G1324" s="3"/>
    </row>
    <row r="1325" spans="7:7" x14ac:dyDescent="0.3">
      <c r="G1325" s="3"/>
    </row>
    <row r="1326" spans="7:7" x14ac:dyDescent="0.3">
      <c r="G1326" s="3"/>
    </row>
    <row r="1327" spans="7:7" x14ac:dyDescent="0.3">
      <c r="G1327" s="3"/>
    </row>
    <row r="1328" spans="7:7" x14ac:dyDescent="0.3">
      <c r="G1328" s="3"/>
    </row>
    <row r="1329" spans="7:7" x14ac:dyDescent="0.3">
      <c r="G1329" s="3"/>
    </row>
    <row r="1330" spans="7:7" x14ac:dyDescent="0.3">
      <c r="G1330" s="3"/>
    </row>
    <row r="1331" spans="7:7" x14ac:dyDescent="0.3">
      <c r="G1331" s="3"/>
    </row>
    <row r="1332" spans="7:7" x14ac:dyDescent="0.3">
      <c r="G1332" s="3"/>
    </row>
    <row r="1333" spans="7:7" x14ac:dyDescent="0.3">
      <c r="G1333" s="3"/>
    </row>
    <row r="1334" spans="7:7" x14ac:dyDescent="0.3">
      <c r="G1334" s="3"/>
    </row>
    <row r="1335" spans="7:7" x14ac:dyDescent="0.3">
      <c r="G1335" s="3"/>
    </row>
    <row r="1336" spans="7:7" x14ac:dyDescent="0.3">
      <c r="G1336" s="3"/>
    </row>
    <row r="1337" spans="7:7" x14ac:dyDescent="0.3">
      <c r="G1337" s="3"/>
    </row>
    <row r="1338" spans="7:7" x14ac:dyDescent="0.3">
      <c r="G1338" s="3"/>
    </row>
    <row r="1339" spans="7:7" x14ac:dyDescent="0.3">
      <c r="G1339" s="3"/>
    </row>
    <row r="1340" spans="7:7" x14ac:dyDescent="0.3">
      <c r="G1340" s="3"/>
    </row>
    <row r="1341" spans="7:7" x14ac:dyDescent="0.3">
      <c r="G1341" s="3"/>
    </row>
    <row r="1342" spans="7:7" x14ac:dyDescent="0.3">
      <c r="G1342" s="3"/>
    </row>
    <row r="1343" spans="7:7" x14ac:dyDescent="0.3">
      <c r="G1343" s="3"/>
    </row>
    <row r="1344" spans="7:7" x14ac:dyDescent="0.3">
      <c r="G1344" s="3"/>
    </row>
    <row r="1345" spans="7:7" x14ac:dyDescent="0.3">
      <c r="G1345" s="3"/>
    </row>
    <row r="1346" spans="7:7" x14ac:dyDescent="0.3">
      <c r="G1346" s="3"/>
    </row>
    <row r="1347" spans="7:7" x14ac:dyDescent="0.3">
      <c r="G1347" s="3"/>
    </row>
    <row r="1348" spans="7:7" x14ac:dyDescent="0.3">
      <c r="G1348" s="3"/>
    </row>
    <row r="1349" spans="7:7" x14ac:dyDescent="0.3">
      <c r="G1349" s="3"/>
    </row>
    <row r="1350" spans="7:7" x14ac:dyDescent="0.3">
      <c r="G1350" s="3"/>
    </row>
    <row r="1351" spans="7:7" x14ac:dyDescent="0.3">
      <c r="G1351" s="3"/>
    </row>
    <row r="1352" spans="7:7" x14ac:dyDescent="0.3">
      <c r="G1352" s="3"/>
    </row>
    <row r="1353" spans="7:7" x14ac:dyDescent="0.3">
      <c r="G1353" s="3"/>
    </row>
    <row r="1354" spans="7:7" x14ac:dyDescent="0.3">
      <c r="G1354" s="3"/>
    </row>
    <row r="1355" spans="7:7" x14ac:dyDescent="0.3">
      <c r="G1355" s="3"/>
    </row>
    <row r="1356" spans="7:7" x14ac:dyDescent="0.3">
      <c r="G1356" s="3"/>
    </row>
    <row r="1357" spans="7:7" x14ac:dyDescent="0.3">
      <c r="G1357" s="3"/>
    </row>
    <row r="1358" spans="7:7" x14ac:dyDescent="0.3">
      <c r="G1358" s="3"/>
    </row>
    <row r="1359" spans="7:7" x14ac:dyDescent="0.3">
      <c r="G1359" s="3"/>
    </row>
    <row r="1360" spans="7:7" x14ac:dyDescent="0.3">
      <c r="G1360" s="3"/>
    </row>
    <row r="1361" spans="7:7" x14ac:dyDescent="0.3">
      <c r="G1361" s="3"/>
    </row>
    <row r="1362" spans="7:7" x14ac:dyDescent="0.3">
      <c r="G1362" s="3"/>
    </row>
    <row r="1363" spans="7:7" x14ac:dyDescent="0.3">
      <c r="G1363" s="3"/>
    </row>
    <row r="1364" spans="7:7" x14ac:dyDescent="0.3">
      <c r="G1364" s="3"/>
    </row>
    <row r="1365" spans="7:7" x14ac:dyDescent="0.3">
      <c r="G1365" s="3"/>
    </row>
    <row r="1366" spans="7:7" x14ac:dyDescent="0.3">
      <c r="G1366" s="3"/>
    </row>
    <row r="1367" spans="7:7" x14ac:dyDescent="0.3">
      <c r="G1367" s="3"/>
    </row>
    <row r="1368" spans="7:7" x14ac:dyDescent="0.3">
      <c r="G1368" s="3"/>
    </row>
    <row r="1369" spans="7:7" x14ac:dyDescent="0.3">
      <c r="G1369" s="3"/>
    </row>
    <row r="1370" spans="7:7" x14ac:dyDescent="0.3">
      <c r="G1370" s="3"/>
    </row>
    <row r="1371" spans="7:7" x14ac:dyDescent="0.3">
      <c r="G1371" s="3"/>
    </row>
    <row r="1372" spans="7:7" x14ac:dyDescent="0.3">
      <c r="G1372" s="3"/>
    </row>
    <row r="1373" spans="7:7" x14ac:dyDescent="0.3">
      <c r="G1373" s="3"/>
    </row>
    <row r="1374" spans="7:7" x14ac:dyDescent="0.3">
      <c r="G1374" s="3"/>
    </row>
    <row r="1375" spans="7:7" x14ac:dyDescent="0.3">
      <c r="G1375" s="3"/>
    </row>
    <row r="1376" spans="7:7" x14ac:dyDescent="0.3">
      <c r="G1376" s="3"/>
    </row>
    <row r="1377" spans="7:7" x14ac:dyDescent="0.3">
      <c r="G1377" s="3"/>
    </row>
    <row r="1378" spans="7:7" x14ac:dyDescent="0.3">
      <c r="G1378" s="3"/>
    </row>
    <row r="1379" spans="7:7" x14ac:dyDescent="0.3">
      <c r="G1379" s="3"/>
    </row>
    <row r="1380" spans="7:7" x14ac:dyDescent="0.3">
      <c r="G1380" s="3"/>
    </row>
    <row r="1381" spans="7:7" x14ac:dyDescent="0.3">
      <c r="G1381" s="3"/>
    </row>
    <row r="1382" spans="7:7" x14ac:dyDescent="0.3">
      <c r="G1382" s="3"/>
    </row>
    <row r="1383" spans="7:7" x14ac:dyDescent="0.3">
      <c r="G1383" s="3"/>
    </row>
    <row r="1384" spans="7:7" x14ac:dyDescent="0.3">
      <c r="G1384" s="3"/>
    </row>
    <row r="1385" spans="7:7" x14ac:dyDescent="0.3">
      <c r="G1385" s="3"/>
    </row>
    <row r="1386" spans="7:7" x14ac:dyDescent="0.3">
      <c r="G1386" s="3"/>
    </row>
    <row r="1387" spans="7:7" x14ac:dyDescent="0.3">
      <c r="G1387" s="3"/>
    </row>
    <row r="1388" spans="7:7" x14ac:dyDescent="0.3">
      <c r="G1388" s="3"/>
    </row>
    <row r="1389" spans="7:7" x14ac:dyDescent="0.3">
      <c r="G1389" s="3"/>
    </row>
    <row r="1390" spans="7:7" x14ac:dyDescent="0.3">
      <c r="G1390" s="3"/>
    </row>
    <row r="1391" spans="7:7" x14ac:dyDescent="0.3">
      <c r="G1391" s="3"/>
    </row>
    <row r="1392" spans="7:7" x14ac:dyDescent="0.3">
      <c r="G1392" s="3"/>
    </row>
    <row r="1393" spans="7:7" x14ac:dyDescent="0.3">
      <c r="G1393" s="3"/>
    </row>
    <row r="1394" spans="7:7" x14ac:dyDescent="0.3">
      <c r="G1394" s="3"/>
    </row>
    <row r="1395" spans="7:7" x14ac:dyDescent="0.3">
      <c r="G1395" s="3"/>
    </row>
    <row r="1396" spans="7:7" x14ac:dyDescent="0.3">
      <c r="G1396" s="3"/>
    </row>
    <row r="1397" spans="7:7" x14ac:dyDescent="0.3">
      <c r="G1397" s="3"/>
    </row>
    <row r="1398" spans="7:7" x14ac:dyDescent="0.3">
      <c r="G1398" s="3"/>
    </row>
    <row r="1399" spans="7:7" x14ac:dyDescent="0.3">
      <c r="G1399" s="3"/>
    </row>
    <row r="1400" spans="7:7" x14ac:dyDescent="0.3">
      <c r="G1400" s="3"/>
    </row>
    <row r="1401" spans="7:7" x14ac:dyDescent="0.3">
      <c r="G1401" s="3"/>
    </row>
    <row r="1402" spans="7:7" x14ac:dyDescent="0.3">
      <c r="G1402" s="3"/>
    </row>
    <row r="1403" spans="7:7" x14ac:dyDescent="0.3">
      <c r="G1403" s="3"/>
    </row>
    <row r="1404" spans="7:7" x14ac:dyDescent="0.3">
      <c r="G1404" s="3"/>
    </row>
    <row r="1405" spans="7:7" x14ac:dyDescent="0.3">
      <c r="G1405" s="3"/>
    </row>
    <row r="1406" spans="7:7" x14ac:dyDescent="0.3">
      <c r="G1406" s="3"/>
    </row>
    <row r="1407" spans="7:7" x14ac:dyDescent="0.3">
      <c r="G1407" s="3"/>
    </row>
    <row r="1408" spans="7:7" x14ac:dyDescent="0.3">
      <c r="G1408" s="3"/>
    </row>
    <row r="1409" spans="7:7" x14ac:dyDescent="0.3">
      <c r="G1409" s="3"/>
    </row>
    <row r="1410" spans="7:7" x14ac:dyDescent="0.3">
      <c r="G1410" s="3"/>
    </row>
    <row r="1411" spans="7:7" x14ac:dyDescent="0.3">
      <c r="G1411" s="3"/>
    </row>
    <row r="1412" spans="7:7" x14ac:dyDescent="0.3">
      <c r="G1412" s="3"/>
    </row>
    <row r="1413" spans="7:7" x14ac:dyDescent="0.3">
      <c r="G1413" s="3"/>
    </row>
    <row r="1414" spans="7:7" x14ac:dyDescent="0.3">
      <c r="G1414" s="3"/>
    </row>
    <row r="1415" spans="7:7" x14ac:dyDescent="0.3">
      <c r="G1415" s="3"/>
    </row>
    <row r="1416" spans="7:7" x14ac:dyDescent="0.3">
      <c r="G1416" s="3"/>
    </row>
    <row r="1417" spans="7:7" x14ac:dyDescent="0.3">
      <c r="G1417" s="3"/>
    </row>
    <row r="1418" spans="7:7" x14ac:dyDescent="0.3">
      <c r="G1418" s="3"/>
    </row>
    <row r="1419" spans="7:7" x14ac:dyDescent="0.3">
      <c r="G1419" s="3"/>
    </row>
    <row r="1420" spans="7:7" x14ac:dyDescent="0.3">
      <c r="G1420" s="3"/>
    </row>
    <row r="1421" spans="7:7" x14ac:dyDescent="0.3">
      <c r="G1421" s="3"/>
    </row>
    <row r="1422" spans="7:7" x14ac:dyDescent="0.3">
      <c r="G1422" s="3"/>
    </row>
    <row r="1423" spans="7:7" x14ac:dyDescent="0.3">
      <c r="G1423" s="3"/>
    </row>
    <row r="1424" spans="7:7" x14ac:dyDescent="0.3">
      <c r="G1424" s="3"/>
    </row>
    <row r="1425" spans="7:7" x14ac:dyDescent="0.3">
      <c r="G1425" s="3"/>
    </row>
    <row r="1426" spans="7:7" x14ac:dyDescent="0.3">
      <c r="G1426" s="3"/>
    </row>
    <row r="1427" spans="7:7" x14ac:dyDescent="0.3">
      <c r="G1427" s="3"/>
    </row>
    <row r="1428" spans="7:7" x14ac:dyDescent="0.3">
      <c r="G1428" s="3"/>
    </row>
    <row r="1429" spans="7:7" x14ac:dyDescent="0.3">
      <c r="G1429" s="3"/>
    </row>
    <row r="1430" spans="7:7" x14ac:dyDescent="0.3">
      <c r="G1430" s="3"/>
    </row>
    <row r="1431" spans="7:7" x14ac:dyDescent="0.3">
      <c r="G1431" s="3"/>
    </row>
    <row r="1432" spans="7:7" x14ac:dyDescent="0.3">
      <c r="G1432" s="3"/>
    </row>
    <row r="1433" spans="7:7" x14ac:dyDescent="0.3">
      <c r="G1433" s="3"/>
    </row>
    <row r="1434" spans="7:7" x14ac:dyDescent="0.3">
      <c r="G1434" s="3"/>
    </row>
    <row r="1435" spans="7:7" x14ac:dyDescent="0.3">
      <c r="G1435" s="3"/>
    </row>
    <row r="1436" spans="7:7" x14ac:dyDescent="0.3">
      <c r="G1436" s="3"/>
    </row>
    <row r="1437" spans="7:7" x14ac:dyDescent="0.3">
      <c r="G1437" s="3"/>
    </row>
    <row r="1438" spans="7:7" x14ac:dyDescent="0.3">
      <c r="G1438" s="3"/>
    </row>
    <row r="1439" spans="7:7" x14ac:dyDescent="0.3">
      <c r="G1439" s="3"/>
    </row>
    <row r="1440" spans="7:7" x14ac:dyDescent="0.3">
      <c r="G1440" s="3"/>
    </row>
    <row r="1441" spans="7:7" x14ac:dyDescent="0.3">
      <c r="G1441" s="3"/>
    </row>
    <row r="1442" spans="7:7" x14ac:dyDescent="0.3">
      <c r="G1442" s="3"/>
    </row>
    <row r="1443" spans="7:7" x14ac:dyDescent="0.3">
      <c r="G1443" s="3"/>
    </row>
    <row r="1444" spans="7:7" x14ac:dyDescent="0.3">
      <c r="G1444" s="3"/>
    </row>
    <row r="1445" spans="7:7" x14ac:dyDescent="0.3">
      <c r="G1445" s="3"/>
    </row>
    <row r="1446" spans="7:7" x14ac:dyDescent="0.3">
      <c r="G1446" s="3"/>
    </row>
    <row r="1447" spans="7:7" x14ac:dyDescent="0.3">
      <c r="G1447" s="3"/>
    </row>
    <row r="1448" spans="7:7" x14ac:dyDescent="0.3">
      <c r="G1448" s="3"/>
    </row>
    <row r="1449" spans="7:7" x14ac:dyDescent="0.3">
      <c r="G1449" s="3"/>
    </row>
    <row r="1450" spans="7:7" x14ac:dyDescent="0.3">
      <c r="G1450" s="3"/>
    </row>
    <row r="1451" spans="7:7" x14ac:dyDescent="0.3">
      <c r="G1451" s="3"/>
    </row>
    <row r="1452" spans="7:7" x14ac:dyDescent="0.3">
      <c r="G1452" s="3"/>
    </row>
    <row r="1453" spans="7:7" x14ac:dyDescent="0.3">
      <c r="G1453" s="3"/>
    </row>
    <row r="1454" spans="7:7" x14ac:dyDescent="0.3">
      <c r="G1454" s="3"/>
    </row>
    <row r="1455" spans="7:7" x14ac:dyDescent="0.3">
      <c r="G1455" s="3"/>
    </row>
    <row r="1456" spans="7:7" x14ac:dyDescent="0.3">
      <c r="G1456" s="3"/>
    </row>
    <row r="1457" spans="7:7" x14ac:dyDescent="0.3">
      <c r="G1457" s="3"/>
    </row>
    <row r="1458" spans="7:7" x14ac:dyDescent="0.3">
      <c r="G1458" s="3"/>
    </row>
    <row r="1459" spans="7:7" x14ac:dyDescent="0.3">
      <c r="G1459" s="3"/>
    </row>
    <row r="1460" spans="7:7" x14ac:dyDescent="0.3">
      <c r="G1460" s="3"/>
    </row>
    <row r="1461" spans="7:7" x14ac:dyDescent="0.3">
      <c r="G1461" s="3"/>
    </row>
    <row r="1462" spans="7:7" x14ac:dyDescent="0.3">
      <c r="G1462" s="3"/>
    </row>
    <row r="1463" spans="7:7" x14ac:dyDescent="0.3">
      <c r="G1463" s="3"/>
    </row>
    <row r="1464" spans="7:7" x14ac:dyDescent="0.3">
      <c r="G1464" s="3"/>
    </row>
    <row r="1465" spans="7:7" x14ac:dyDescent="0.3">
      <c r="G1465" s="3"/>
    </row>
    <row r="1466" spans="7:7" x14ac:dyDescent="0.3">
      <c r="G1466" s="3"/>
    </row>
    <row r="1467" spans="7:7" x14ac:dyDescent="0.3">
      <c r="G1467" s="3"/>
    </row>
    <row r="1468" spans="7:7" x14ac:dyDescent="0.3">
      <c r="G1468" s="3"/>
    </row>
    <row r="1469" spans="7:7" x14ac:dyDescent="0.3">
      <c r="G1469" s="3"/>
    </row>
    <row r="1470" spans="7:7" x14ac:dyDescent="0.3">
      <c r="G1470" s="3"/>
    </row>
    <row r="1471" spans="7:7" x14ac:dyDescent="0.3">
      <c r="G1471" s="3"/>
    </row>
    <row r="1472" spans="7:7" x14ac:dyDescent="0.3">
      <c r="G1472" s="3"/>
    </row>
    <row r="1473" spans="7:7" x14ac:dyDescent="0.3">
      <c r="G1473" s="3"/>
    </row>
    <row r="1474" spans="7:7" x14ac:dyDescent="0.3">
      <c r="G1474" s="3"/>
    </row>
    <row r="1475" spans="7:7" x14ac:dyDescent="0.3">
      <c r="G1475" s="3"/>
    </row>
    <row r="1476" spans="7:7" x14ac:dyDescent="0.3">
      <c r="G1476" s="3"/>
    </row>
    <row r="1477" spans="7:7" x14ac:dyDescent="0.3">
      <c r="G1477" s="3"/>
    </row>
    <row r="1478" spans="7:7" x14ac:dyDescent="0.3">
      <c r="G1478" s="3"/>
    </row>
    <row r="1479" spans="7:7" x14ac:dyDescent="0.3">
      <c r="G1479" s="3"/>
    </row>
    <row r="1480" spans="7:7" x14ac:dyDescent="0.3">
      <c r="G1480" s="3"/>
    </row>
    <row r="1481" spans="7:7" x14ac:dyDescent="0.3">
      <c r="G1481" s="3"/>
    </row>
    <row r="1482" spans="7:7" x14ac:dyDescent="0.3">
      <c r="G1482" s="3"/>
    </row>
    <row r="1483" spans="7:7" x14ac:dyDescent="0.3">
      <c r="G1483" s="3"/>
    </row>
    <row r="1484" spans="7:7" x14ac:dyDescent="0.3">
      <c r="G1484" s="3"/>
    </row>
    <row r="1485" spans="7:7" x14ac:dyDescent="0.3">
      <c r="G1485" s="3"/>
    </row>
    <row r="1486" spans="7:7" x14ac:dyDescent="0.3">
      <c r="G1486" s="3"/>
    </row>
    <row r="1487" spans="7:7" x14ac:dyDescent="0.3">
      <c r="G1487" s="3"/>
    </row>
    <row r="1488" spans="7:7" x14ac:dyDescent="0.3">
      <c r="G1488" s="3"/>
    </row>
    <row r="1489" spans="7:7" x14ac:dyDescent="0.3">
      <c r="G1489" s="3"/>
    </row>
    <row r="1490" spans="7:7" x14ac:dyDescent="0.3">
      <c r="G1490" s="3"/>
    </row>
    <row r="1491" spans="7:7" x14ac:dyDescent="0.3">
      <c r="G1491" s="3"/>
    </row>
    <row r="1492" spans="7:7" x14ac:dyDescent="0.3">
      <c r="G1492" s="3"/>
    </row>
    <row r="1493" spans="7:7" x14ac:dyDescent="0.3">
      <c r="G1493" s="3"/>
    </row>
    <row r="1494" spans="7:7" x14ac:dyDescent="0.3">
      <c r="G1494" s="3"/>
    </row>
    <row r="1495" spans="7:7" x14ac:dyDescent="0.3">
      <c r="G1495" s="3"/>
    </row>
    <row r="1496" spans="7:7" x14ac:dyDescent="0.3">
      <c r="G1496" s="3"/>
    </row>
    <row r="1497" spans="7:7" x14ac:dyDescent="0.3">
      <c r="G1497" s="3"/>
    </row>
    <row r="1498" spans="7:7" x14ac:dyDescent="0.3">
      <c r="G1498" s="3"/>
    </row>
    <row r="1499" spans="7:7" x14ac:dyDescent="0.3">
      <c r="G1499" s="3"/>
    </row>
    <row r="1500" spans="7:7" x14ac:dyDescent="0.3">
      <c r="G1500" s="3"/>
    </row>
    <row r="1501" spans="7:7" x14ac:dyDescent="0.3">
      <c r="G1501" s="3"/>
    </row>
    <row r="1502" spans="7:7" x14ac:dyDescent="0.3">
      <c r="G1502" s="3"/>
    </row>
    <row r="1503" spans="7:7" x14ac:dyDescent="0.3">
      <c r="G1503" s="3"/>
    </row>
    <row r="1504" spans="7:7" x14ac:dyDescent="0.3">
      <c r="G1504" s="3"/>
    </row>
    <row r="1505" spans="7:7" x14ac:dyDescent="0.3">
      <c r="G1505" s="3"/>
    </row>
    <row r="1506" spans="7:7" x14ac:dyDescent="0.3">
      <c r="G1506" s="3"/>
    </row>
    <row r="1507" spans="7:7" x14ac:dyDescent="0.3">
      <c r="G1507" s="3"/>
    </row>
    <row r="1508" spans="7:7" x14ac:dyDescent="0.3">
      <c r="G1508" s="3"/>
    </row>
    <row r="1509" spans="7:7" x14ac:dyDescent="0.3">
      <c r="G1509" s="3"/>
    </row>
    <row r="1510" spans="7:7" x14ac:dyDescent="0.3">
      <c r="G1510" s="3"/>
    </row>
    <row r="1511" spans="7:7" x14ac:dyDescent="0.3">
      <c r="G1511" s="3"/>
    </row>
    <row r="1512" spans="7:7" x14ac:dyDescent="0.3">
      <c r="G1512" s="3"/>
    </row>
    <row r="1513" spans="7:7" x14ac:dyDescent="0.3">
      <c r="G1513" s="3"/>
    </row>
    <row r="1514" spans="7:7" x14ac:dyDescent="0.3">
      <c r="G1514" s="3"/>
    </row>
    <row r="1515" spans="7:7" x14ac:dyDescent="0.3">
      <c r="G1515" s="3"/>
    </row>
    <row r="1516" spans="7:7" x14ac:dyDescent="0.3">
      <c r="G1516" s="3"/>
    </row>
    <row r="1517" spans="7:7" x14ac:dyDescent="0.3">
      <c r="G1517" s="3"/>
    </row>
    <row r="1518" spans="7:7" x14ac:dyDescent="0.3">
      <c r="G1518" s="3"/>
    </row>
    <row r="1519" spans="7:7" x14ac:dyDescent="0.3">
      <c r="G1519" s="3"/>
    </row>
    <row r="1520" spans="7:7" x14ac:dyDescent="0.3">
      <c r="G1520" s="3"/>
    </row>
    <row r="1521" spans="7:7" x14ac:dyDescent="0.3">
      <c r="G1521" s="3"/>
    </row>
    <row r="1522" spans="7:7" x14ac:dyDescent="0.3">
      <c r="G1522" s="3"/>
    </row>
    <row r="1523" spans="7:7" x14ac:dyDescent="0.3">
      <c r="G1523" s="3"/>
    </row>
    <row r="1524" spans="7:7" x14ac:dyDescent="0.3">
      <c r="G1524" s="3"/>
    </row>
    <row r="1525" spans="7:7" x14ac:dyDescent="0.3">
      <c r="G1525" s="3"/>
    </row>
    <row r="1526" spans="7:7" x14ac:dyDescent="0.3">
      <c r="G1526" s="3"/>
    </row>
    <row r="1527" spans="7:7" x14ac:dyDescent="0.3">
      <c r="G1527" s="3"/>
    </row>
    <row r="1528" spans="7:7" x14ac:dyDescent="0.3">
      <c r="G1528" s="3"/>
    </row>
    <row r="1529" spans="7:7" x14ac:dyDescent="0.3">
      <c r="G1529" s="3"/>
    </row>
    <row r="1530" spans="7:7" x14ac:dyDescent="0.3">
      <c r="G1530" s="3"/>
    </row>
    <row r="1531" spans="7:7" x14ac:dyDescent="0.3">
      <c r="G1531" s="3"/>
    </row>
    <row r="1532" spans="7:7" x14ac:dyDescent="0.3">
      <c r="G1532" s="3"/>
    </row>
  </sheetData>
  <autoFilter ref="A1:AL336" xr:uid="{BDFF92D2-2E29-4182-ADCF-703DDA126CD8}"/>
  <customSheetViews>
    <customSheetView guid="{5F8FD084-40FB-49AA-B447-CD935F604D55}" scale="80" showAutoFilter="1" hiddenColumns="1">
      <pane ySplit="1" topLeftCell="A179" activePane="bottomLeft" state="frozen"/>
      <selection pane="bottomLeft" activeCell="A179" sqref="A179"/>
      <pageMargins left="0.7" right="0.7" top="0.75" bottom="0.75" header="0.3" footer="0.3"/>
      <pageSetup orientation="portrait" r:id="rId1"/>
      <autoFilter ref="A1:AT327" xr:uid="{A87422D2-2555-4ED6-B18C-64A85B86A43B}"/>
    </customSheetView>
    <customSheetView guid="{5FD7D287-AC38-49FE-8AA5-C4506E353DCC}" scale="80" showPageBreaks="1" showAutoFilter="1" hiddenColumns="1" topLeftCell="F1">
      <pane ySplit="1" topLeftCell="A8" activePane="bottomLeft" state="frozen"/>
      <selection pane="bottomLeft" activeCell="J16" sqref="J16:J17"/>
      <pageMargins left="0.7" right="0.7" top="0.75" bottom="0.75" header="0.3" footer="0.3"/>
      <pageSetup orientation="portrait" r:id="rId2"/>
      <autoFilter ref="A1:AU330" xr:uid="{722A676B-6C72-425F-ABFE-D2AB0F6E5D13}"/>
    </customSheetView>
  </customSheetViews>
  <mergeCells count="154">
    <mergeCell ref="AJ55:AJ57"/>
    <mergeCell ref="AL55:AL57"/>
    <mergeCell ref="AL16:AL17"/>
    <mergeCell ref="J55:J57"/>
    <mergeCell ref="U55:U57"/>
    <mergeCell ref="AB16:AB17"/>
    <mergeCell ref="AI16:AI17"/>
    <mergeCell ref="AJ16:AJ17"/>
    <mergeCell ref="J16:J17"/>
    <mergeCell ref="AB55:AB57"/>
    <mergeCell ref="AD55:AD57"/>
    <mergeCell ref="AI55:AI57"/>
    <mergeCell ref="AL72:AL73"/>
    <mergeCell ref="J82:J83"/>
    <mergeCell ref="P82:P83"/>
    <mergeCell ref="J72:J73"/>
    <mergeCell ref="AB72:AB73"/>
    <mergeCell ref="AI72:AI73"/>
    <mergeCell ref="AJ72:AJ73"/>
    <mergeCell ref="AI82:AI83"/>
    <mergeCell ref="AJ82:AJ83"/>
    <mergeCell ref="AL82:AL83"/>
    <mergeCell ref="AG82:AG83"/>
    <mergeCell ref="AH82:AH83"/>
    <mergeCell ref="R82:R83"/>
    <mergeCell ref="AB82:AB83"/>
    <mergeCell ref="AC82:AC83"/>
    <mergeCell ref="AD82:AD83"/>
    <mergeCell ref="AJ86:AJ87"/>
    <mergeCell ref="AI118:AI119"/>
    <mergeCell ref="AJ118:AJ119"/>
    <mergeCell ref="AL86:AL87"/>
    <mergeCell ref="J86:J87"/>
    <mergeCell ref="P86:P87"/>
    <mergeCell ref="R86:R87"/>
    <mergeCell ref="AB86:AB87"/>
    <mergeCell ref="AI86:AI87"/>
    <mergeCell ref="AL99:AL102"/>
    <mergeCell ref="AB99:AB102"/>
    <mergeCell ref="AD99:AD102"/>
    <mergeCell ref="AI99:AI102"/>
    <mergeCell ref="AJ99:AJ102"/>
    <mergeCell ref="J118:J119"/>
    <mergeCell ref="J99:J102"/>
    <mergeCell ref="U99:U102"/>
    <mergeCell ref="AB118:AB119"/>
    <mergeCell ref="AI165:AI169"/>
    <mergeCell ref="AJ165:AJ169"/>
    <mergeCell ref="AL165:AL169"/>
    <mergeCell ref="J165:J169"/>
    <mergeCell ref="U165:U169"/>
    <mergeCell ref="Z165:Z169"/>
    <mergeCell ref="AB165:AB169"/>
    <mergeCell ref="AD165:AD169"/>
    <mergeCell ref="AL118:AL119"/>
    <mergeCell ref="T155:T156"/>
    <mergeCell ref="U155:U156"/>
    <mergeCell ref="AL194:AL198"/>
    <mergeCell ref="AD194:AD198"/>
    <mergeCell ref="AG194:AG198"/>
    <mergeCell ref="J194:J198"/>
    <mergeCell ref="AB194:AB198"/>
    <mergeCell ref="AJ182:AJ183"/>
    <mergeCell ref="J182:J183"/>
    <mergeCell ref="AA182:AA183"/>
    <mergeCell ref="AB182:AB183"/>
    <mergeCell ref="AD182:AD183"/>
    <mergeCell ref="AH194:AH198"/>
    <mergeCell ref="AI194:AI198"/>
    <mergeCell ref="AJ194:AJ198"/>
    <mergeCell ref="AH182:AH183"/>
    <mergeCell ref="AI182:AI183"/>
    <mergeCell ref="AL182:AL183"/>
    <mergeCell ref="AG182:AG183"/>
    <mergeCell ref="J203:J204"/>
    <mergeCell ref="AI199:AI200"/>
    <mergeCell ref="AJ199:AJ200"/>
    <mergeCell ref="AL199:AL200"/>
    <mergeCell ref="J199:J200"/>
    <mergeCell ref="AB199:AB200"/>
    <mergeCell ref="AC199:AC200"/>
    <mergeCell ref="AD199:AD200"/>
    <mergeCell ref="AL203:AL204"/>
    <mergeCell ref="AB203:AB204"/>
    <mergeCell ref="AD203:AD204"/>
    <mergeCell ref="AI203:AI204"/>
    <mergeCell ref="AJ203:AJ204"/>
    <mergeCell ref="AB210:AB211"/>
    <mergeCell ref="AI210:AI211"/>
    <mergeCell ref="AJ210:AJ211"/>
    <mergeCell ref="AL210:AL211"/>
    <mergeCell ref="AJ214:AJ215"/>
    <mergeCell ref="AL214:AL215"/>
    <mergeCell ref="J214:J215"/>
    <mergeCell ref="AB214:AB215"/>
    <mergeCell ref="AD214:AD215"/>
    <mergeCell ref="AI214:AI215"/>
    <mergeCell ref="J210:J211"/>
    <mergeCell ref="AA221:AA224"/>
    <mergeCell ref="J232:J233"/>
    <mergeCell ref="AL217:AL218"/>
    <mergeCell ref="J221:J224"/>
    <mergeCell ref="Z221:Z224"/>
    <mergeCell ref="J217:J218"/>
    <mergeCell ref="AB217:AB218"/>
    <mergeCell ref="AD217:AD218"/>
    <mergeCell ref="AI217:AI218"/>
    <mergeCell ref="AJ217:AJ218"/>
    <mergeCell ref="AL221:AL224"/>
    <mergeCell ref="AB221:AB224"/>
    <mergeCell ref="AG221:AG224"/>
    <mergeCell ref="AH221:AH224"/>
    <mergeCell ref="AI221:AI224"/>
    <mergeCell ref="AJ221:AJ224"/>
    <mergeCell ref="U221:U224"/>
    <mergeCell ref="V221:V224"/>
    <mergeCell ref="AD265:AD266"/>
    <mergeCell ref="AI265:AI266"/>
    <mergeCell ref="AJ265:AJ266"/>
    <mergeCell ref="J258:J261"/>
    <mergeCell ref="U258:U261"/>
    <mergeCell ref="T241:T242"/>
    <mergeCell ref="U241:U242"/>
    <mergeCell ref="V241:V242"/>
    <mergeCell ref="W241:W242"/>
    <mergeCell ref="AA241:AA242"/>
    <mergeCell ref="AB241:AB242"/>
    <mergeCell ref="AC241:AC242"/>
    <mergeCell ref="AD241:AD242"/>
    <mergeCell ref="AF241:AF242"/>
    <mergeCell ref="J283:J284"/>
    <mergeCell ref="U283:U284"/>
    <mergeCell ref="AB283:AB284"/>
    <mergeCell ref="AD283:AD284"/>
    <mergeCell ref="AI283:AI284"/>
    <mergeCell ref="AJ283:AJ284"/>
    <mergeCell ref="AL283:AL284"/>
    <mergeCell ref="AL265:AL266"/>
    <mergeCell ref="X241:X242"/>
    <mergeCell ref="Y241:Y242"/>
    <mergeCell ref="AH241:AH242"/>
    <mergeCell ref="AB258:AB261"/>
    <mergeCell ref="AD258:AD261"/>
    <mergeCell ref="AI241:AI242"/>
    <mergeCell ref="AJ241:AJ242"/>
    <mergeCell ref="AL241:AL242"/>
    <mergeCell ref="Z241:Z242"/>
    <mergeCell ref="AG241:AG242"/>
    <mergeCell ref="AI258:AI261"/>
    <mergeCell ref="AJ258:AJ261"/>
    <mergeCell ref="AL258:AL261"/>
    <mergeCell ref="AE241:AE242"/>
    <mergeCell ref="J265:J266"/>
    <mergeCell ref="AB265:AB266"/>
  </mergeCells>
  <phoneticPr fontId="61" type="noConversion"/>
  <dataValidations count="2">
    <dataValidation type="list" allowBlank="1" showInputMessage="1" showErrorMessage="1" sqref="S2:S40 W41 AD285 S42:S288 S290:S816" xr:uid="{7918F2A8-3B0E-441E-AE99-2CC42592AA2B}">
      <formula1>"'-,Consultation,Enumeration,Equipment Rental,Identification,Isolation &amp; Purification,Safe-deposit,Workshop"</formula1>
    </dataValidation>
    <dataValidation type="list" allowBlank="1" showInputMessage="1" showErrorMessage="1" sqref="J1:J222 J225:J262 J306:J1048576" xr:uid="{C66016EE-C956-4529-AA3D-571F5AB560A5}">
      <formula1>"yes, no"</formula1>
    </dataValidation>
  </dataValidations>
  <pageMargins left="0.7" right="0.7" top="0.75" bottom="0.75" header="0.3" footer="0.3"/>
  <pageSetup orientation="portrait" r:id="rId3"/>
  <ignoredErrors>
    <ignoredError sqref="N205 N164 N147 N144 N19 N6 N28 N11" formula="1"/>
    <ignoredError sqref="N16" unlockedFormula="1"/>
  </ignoredErrors>
  <drawing r:id="rId4"/>
  <legacyDrawing r:id="rId5"/>
  <extLst>
    <ext xmlns:x14="http://schemas.microsoft.com/office/spreadsheetml/2009/9/main" uri="{CCE6A557-97BC-4b89-ADB6-D9C93CAAB3DF}">
      <x14:dataValidations xmlns:xm="http://schemas.microsoft.com/office/excel/2006/main" count="1">
        <x14:dataValidation type="list" allowBlank="1" showInputMessage="1" showErrorMessage="1" xr:uid="{46ED74ED-2E23-48B8-A13F-FA03C1CD713D}">
          <x14:formula1>
            <xm:f>'Source Requests'!#REF!</xm:f>
          </x14:formula1>
          <xm:sqref>I1:I40 I306:I1048576 I265:I290 I225:I262 I42:I222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BAD71E-86B1-4F5B-88DF-86DAB8FF360A}">
  <sheetPr codeName="Sheet6">
    <tabColor rgb="FF002060"/>
  </sheetPr>
  <dimension ref="A1:AJ27"/>
  <sheetViews>
    <sheetView zoomScale="80" zoomScaleNormal="80" workbookViewId="0">
      <pane ySplit="1" topLeftCell="A2" activePane="bottomLeft" state="frozen"/>
      <selection pane="bottomLeft" activeCell="D2" sqref="D2"/>
    </sheetView>
  </sheetViews>
  <sheetFormatPr defaultColWidth="9.109375" defaultRowHeight="13.2" x14ac:dyDescent="0.3"/>
  <cols>
    <col min="1" max="1" width="11.44140625" style="5" customWidth="1"/>
    <col min="2" max="2" width="9.88671875" style="9" customWidth="1"/>
    <col min="3" max="3" width="10.88671875" style="3" customWidth="1"/>
    <col min="4" max="4" width="35.6640625" style="3" customWidth="1"/>
    <col min="5" max="5" width="33.88671875" style="3" customWidth="1"/>
    <col min="6" max="6" width="12.33203125" style="3" customWidth="1"/>
    <col min="7" max="8" width="5.6640625" style="3" customWidth="1"/>
    <col min="9" max="9" width="10.109375" style="10" customWidth="1"/>
    <col min="10" max="10" width="15.6640625" style="9" bestFit="1" customWidth="1"/>
    <col min="11" max="11" width="8.109375" style="9" bestFit="1" customWidth="1"/>
    <col min="12" max="12" width="14.5546875" style="9" customWidth="1"/>
    <col min="13" max="13" width="16.5546875" style="9" customWidth="1"/>
    <col min="14" max="14" width="15" style="9" customWidth="1"/>
    <col min="15" max="15" width="14.109375" style="9" customWidth="1"/>
    <col min="16" max="16" width="13.5546875" style="9" customWidth="1"/>
    <col min="17" max="17" width="13.33203125" style="9" customWidth="1"/>
    <col min="18" max="18" width="25.33203125" style="9" customWidth="1"/>
    <col min="19" max="19" width="22" style="6" customWidth="1"/>
    <col min="20" max="20" width="12.44140625" style="182" customWidth="1"/>
    <col min="21" max="24" width="13.6640625" style="183" customWidth="1"/>
    <col min="25" max="25" width="14.33203125" style="10" bestFit="1" customWidth="1"/>
    <col min="26" max="26" width="10.44140625" style="10" customWidth="1"/>
    <col min="27" max="27" width="13.109375" style="10" customWidth="1"/>
    <col min="28" max="28" width="20.6640625" style="3" customWidth="1"/>
    <col min="29" max="29" width="12.44140625" style="3" customWidth="1"/>
    <col min="30" max="30" width="15.6640625" style="5" customWidth="1"/>
    <col min="31" max="31" width="10.88671875" style="10" customWidth="1"/>
    <col min="32" max="32" width="14.44140625" style="10" bestFit="1" customWidth="1"/>
    <col min="33" max="33" width="8.44140625" style="8" customWidth="1"/>
    <col min="34" max="34" width="8.44140625" style="3" customWidth="1"/>
    <col min="35" max="35" width="10.5546875" style="11" customWidth="1"/>
    <col min="36" max="36" width="85.6640625" style="6" customWidth="1"/>
    <col min="37" max="16384" width="9.109375" style="4"/>
  </cols>
  <sheetData>
    <row r="1" spans="1:36" s="3" customFormat="1" ht="51.75" customHeight="1" thickBot="1" x14ac:dyDescent="0.35">
      <c r="A1" s="148" t="s">
        <v>294</v>
      </c>
      <c r="B1" s="149" t="s">
        <v>2252</v>
      </c>
      <c r="C1" s="149" t="s">
        <v>1017</v>
      </c>
      <c r="D1" s="138" t="s">
        <v>2336</v>
      </c>
      <c r="E1" s="141" t="s">
        <v>1974</v>
      </c>
      <c r="F1" s="138" t="s">
        <v>296</v>
      </c>
      <c r="G1" s="138" t="s">
        <v>297</v>
      </c>
      <c r="H1" s="138" t="s">
        <v>2337</v>
      </c>
      <c r="I1" s="138" t="s">
        <v>1968</v>
      </c>
      <c r="J1" s="146" t="s">
        <v>2338</v>
      </c>
      <c r="K1" s="146" t="s">
        <v>298</v>
      </c>
      <c r="L1" s="138" t="s">
        <v>2339</v>
      </c>
      <c r="M1" s="138" t="s">
        <v>2273</v>
      </c>
      <c r="N1" s="138" t="s">
        <v>299</v>
      </c>
      <c r="O1" s="138" t="s">
        <v>2340</v>
      </c>
      <c r="P1" s="138" t="s">
        <v>2341</v>
      </c>
      <c r="Q1" s="138" t="s">
        <v>2276</v>
      </c>
      <c r="R1" s="134" t="s">
        <v>2275</v>
      </c>
      <c r="S1" s="133" t="s">
        <v>2277</v>
      </c>
      <c r="T1" s="179" t="s">
        <v>2279</v>
      </c>
      <c r="U1" s="179" t="s">
        <v>2280</v>
      </c>
      <c r="V1" s="179" t="s">
        <v>2342</v>
      </c>
      <c r="W1" s="179" t="s">
        <v>2343</v>
      </c>
      <c r="X1" s="142" t="s">
        <v>2278</v>
      </c>
      <c r="Y1" s="142" t="s">
        <v>1116</v>
      </c>
      <c r="Z1" s="142" t="s">
        <v>1117</v>
      </c>
      <c r="AA1" s="142" t="s">
        <v>300</v>
      </c>
      <c r="AB1" s="132" t="s">
        <v>2344</v>
      </c>
      <c r="AC1" s="134" t="s">
        <v>2281</v>
      </c>
      <c r="AD1" s="134" t="s">
        <v>301</v>
      </c>
      <c r="AE1" s="180" t="s">
        <v>1118</v>
      </c>
      <c r="AF1" s="181" t="s">
        <v>1119</v>
      </c>
      <c r="AG1" s="143" t="s">
        <v>2345</v>
      </c>
      <c r="AH1" s="143" t="s">
        <v>302</v>
      </c>
      <c r="AI1" s="151" t="s">
        <v>2282</v>
      </c>
      <c r="AJ1" s="144" t="s">
        <v>2346</v>
      </c>
    </row>
    <row r="2" spans="1:36" x14ac:dyDescent="0.3">
      <c r="AC2" s="4"/>
    </row>
    <row r="3" spans="1:36" x14ac:dyDescent="0.3">
      <c r="AC3" s="4"/>
    </row>
    <row r="4" spans="1:36" x14ac:dyDescent="0.3">
      <c r="AC4" s="4"/>
    </row>
    <row r="5" spans="1:36" x14ac:dyDescent="0.3">
      <c r="A5" s="184" t="s">
        <v>2347</v>
      </c>
      <c r="AC5" s="4"/>
    </row>
    <row r="6" spans="1:36" ht="52.8" x14ac:dyDescent="0.3">
      <c r="A6" s="137"/>
      <c r="B6" s="185"/>
      <c r="C6" s="185"/>
      <c r="D6" s="185" t="s">
        <v>2348</v>
      </c>
      <c r="E6" s="186"/>
      <c r="F6" s="186" t="s">
        <v>328</v>
      </c>
      <c r="G6" s="186" t="s">
        <v>332</v>
      </c>
      <c r="H6" s="186" t="s">
        <v>306</v>
      </c>
      <c r="I6" s="16"/>
      <c r="J6" s="187" t="s">
        <v>16</v>
      </c>
      <c r="K6" s="186">
        <v>0</v>
      </c>
      <c r="L6" s="185">
        <v>0</v>
      </c>
      <c r="M6" s="185">
        <v>0</v>
      </c>
      <c r="N6" s="188" t="s">
        <v>16</v>
      </c>
      <c r="O6" s="185">
        <v>0</v>
      </c>
      <c r="P6" s="188" t="s">
        <v>16</v>
      </c>
      <c r="Q6" s="185">
        <v>0</v>
      </c>
      <c r="R6" s="188"/>
      <c r="S6" s="185" t="s">
        <v>2349</v>
      </c>
      <c r="T6" s="156" t="s">
        <v>2350</v>
      </c>
      <c r="U6" s="156">
        <v>735</v>
      </c>
      <c r="V6" s="156" t="s">
        <v>308</v>
      </c>
      <c r="W6" s="156">
        <v>735</v>
      </c>
      <c r="X6" s="156" t="s">
        <v>308</v>
      </c>
      <c r="Y6" s="189" t="s">
        <v>308</v>
      </c>
      <c r="Z6" s="16"/>
      <c r="AA6" s="16"/>
      <c r="AB6" s="190" t="s">
        <v>1299</v>
      </c>
      <c r="AC6" s="190" t="s">
        <v>308</v>
      </c>
      <c r="AD6" s="189" t="s">
        <v>308</v>
      </c>
      <c r="AE6" s="189" t="s">
        <v>308</v>
      </c>
      <c r="AF6" s="189" t="s">
        <v>308</v>
      </c>
      <c r="AG6" s="189" t="s">
        <v>304</v>
      </c>
      <c r="AH6" s="186">
        <v>103194</v>
      </c>
      <c r="AI6" s="16"/>
      <c r="AJ6" s="191" t="s">
        <v>2351</v>
      </c>
    </row>
    <row r="7" spans="1:36" s="10" customFormat="1" ht="118.8" x14ac:dyDescent="0.3">
      <c r="A7" s="137"/>
      <c r="B7" s="185"/>
      <c r="C7" s="185"/>
      <c r="D7" s="185" t="s">
        <v>2352</v>
      </c>
      <c r="E7" s="16"/>
      <c r="F7" s="186" t="s">
        <v>328</v>
      </c>
      <c r="G7" s="186" t="s">
        <v>329</v>
      </c>
      <c r="H7" s="186" t="s">
        <v>306</v>
      </c>
      <c r="I7" s="16"/>
      <c r="J7" s="186">
        <v>0</v>
      </c>
      <c r="K7" s="186">
        <v>0</v>
      </c>
      <c r="L7" s="185">
        <v>0</v>
      </c>
      <c r="M7" s="185">
        <v>0</v>
      </c>
      <c r="N7" s="185">
        <v>0</v>
      </c>
      <c r="O7" s="185">
        <v>0</v>
      </c>
      <c r="P7" s="16">
        <v>0</v>
      </c>
      <c r="Q7" s="16"/>
      <c r="R7" s="16"/>
      <c r="S7" s="185" t="s">
        <v>334</v>
      </c>
      <c r="T7" s="156" t="s">
        <v>2353</v>
      </c>
      <c r="U7" s="156">
        <v>750</v>
      </c>
      <c r="V7" s="156" t="s">
        <v>308</v>
      </c>
      <c r="W7" s="156">
        <v>750</v>
      </c>
      <c r="X7" s="156" t="s">
        <v>308</v>
      </c>
      <c r="Y7" s="189" t="s">
        <v>308</v>
      </c>
      <c r="Z7" s="16"/>
      <c r="AA7" s="16"/>
      <c r="AB7" s="190" t="s">
        <v>1270</v>
      </c>
      <c r="AC7" s="190" t="s">
        <v>308</v>
      </c>
      <c r="AD7" s="189" t="s">
        <v>308</v>
      </c>
      <c r="AE7" s="189" t="s">
        <v>308</v>
      </c>
      <c r="AF7" s="189" t="s">
        <v>308</v>
      </c>
      <c r="AG7" s="189" t="s">
        <v>304</v>
      </c>
      <c r="AH7" s="186">
        <v>103177</v>
      </c>
      <c r="AI7" s="16"/>
      <c r="AJ7" s="191" t="s">
        <v>2354</v>
      </c>
    </row>
    <row r="8" spans="1:36" s="10" customFormat="1" x14ac:dyDescent="0.3">
      <c r="A8" s="5"/>
      <c r="B8" s="9"/>
      <c r="C8" s="3"/>
      <c r="D8" s="9"/>
      <c r="E8" s="3"/>
      <c r="F8" s="3"/>
      <c r="G8" s="3"/>
      <c r="H8" s="3"/>
      <c r="J8" s="9"/>
      <c r="K8" s="9"/>
      <c r="L8" s="9"/>
      <c r="M8" s="9"/>
      <c r="N8" s="9"/>
      <c r="S8" s="9"/>
      <c r="T8" s="155"/>
      <c r="U8" s="155"/>
      <c r="V8" s="155"/>
      <c r="W8" s="182"/>
      <c r="X8" s="182"/>
      <c r="AB8" s="183"/>
      <c r="AC8" s="183"/>
      <c r="AD8" s="183"/>
      <c r="AE8" s="183"/>
      <c r="AF8" s="183"/>
      <c r="AH8" s="3"/>
      <c r="AJ8" s="6"/>
    </row>
    <row r="9" spans="1:36" s="10" customFormat="1" x14ac:dyDescent="0.3">
      <c r="A9" s="184" t="s">
        <v>2355</v>
      </c>
      <c r="B9" s="9"/>
      <c r="C9" s="3"/>
      <c r="D9" s="9"/>
      <c r="E9" s="3"/>
      <c r="F9" s="3"/>
      <c r="G9" s="3"/>
      <c r="H9" s="3"/>
      <c r="J9" s="9"/>
      <c r="K9" s="9"/>
      <c r="L9" s="9"/>
      <c r="M9" s="9"/>
      <c r="N9" s="9"/>
      <c r="S9" s="9"/>
      <c r="T9" s="155"/>
      <c r="U9" s="155"/>
      <c r="V9" s="155"/>
      <c r="W9" s="182"/>
      <c r="X9" s="182"/>
      <c r="AB9" s="183"/>
      <c r="AC9" s="183"/>
      <c r="AD9" s="183"/>
      <c r="AE9" s="183"/>
      <c r="AF9" s="183"/>
      <c r="AH9" s="3"/>
      <c r="AJ9" s="6"/>
    </row>
    <row r="10" spans="1:36" s="10" customFormat="1" ht="92.4" x14ac:dyDescent="0.3">
      <c r="A10" s="137"/>
      <c r="B10" s="185"/>
      <c r="C10" s="16"/>
      <c r="D10" s="192" t="s">
        <v>2356</v>
      </c>
      <c r="E10" s="16"/>
      <c r="F10" s="186" t="s">
        <v>328</v>
      </c>
      <c r="G10" s="186" t="s">
        <v>336</v>
      </c>
      <c r="H10" s="186" t="s">
        <v>304</v>
      </c>
      <c r="I10" s="16"/>
      <c r="J10" s="186">
        <v>31</v>
      </c>
      <c r="K10" s="186">
        <v>10</v>
      </c>
      <c r="L10" s="185">
        <v>750</v>
      </c>
      <c r="M10" s="185">
        <v>0</v>
      </c>
      <c r="N10" s="185">
        <v>0</v>
      </c>
      <c r="O10" s="16"/>
      <c r="P10" s="16"/>
      <c r="Q10" s="16"/>
      <c r="R10" s="16"/>
      <c r="S10" s="185" t="s">
        <v>2357</v>
      </c>
      <c r="T10" s="156" t="s">
        <v>2358</v>
      </c>
      <c r="U10" s="156">
        <v>1030</v>
      </c>
      <c r="V10" s="156" t="s">
        <v>308</v>
      </c>
      <c r="W10" s="156">
        <v>1030</v>
      </c>
      <c r="X10" s="156" t="s">
        <v>304</v>
      </c>
      <c r="Y10" s="189"/>
      <c r="Z10" s="16"/>
      <c r="AA10" s="16"/>
      <c r="AB10" s="190" t="s">
        <v>16</v>
      </c>
      <c r="AC10" s="193">
        <v>43720</v>
      </c>
      <c r="AD10" s="189" t="s">
        <v>2359</v>
      </c>
      <c r="AE10" s="189"/>
      <c r="AF10" s="189"/>
      <c r="AG10" s="189" t="s">
        <v>304</v>
      </c>
      <c r="AH10" s="186">
        <v>103819</v>
      </c>
      <c r="AI10" s="16"/>
      <c r="AJ10" s="191" t="s">
        <v>2360</v>
      </c>
    </row>
    <row r="11" spans="1:36" x14ac:dyDescent="0.3">
      <c r="D11" s="9"/>
      <c r="S11" s="9"/>
      <c r="T11" s="155"/>
      <c r="U11" s="155"/>
      <c r="V11" s="155"/>
      <c r="W11" s="182"/>
      <c r="X11" s="182"/>
      <c r="AB11" s="183"/>
      <c r="AC11" s="183"/>
      <c r="AD11" s="183"/>
      <c r="AE11" s="183"/>
      <c r="AF11" s="183"/>
      <c r="AG11" s="10"/>
      <c r="AI11" s="10"/>
    </row>
    <row r="12" spans="1:36" x14ac:dyDescent="0.3">
      <c r="A12" s="184" t="s">
        <v>2361</v>
      </c>
      <c r="D12" s="9"/>
      <c r="S12" s="9"/>
      <c r="T12" s="155"/>
      <c r="U12" s="155"/>
      <c r="V12" s="155"/>
      <c r="W12" s="182"/>
      <c r="X12" s="182"/>
      <c r="AB12" s="183"/>
      <c r="AC12" s="183"/>
      <c r="AD12" s="183"/>
      <c r="AE12" s="183"/>
      <c r="AF12" s="183"/>
      <c r="AG12" s="10"/>
      <c r="AI12" s="10"/>
    </row>
    <row r="13" spans="1:36" s="10" customFormat="1" ht="79.2" x14ac:dyDescent="0.3">
      <c r="A13" s="137"/>
      <c r="B13" s="185"/>
      <c r="C13" s="186"/>
      <c r="D13" s="192" t="s">
        <v>2362</v>
      </c>
      <c r="E13" s="16"/>
      <c r="F13" s="186" t="s">
        <v>328</v>
      </c>
      <c r="G13" s="186" t="s">
        <v>336</v>
      </c>
      <c r="H13" s="186" t="s">
        <v>306</v>
      </c>
      <c r="I13" s="16"/>
      <c r="J13" s="186">
        <v>0</v>
      </c>
      <c r="K13" s="186">
        <v>0</v>
      </c>
      <c r="L13" s="185">
        <v>0</v>
      </c>
      <c r="M13" s="185">
        <v>0</v>
      </c>
      <c r="N13" s="185">
        <v>0</v>
      </c>
      <c r="O13" s="16"/>
      <c r="P13" s="16"/>
      <c r="Q13" s="16"/>
      <c r="R13" s="16"/>
      <c r="S13" s="185" t="s">
        <v>405</v>
      </c>
      <c r="T13" s="156" t="s">
        <v>2363</v>
      </c>
      <c r="U13" s="156">
        <v>360</v>
      </c>
      <c r="V13" s="156" t="s">
        <v>308</v>
      </c>
      <c r="W13" s="156">
        <v>360</v>
      </c>
      <c r="X13" s="156" t="s">
        <v>308</v>
      </c>
      <c r="Y13" s="189" t="s">
        <v>308</v>
      </c>
      <c r="Z13" s="16"/>
      <c r="AA13" s="16"/>
      <c r="AB13" s="190" t="s">
        <v>16</v>
      </c>
      <c r="AC13" s="190" t="s">
        <v>308</v>
      </c>
      <c r="AD13" s="189" t="s">
        <v>308</v>
      </c>
      <c r="AE13" s="189" t="s">
        <v>308</v>
      </c>
      <c r="AF13" s="189" t="s">
        <v>308</v>
      </c>
      <c r="AG13" s="189" t="s">
        <v>308</v>
      </c>
      <c r="AH13" s="186" t="s">
        <v>308</v>
      </c>
      <c r="AI13" s="16"/>
      <c r="AJ13" s="191" t="s">
        <v>2364</v>
      </c>
    </row>
    <row r="14" spans="1:36" s="10" customFormat="1" x14ac:dyDescent="0.3">
      <c r="A14" s="5"/>
      <c r="B14" s="9"/>
      <c r="C14" s="3"/>
      <c r="D14" s="9"/>
      <c r="E14" s="3"/>
      <c r="F14" s="3"/>
      <c r="G14" s="3"/>
      <c r="H14" s="3"/>
      <c r="J14" s="3"/>
      <c r="K14" s="9"/>
      <c r="L14" s="9"/>
      <c r="M14" s="9"/>
      <c r="N14" s="9"/>
      <c r="S14" s="9"/>
      <c r="T14" s="155"/>
      <c r="U14" s="155"/>
      <c r="V14" s="155"/>
      <c r="W14" s="155"/>
      <c r="X14" s="182"/>
      <c r="Y14" s="183"/>
      <c r="AB14" s="6"/>
      <c r="AC14" s="183"/>
      <c r="AD14" s="183"/>
      <c r="AE14" s="183"/>
      <c r="AF14" s="183"/>
      <c r="AH14" s="3"/>
      <c r="AJ14" s="182"/>
    </row>
    <row r="15" spans="1:36" s="10" customFormat="1" x14ac:dyDescent="0.3">
      <c r="A15" s="194" t="s">
        <v>2365</v>
      </c>
      <c r="B15" s="9"/>
      <c r="C15" s="3"/>
      <c r="D15" s="9"/>
      <c r="E15" s="3"/>
      <c r="F15" s="3"/>
      <c r="G15" s="3"/>
      <c r="H15" s="3"/>
      <c r="J15" s="9"/>
      <c r="K15" s="9"/>
      <c r="L15" s="9"/>
      <c r="M15" s="9"/>
      <c r="N15" s="9"/>
      <c r="S15" s="9"/>
      <c r="T15" s="155"/>
      <c r="U15" s="155"/>
      <c r="V15" s="155"/>
      <c r="W15" s="182"/>
      <c r="X15" s="182"/>
      <c r="AB15" s="183"/>
      <c r="AC15" s="183"/>
      <c r="AD15" s="183"/>
      <c r="AE15" s="183"/>
      <c r="AF15" s="183"/>
      <c r="AH15" s="3"/>
      <c r="AJ15" s="6"/>
    </row>
    <row r="16" spans="1:36" s="10" customFormat="1" ht="39.6" x14ac:dyDescent="0.3">
      <c r="A16" s="195"/>
      <c r="B16" s="195"/>
      <c r="C16" s="195"/>
      <c r="D16" s="196" t="s">
        <v>2366</v>
      </c>
      <c r="E16" s="196"/>
      <c r="F16" s="195"/>
      <c r="G16" s="197"/>
      <c r="H16" s="198"/>
      <c r="I16" s="195"/>
      <c r="J16" s="199"/>
      <c r="K16" s="199"/>
      <c r="L16" s="199"/>
      <c r="M16" s="199"/>
      <c r="N16" s="199"/>
      <c r="O16" s="195"/>
      <c r="P16" s="195"/>
      <c r="Q16" s="195"/>
      <c r="R16" s="195"/>
      <c r="S16" s="199"/>
      <c r="T16" s="200"/>
      <c r="U16" s="200"/>
      <c r="V16" s="200"/>
      <c r="W16" s="201"/>
      <c r="X16" s="201"/>
      <c r="Y16" s="195"/>
      <c r="Z16" s="195"/>
      <c r="AA16" s="195"/>
      <c r="AB16" s="202"/>
      <c r="AC16" s="202"/>
      <c r="AD16" s="202"/>
      <c r="AE16" s="202"/>
      <c r="AF16" s="202"/>
      <c r="AG16" s="195"/>
      <c r="AH16" s="198"/>
      <c r="AI16" s="195"/>
      <c r="AJ16" s="197"/>
    </row>
    <row r="17" spans="1:36" s="10" customFormat="1" ht="26.4" x14ac:dyDescent="0.3">
      <c r="A17" s="195"/>
      <c r="B17" s="195"/>
      <c r="C17" s="195"/>
      <c r="D17" s="196" t="s">
        <v>2367</v>
      </c>
      <c r="E17" s="196"/>
      <c r="F17" s="195"/>
      <c r="G17" s="197"/>
      <c r="H17" s="198"/>
      <c r="I17" s="195"/>
      <c r="J17" s="199"/>
      <c r="K17" s="199"/>
      <c r="L17" s="199"/>
      <c r="M17" s="199"/>
      <c r="N17" s="199"/>
      <c r="O17" s="195"/>
      <c r="P17" s="195"/>
      <c r="Q17" s="195"/>
      <c r="R17" s="195"/>
      <c r="S17" s="199"/>
      <c r="T17" s="200"/>
      <c r="U17" s="200"/>
      <c r="V17" s="200"/>
      <c r="W17" s="201"/>
      <c r="X17" s="201"/>
      <c r="Y17" s="195"/>
      <c r="Z17" s="195"/>
      <c r="AA17" s="195"/>
      <c r="AB17" s="202"/>
      <c r="AC17" s="202"/>
      <c r="AD17" s="202"/>
      <c r="AE17" s="202"/>
      <c r="AF17" s="202"/>
      <c r="AG17" s="195"/>
      <c r="AH17" s="198"/>
      <c r="AI17" s="195"/>
      <c r="AJ17" s="197"/>
    </row>
    <row r="18" spans="1:36" s="10" customFormat="1" ht="26.4" x14ac:dyDescent="0.3">
      <c r="A18" s="195"/>
      <c r="B18" s="195"/>
      <c r="C18" s="195"/>
      <c r="D18" s="196" t="s">
        <v>2368</v>
      </c>
      <c r="E18" s="196"/>
      <c r="F18" s="195"/>
      <c r="G18" s="197"/>
      <c r="H18" s="198"/>
      <c r="I18" s="195"/>
      <c r="J18" s="199"/>
      <c r="K18" s="199"/>
      <c r="L18" s="199"/>
      <c r="M18" s="199"/>
      <c r="N18" s="199"/>
      <c r="O18" s="195"/>
      <c r="P18" s="195"/>
      <c r="Q18" s="195"/>
      <c r="R18" s="195"/>
      <c r="S18" s="199"/>
      <c r="T18" s="200"/>
      <c r="U18" s="200"/>
      <c r="V18" s="200"/>
      <c r="W18" s="201"/>
      <c r="X18" s="201"/>
      <c r="Y18" s="195"/>
      <c r="Z18" s="195"/>
      <c r="AA18" s="195"/>
      <c r="AB18" s="202"/>
      <c r="AC18" s="202"/>
      <c r="AD18" s="202"/>
      <c r="AE18" s="202"/>
      <c r="AF18" s="202"/>
      <c r="AG18" s="195"/>
      <c r="AH18" s="198"/>
      <c r="AI18" s="195"/>
      <c r="AJ18" s="197"/>
    </row>
    <row r="19" spans="1:36" s="10" customFormat="1" ht="26.4" x14ac:dyDescent="0.3">
      <c r="A19" s="195"/>
      <c r="B19" s="195"/>
      <c r="C19" s="195"/>
      <c r="D19" s="196" t="s">
        <v>2369</v>
      </c>
      <c r="E19" s="196"/>
      <c r="F19" s="195"/>
      <c r="G19" s="197"/>
      <c r="H19" s="198"/>
      <c r="I19" s="195"/>
      <c r="J19" s="199"/>
      <c r="K19" s="199"/>
      <c r="L19" s="199"/>
      <c r="M19" s="199"/>
      <c r="N19" s="199"/>
      <c r="O19" s="195"/>
      <c r="P19" s="195"/>
      <c r="Q19" s="195"/>
      <c r="R19" s="195"/>
      <c r="S19" s="199"/>
      <c r="T19" s="200"/>
      <c r="U19" s="200"/>
      <c r="V19" s="200"/>
      <c r="W19" s="201"/>
      <c r="X19" s="201"/>
      <c r="Y19" s="195"/>
      <c r="Z19" s="195"/>
      <c r="AA19" s="195"/>
      <c r="AB19" s="202"/>
      <c r="AC19" s="202"/>
      <c r="AD19" s="202"/>
      <c r="AE19" s="202"/>
      <c r="AF19" s="202"/>
      <c r="AG19" s="195"/>
      <c r="AH19" s="198"/>
      <c r="AI19" s="195"/>
      <c r="AJ19" s="197"/>
    </row>
    <row r="20" spans="1:36" s="10" customFormat="1" x14ac:dyDescent="0.3">
      <c r="A20" s="5"/>
      <c r="B20" s="9"/>
      <c r="D20" s="13"/>
      <c r="F20" s="3"/>
      <c r="G20" s="3"/>
      <c r="H20" s="3"/>
      <c r="J20" s="3"/>
      <c r="K20" s="3"/>
      <c r="L20" s="9"/>
      <c r="M20" s="9"/>
      <c r="N20" s="9"/>
      <c r="S20" s="9"/>
      <c r="T20" s="155"/>
      <c r="U20" s="155"/>
      <c r="V20" s="155"/>
      <c r="W20" s="155"/>
      <c r="X20" s="155"/>
      <c r="Y20" s="183"/>
      <c r="AB20" s="6"/>
      <c r="AC20" s="6"/>
      <c r="AD20" s="183"/>
      <c r="AE20" s="183"/>
      <c r="AF20" s="183"/>
      <c r="AG20" s="183"/>
      <c r="AH20" s="3"/>
      <c r="AJ20" s="203"/>
    </row>
    <row r="21" spans="1:36" s="10" customFormat="1" x14ac:dyDescent="0.3">
      <c r="A21" s="184" t="s">
        <v>2370</v>
      </c>
      <c r="B21" s="9"/>
      <c r="D21" s="13"/>
      <c r="F21" s="3"/>
      <c r="G21" s="3"/>
      <c r="H21" s="3"/>
      <c r="J21" s="3"/>
      <c r="K21" s="3"/>
      <c r="L21" s="9"/>
      <c r="M21" s="9"/>
      <c r="N21" s="9"/>
      <c r="S21" s="9"/>
      <c r="T21" s="155"/>
      <c r="U21" s="155"/>
      <c r="V21" s="155"/>
      <c r="W21" s="155"/>
      <c r="X21" s="155"/>
      <c r="Y21" s="183"/>
      <c r="AB21" s="6"/>
      <c r="AC21" s="6"/>
      <c r="AD21" s="183"/>
      <c r="AE21" s="183"/>
      <c r="AF21" s="183"/>
      <c r="AG21" s="183"/>
      <c r="AH21" s="3"/>
      <c r="AJ21" s="182"/>
    </row>
    <row r="22" spans="1:36" s="10" customFormat="1" x14ac:dyDescent="0.3">
      <c r="A22" s="5"/>
      <c r="B22" s="9"/>
      <c r="D22" s="13"/>
      <c r="F22" s="3"/>
      <c r="G22" s="3"/>
      <c r="H22" s="3"/>
      <c r="J22" s="3"/>
      <c r="K22" s="3"/>
      <c r="L22" s="9"/>
      <c r="M22" s="9"/>
      <c r="N22" s="9"/>
      <c r="S22" s="9"/>
      <c r="T22" s="155"/>
      <c r="U22" s="155"/>
      <c r="V22" s="155"/>
      <c r="W22" s="155"/>
      <c r="X22" s="155"/>
      <c r="Y22" s="183"/>
      <c r="AB22" s="6"/>
      <c r="AC22" s="6"/>
      <c r="AD22" s="183"/>
      <c r="AE22" s="183"/>
      <c r="AG22" s="183"/>
      <c r="AH22" s="3"/>
      <c r="AJ22" s="203"/>
    </row>
    <row r="23" spans="1:36" s="10" customFormat="1" x14ac:dyDescent="0.3">
      <c r="A23" s="184" t="s">
        <v>2371</v>
      </c>
      <c r="B23" s="9"/>
      <c r="D23" s="13"/>
      <c r="F23" s="3"/>
      <c r="G23" s="3"/>
      <c r="H23" s="3"/>
      <c r="J23" s="3"/>
      <c r="K23" s="3"/>
      <c r="L23" s="9"/>
      <c r="M23" s="9"/>
      <c r="N23" s="9"/>
      <c r="S23" s="9"/>
      <c r="T23" s="155"/>
      <c r="U23" s="155"/>
      <c r="V23" s="155"/>
      <c r="W23" s="155"/>
      <c r="X23" s="155"/>
      <c r="Y23" s="183"/>
      <c r="AB23" s="6"/>
      <c r="AC23" s="6"/>
      <c r="AD23" s="183"/>
      <c r="AE23" s="183"/>
      <c r="AG23" s="183"/>
      <c r="AH23" s="3"/>
      <c r="AJ23" s="182"/>
    </row>
    <row r="24" spans="1:36" s="10" customFormat="1" ht="39.6" x14ac:dyDescent="0.3">
      <c r="A24" s="204"/>
      <c r="B24" s="199"/>
      <c r="C24" s="198"/>
      <c r="D24" s="196" t="s">
        <v>2372</v>
      </c>
      <c r="E24" s="195"/>
      <c r="F24" s="195"/>
      <c r="G24" s="198" t="s">
        <v>384</v>
      </c>
      <c r="H24" s="198" t="s">
        <v>347</v>
      </c>
      <c r="I24" s="199" t="s">
        <v>306</v>
      </c>
      <c r="J24" s="198" t="s">
        <v>306</v>
      </c>
      <c r="K24" s="198">
        <v>3</v>
      </c>
      <c r="L24" s="198">
        <v>1</v>
      </c>
      <c r="M24" s="199">
        <v>75</v>
      </c>
      <c r="N24" s="205" t="s">
        <v>16</v>
      </c>
      <c r="O24" s="199">
        <v>0</v>
      </c>
      <c r="P24" s="206" t="s">
        <v>16</v>
      </c>
      <c r="Q24" s="199">
        <v>0</v>
      </c>
      <c r="R24" s="205" t="s">
        <v>16</v>
      </c>
      <c r="S24" s="199" t="s">
        <v>2373</v>
      </c>
      <c r="T24" s="200" t="s">
        <v>385</v>
      </c>
      <c r="U24" s="200">
        <v>260</v>
      </c>
      <c r="V24" s="200">
        <v>5</v>
      </c>
      <c r="W24" s="200">
        <v>265</v>
      </c>
      <c r="X24" s="202"/>
      <c r="Y24" s="195"/>
      <c r="Z24" s="195"/>
      <c r="AA24" s="195"/>
      <c r="AB24" s="196" t="s">
        <v>2374</v>
      </c>
      <c r="AC24" s="197" t="s">
        <v>2375</v>
      </c>
      <c r="AD24" s="207" t="s">
        <v>2376</v>
      </c>
      <c r="AE24" s="195"/>
      <c r="AF24" s="195"/>
      <c r="AG24" s="208" t="s">
        <v>304</v>
      </c>
      <c r="AH24" s="198">
        <v>102999</v>
      </c>
      <c r="AI24" s="195"/>
      <c r="AJ24" s="209" t="s">
        <v>2377</v>
      </c>
    </row>
    <row r="25" spans="1:36" s="10" customFormat="1" ht="39.6" x14ac:dyDescent="0.3">
      <c r="A25" s="204"/>
      <c r="B25" s="199"/>
      <c r="C25" s="198"/>
      <c r="D25" s="196" t="s">
        <v>2378</v>
      </c>
      <c r="E25" s="195"/>
      <c r="F25" s="195"/>
      <c r="G25" s="198" t="s">
        <v>384</v>
      </c>
      <c r="H25" s="198" t="s">
        <v>347</v>
      </c>
      <c r="I25" s="199" t="s">
        <v>304</v>
      </c>
      <c r="J25" s="198" t="s">
        <v>306</v>
      </c>
      <c r="K25" s="198">
        <v>3</v>
      </c>
      <c r="L25" s="198">
        <v>1</v>
      </c>
      <c r="M25" s="199">
        <v>75</v>
      </c>
      <c r="N25" s="205" t="s">
        <v>16</v>
      </c>
      <c r="O25" s="199">
        <v>0</v>
      </c>
      <c r="P25" s="206" t="s">
        <v>16</v>
      </c>
      <c r="Q25" s="199">
        <v>0</v>
      </c>
      <c r="R25" s="205" t="s">
        <v>16</v>
      </c>
      <c r="S25" s="199" t="s">
        <v>2373</v>
      </c>
      <c r="T25" s="200" t="s">
        <v>385</v>
      </c>
      <c r="U25" s="200">
        <v>260</v>
      </c>
      <c r="V25" s="200">
        <v>5</v>
      </c>
      <c r="W25" s="200">
        <v>265</v>
      </c>
      <c r="X25" s="202"/>
      <c r="Y25" s="195"/>
      <c r="Z25" s="195"/>
      <c r="AA25" s="195"/>
      <c r="AB25" s="196" t="s">
        <v>2379</v>
      </c>
      <c r="AC25" s="197" t="s">
        <v>2375</v>
      </c>
      <c r="AD25" s="207" t="s">
        <v>2376</v>
      </c>
      <c r="AE25" s="195"/>
      <c r="AF25" s="195"/>
      <c r="AG25" s="208" t="s">
        <v>304</v>
      </c>
      <c r="AH25" s="198">
        <v>102999</v>
      </c>
      <c r="AI25" s="195"/>
      <c r="AJ25" s="209" t="s">
        <v>2377</v>
      </c>
    </row>
    <row r="26" spans="1:36" s="10" customFormat="1" ht="39.6" x14ac:dyDescent="0.3">
      <c r="A26" s="204"/>
      <c r="B26" s="199"/>
      <c r="C26" s="198"/>
      <c r="D26" s="196" t="s">
        <v>2380</v>
      </c>
      <c r="E26" s="195"/>
      <c r="F26" s="195"/>
      <c r="G26" s="198" t="s">
        <v>384</v>
      </c>
      <c r="H26" s="198" t="s">
        <v>347</v>
      </c>
      <c r="I26" s="199" t="s">
        <v>306</v>
      </c>
      <c r="J26" s="198" t="s">
        <v>306</v>
      </c>
      <c r="K26" s="198">
        <v>1</v>
      </c>
      <c r="L26" s="198">
        <v>1</v>
      </c>
      <c r="M26" s="199">
        <v>25</v>
      </c>
      <c r="N26" s="205" t="s">
        <v>16</v>
      </c>
      <c r="O26" s="199">
        <v>0</v>
      </c>
      <c r="P26" s="206" t="s">
        <v>16</v>
      </c>
      <c r="Q26" s="199">
        <v>0</v>
      </c>
      <c r="R26" s="205" t="s">
        <v>16</v>
      </c>
      <c r="S26" s="199" t="s">
        <v>2381</v>
      </c>
      <c r="T26" s="200" t="s">
        <v>2382</v>
      </c>
      <c r="U26" s="200">
        <v>180</v>
      </c>
      <c r="V26" s="200">
        <v>85</v>
      </c>
      <c r="W26" s="200">
        <v>265</v>
      </c>
      <c r="X26" s="202"/>
      <c r="Y26" s="195"/>
      <c r="Z26" s="195"/>
      <c r="AA26" s="195"/>
      <c r="AB26" s="197" t="s">
        <v>2383</v>
      </c>
      <c r="AC26" s="197" t="s">
        <v>2384</v>
      </c>
      <c r="AD26" s="207" t="s">
        <v>2376</v>
      </c>
      <c r="AE26" s="195"/>
      <c r="AF26" s="195"/>
      <c r="AG26" s="208" t="s">
        <v>304</v>
      </c>
      <c r="AH26" s="198">
        <v>104015</v>
      </c>
      <c r="AI26" s="195"/>
      <c r="AJ26" s="209" t="s">
        <v>2385</v>
      </c>
    </row>
    <row r="27" spans="1:36" s="10" customFormat="1" ht="39.6" x14ac:dyDescent="0.3">
      <c r="A27" s="204"/>
      <c r="B27" s="199"/>
      <c r="C27" s="198"/>
      <c r="D27" s="196" t="s">
        <v>2386</v>
      </c>
      <c r="E27" s="195"/>
      <c r="F27" s="195"/>
      <c r="G27" s="198" t="s">
        <v>384</v>
      </c>
      <c r="H27" s="198" t="s">
        <v>347</v>
      </c>
      <c r="I27" s="199" t="s">
        <v>306</v>
      </c>
      <c r="J27" s="198" t="s">
        <v>304</v>
      </c>
      <c r="K27" s="198">
        <v>1</v>
      </c>
      <c r="L27" s="198">
        <v>1</v>
      </c>
      <c r="M27" s="199">
        <v>15</v>
      </c>
      <c r="N27" s="205" t="s">
        <v>16</v>
      </c>
      <c r="O27" s="199">
        <v>0</v>
      </c>
      <c r="P27" s="206" t="s">
        <v>16</v>
      </c>
      <c r="Q27" s="199">
        <v>0</v>
      </c>
      <c r="R27" s="205" t="s">
        <v>16</v>
      </c>
      <c r="S27" s="199" t="s">
        <v>2387</v>
      </c>
      <c r="T27" s="200" t="s">
        <v>2382</v>
      </c>
      <c r="U27" s="200">
        <v>180</v>
      </c>
      <c r="V27" s="200"/>
      <c r="W27" s="200">
        <v>180</v>
      </c>
      <c r="X27" s="202"/>
      <c r="Y27" s="195"/>
      <c r="Z27" s="195"/>
      <c r="AA27" s="195"/>
      <c r="AB27" s="197" t="s">
        <v>2388</v>
      </c>
      <c r="AC27" s="197" t="s">
        <v>2389</v>
      </c>
      <c r="AD27" s="207" t="s">
        <v>2376</v>
      </c>
      <c r="AE27" s="195"/>
      <c r="AF27" s="195"/>
      <c r="AG27" s="208" t="s">
        <v>304</v>
      </c>
      <c r="AH27" s="198">
        <v>106746</v>
      </c>
      <c r="AI27" s="195"/>
      <c r="AJ27" s="209" t="s">
        <v>880</v>
      </c>
    </row>
  </sheetData>
  <customSheetViews>
    <customSheetView guid="{5F8FD084-40FB-49AA-B447-CD935F604D55}" scale="80">
      <pane ySplit="1" topLeftCell="A7" activePane="bottomLeft" state="frozen"/>
      <selection pane="bottomLeft" activeCell="D2" sqref="D2"/>
      <pageMargins left="0.7" right="0.7" top="0.75" bottom="0.75" header="0.3" footer="0.3"/>
      <pageSetup orientation="portrait" r:id="rId1"/>
    </customSheetView>
    <customSheetView guid="{5FD7D287-AC38-49FE-8AA5-C4506E353DCC}" scale="80" showPageBreaks="1">
      <pane ySplit="1" topLeftCell="A7" activePane="bottomLeft" state="frozen"/>
      <selection pane="bottomLeft" activeCell="D2" sqref="D2"/>
      <pageMargins left="0.7" right="0.7" top="0.75" bottom="0.75" header="0.3" footer="0.3"/>
      <pageSetup orientation="portrait" r:id="rId2"/>
    </customSheetView>
  </customSheetViews>
  <dataValidations count="1">
    <dataValidation type="list" allowBlank="1" showInputMessage="1" showErrorMessage="1" sqref="R28:R515 W14 X13 V11:V12 X6:X10 X20:X23 V8:V9 V15:V19 I24:I27 R2:R5" xr:uid="{B8190B71-D1D1-4AC1-826D-4B57C10B634F}">
      <formula1>"'-,Consultation,Enumeration,Equipment Rental,Identification,Isolation &amp; Purification,Safe-deposit,Workshop"</formula1>
    </dataValidation>
  </dataValidations>
  <pageMargins left="0.7" right="0.7" top="0.75" bottom="0.75" header="0.3" footer="0.3"/>
  <pageSetup orientation="portrait" r:id="rId3"/>
  <legacyDrawing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701D8-A3A3-44E5-B839-8918818AF88E}">
  <sheetPr codeName="Sheet5">
    <tabColor theme="4" tint="-0.499984740745262"/>
  </sheetPr>
  <dimension ref="A1:U220"/>
  <sheetViews>
    <sheetView zoomScaleNormal="100" workbookViewId="0">
      <pane ySplit="1" topLeftCell="A220" activePane="bottomLeft" state="frozen"/>
      <selection activeCell="O1" sqref="O1"/>
      <selection pane="bottomLeft" activeCell="B220" sqref="B220"/>
    </sheetView>
  </sheetViews>
  <sheetFormatPr defaultColWidth="9.109375" defaultRowHeight="13.2" zeroHeight="1" x14ac:dyDescent="0.3"/>
  <cols>
    <col min="1" max="1" width="11.5546875" style="212" customWidth="1"/>
    <col min="2" max="2" width="36.6640625" style="211" customWidth="1"/>
    <col min="3" max="3" width="15.88671875" style="211" customWidth="1"/>
    <col min="4" max="4" width="22.44140625" style="211" customWidth="1"/>
    <col min="5" max="5" width="52.109375" style="211" customWidth="1"/>
    <col min="6" max="6" width="31.33203125" style="211" customWidth="1"/>
    <col min="7" max="7" width="40" style="214" customWidth="1"/>
    <col min="8" max="9" width="35" style="214" customWidth="1"/>
    <col min="10" max="10" width="20.44140625" style="214" customWidth="1"/>
    <col min="11" max="11" width="25.109375" style="214" customWidth="1"/>
    <col min="12" max="12" width="19" style="214" customWidth="1"/>
    <col min="13" max="13" width="17" style="211" customWidth="1"/>
    <col min="14" max="14" width="22.88671875" style="211" customWidth="1"/>
    <col min="15" max="15" width="18.109375" style="211" customWidth="1"/>
    <col min="16" max="16" width="36.6640625" style="211" customWidth="1"/>
    <col min="17" max="17" width="94.6640625" style="214" customWidth="1"/>
    <col min="18" max="18" width="6.44140625" style="211" customWidth="1"/>
    <col min="19" max="19" width="107.6640625" style="211" customWidth="1"/>
    <col min="20" max="20" width="78.44140625" style="211" customWidth="1"/>
    <col min="21" max="21" width="11.6640625" style="212" customWidth="1"/>
    <col min="22" max="16384" width="9.109375" style="210"/>
  </cols>
  <sheetData>
    <row r="1" spans="1:21" ht="68.400000000000006" customHeight="1" x14ac:dyDescent="0.3">
      <c r="A1" s="693" t="s">
        <v>1017</v>
      </c>
      <c r="B1" s="400" t="s">
        <v>1326</v>
      </c>
      <c r="C1" s="400" t="s">
        <v>1327</v>
      </c>
      <c r="D1" s="400" t="s">
        <v>1328</v>
      </c>
      <c r="E1" s="400" t="s">
        <v>1985</v>
      </c>
      <c r="F1" s="400" t="s">
        <v>1329</v>
      </c>
      <c r="G1" s="400" t="s">
        <v>1330</v>
      </c>
      <c r="H1" s="400" t="s">
        <v>1331</v>
      </c>
      <c r="I1" s="400" t="s">
        <v>1332</v>
      </c>
      <c r="J1" s="400" t="s">
        <v>1333</v>
      </c>
      <c r="K1" s="400" t="s">
        <v>1334</v>
      </c>
      <c r="L1" s="400" t="s">
        <v>1335</v>
      </c>
      <c r="M1" s="400" t="s">
        <v>1336</v>
      </c>
      <c r="N1" s="400" t="s">
        <v>1337</v>
      </c>
      <c r="O1" s="400" t="s">
        <v>430</v>
      </c>
      <c r="P1" s="400" t="s">
        <v>1338</v>
      </c>
      <c r="Q1" s="400" t="s">
        <v>1339</v>
      </c>
      <c r="R1" s="400" t="s">
        <v>1986</v>
      </c>
      <c r="S1" s="400" t="s">
        <v>431</v>
      </c>
      <c r="T1" s="400" t="s">
        <v>1340</v>
      </c>
      <c r="U1" s="401" t="s">
        <v>1341</v>
      </c>
    </row>
    <row r="2" spans="1:21" ht="120" customHeight="1" x14ac:dyDescent="0.3">
      <c r="A2" s="347" t="s">
        <v>1045</v>
      </c>
      <c r="B2" s="402" t="s">
        <v>439</v>
      </c>
      <c r="C2" s="402" t="s">
        <v>435</v>
      </c>
      <c r="D2" s="25" t="s">
        <v>4096</v>
      </c>
      <c r="E2" s="402" t="s">
        <v>1816</v>
      </c>
      <c r="F2" s="402" t="s">
        <v>1817</v>
      </c>
      <c r="G2" s="402" t="s">
        <v>440</v>
      </c>
      <c r="H2" s="403" t="s">
        <v>16</v>
      </c>
      <c r="I2" s="403" t="s">
        <v>16</v>
      </c>
      <c r="J2" s="402" t="s">
        <v>375</v>
      </c>
      <c r="K2" s="402" t="s">
        <v>433</v>
      </c>
      <c r="L2" s="402" t="s">
        <v>441</v>
      </c>
      <c r="M2" s="402" t="s">
        <v>328</v>
      </c>
      <c r="N2" s="402" t="s">
        <v>442</v>
      </c>
      <c r="O2" s="402" t="s">
        <v>443</v>
      </c>
      <c r="P2" s="25" t="s">
        <v>4097</v>
      </c>
      <c r="Q2" s="441" t="s">
        <v>4098</v>
      </c>
      <c r="R2" s="402" t="s">
        <v>332</v>
      </c>
      <c r="S2" s="402" t="s">
        <v>4099</v>
      </c>
      <c r="T2" s="405" t="s">
        <v>4100</v>
      </c>
      <c r="U2" s="406">
        <v>102886</v>
      </c>
    </row>
    <row r="3" spans="1:21" ht="66" x14ac:dyDescent="0.3">
      <c r="A3" s="41" t="s">
        <v>2272</v>
      </c>
      <c r="B3" s="24" t="s">
        <v>1681</v>
      </c>
      <c r="C3" s="24" t="s">
        <v>1682</v>
      </c>
      <c r="D3" s="24" t="s">
        <v>2071</v>
      </c>
      <c r="E3" s="24" t="s">
        <v>1683</v>
      </c>
      <c r="F3" s="24" t="s">
        <v>1684</v>
      </c>
      <c r="G3" s="24" t="s">
        <v>1685</v>
      </c>
      <c r="H3" s="407" t="s">
        <v>16</v>
      </c>
      <c r="I3" s="407" t="s">
        <v>16</v>
      </c>
      <c r="J3" s="24" t="s">
        <v>432</v>
      </c>
      <c r="K3" s="24" t="s">
        <v>433</v>
      </c>
      <c r="L3" s="24" t="s">
        <v>1686</v>
      </c>
      <c r="M3" s="24" t="s">
        <v>328</v>
      </c>
      <c r="N3" s="24" t="s">
        <v>1687</v>
      </c>
      <c r="O3" s="382"/>
      <c r="P3" s="24" t="s">
        <v>1688</v>
      </c>
      <c r="Q3" s="404" t="s">
        <v>2072</v>
      </c>
      <c r="R3" s="24" t="s">
        <v>336</v>
      </c>
      <c r="S3" s="24" t="s">
        <v>1689</v>
      </c>
      <c r="T3" s="42" t="s">
        <v>1690</v>
      </c>
      <c r="U3" s="47">
        <v>111261</v>
      </c>
    </row>
    <row r="4" spans="1:21" ht="39.6" x14ac:dyDescent="0.3">
      <c r="A4" s="28" t="s">
        <v>434</v>
      </c>
      <c r="B4" s="24" t="s">
        <v>1491</v>
      </c>
      <c r="C4" s="24" t="s">
        <v>1492</v>
      </c>
      <c r="D4" s="24" t="s">
        <v>2073</v>
      </c>
      <c r="E4" s="24" t="s">
        <v>460</v>
      </c>
      <c r="F4" s="24" t="s">
        <v>461</v>
      </c>
      <c r="G4" s="24" t="s">
        <v>462</v>
      </c>
      <c r="H4" s="24" t="s">
        <v>1661</v>
      </c>
      <c r="I4" s="407" t="s">
        <v>16</v>
      </c>
      <c r="J4" s="407" t="s">
        <v>317</v>
      </c>
      <c r="K4" s="24" t="s">
        <v>433</v>
      </c>
      <c r="L4" s="24" t="s">
        <v>463</v>
      </c>
      <c r="M4" s="24" t="s">
        <v>328</v>
      </c>
      <c r="N4" s="24" t="s">
        <v>1493</v>
      </c>
      <c r="O4" s="382"/>
      <c r="P4" s="24" t="s">
        <v>1494</v>
      </c>
      <c r="Q4" s="404" t="s">
        <v>2075</v>
      </c>
      <c r="R4" s="24" t="s">
        <v>336</v>
      </c>
      <c r="S4" s="24" t="s">
        <v>2074</v>
      </c>
      <c r="T4" s="42" t="s">
        <v>1495</v>
      </c>
      <c r="U4" s="47">
        <v>110959</v>
      </c>
    </row>
    <row r="5" spans="1:21" s="25" customFormat="1" ht="26.4" x14ac:dyDescent="0.3">
      <c r="A5" s="41" t="s">
        <v>3840</v>
      </c>
      <c r="B5" s="25" t="s">
        <v>3913</v>
      </c>
      <c r="C5" s="25" t="s">
        <v>3914</v>
      </c>
      <c r="D5" s="25" t="s">
        <v>3915</v>
      </c>
      <c r="E5" s="25" t="s">
        <v>3916</v>
      </c>
      <c r="F5" s="25" t="s">
        <v>3917</v>
      </c>
      <c r="G5" s="25" t="s">
        <v>3918</v>
      </c>
      <c r="H5" s="25" t="s">
        <v>3919</v>
      </c>
      <c r="I5" s="433" t="s">
        <v>16</v>
      </c>
      <c r="J5" s="433" t="s">
        <v>3920</v>
      </c>
      <c r="K5" s="25" t="s">
        <v>455</v>
      </c>
      <c r="L5" s="24" t="s">
        <v>3921</v>
      </c>
      <c r="M5" s="25" t="s">
        <v>328</v>
      </c>
      <c r="N5" s="25" t="s">
        <v>3922</v>
      </c>
      <c r="O5" s="434"/>
      <c r="P5" s="25" t="s">
        <v>3923</v>
      </c>
      <c r="Q5" s="640" t="s">
        <v>3924</v>
      </c>
      <c r="R5" s="25" t="s">
        <v>329</v>
      </c>
      <c r="S5" s="618" t="s">
        <v>3925</v>
      </c>
      <c r="T5" s="42" t="s">
        <v>3845</v>
      </c>
      <c r="U5" s="47" t="s">
        <v>3844</v>
      </c>
    </row>
    <row r="6" spans="1:21" s="25" customFormat="1" ht="52.8" x14ac:dyDescent="0.3">
      <c r="A6" s="28" t="s">
        <v>434</v>
      </c>
      <c r="B6" s="25" t="s">
        <v>3793</v>
      </c>
      <c r="C6" s="25" t="s">
        <v>4101</v>
      </c>
      <c r="D6" s="25" t="s">
        <v>4102</v>
      </c>
      <c r="E6" s="25" t="s">
        <v>1804</v>
      </c>
      <c r="F6" s="25" t="s">
        <v>1805</v>
      </c>
      <c r="G6" s="25" t="s">
        <v>621</v>
      </c>
      <c r="H6" s="433" t="s">
        <v>16</v>
      </c>
      <c r="I6" s="433" t="s">
        <v>16</v>
      </c>
      <c r="J6" s="25" t="s">
        <v>305</v>
      </c>
      <c r="K6" s="25" t="s">
        <v>495</v>
      </c>
      <c r="L6" s="24" t="s">
        <v>622</v>
      </c>
      <c r="M6" s="25" t="s">
        <v>328</v>
      </c>
      <c r="N6" s="25" t="s">
        <v>4103</v>
      </c>
      <c r="O6" s="434"/>
      <c r="P6" s="25" t="s">
        <v>4104</v>
      </c>
      <c r="Q6" s="441" t="s">
        <v>4105</v>
      </c>
      <c r="R6" s="25" t="s">
        <v>332</v>
      </c>
      <c r="S6" s="25" t="s">
        <v>1815</v>
      </c>
      <c r="T6" s="33" t="s">
        <v>1795</v>
      </c>
      <c r="U6" s="47">
        <v>103485</v>
      </c>
    </row>
    <row r="7" spans="1:21" ht="66" x14ac:dyDescent="0.3">
      <c r="A7" s="28" t="s">
        <v>434</v>
      </c>
      <c r="B7" s="24" t="s">
        <v>2390</v>
      </c>
      <c r="C7" s="24" t="s">
        <v>459</v>
      </c>
      <c r="D7" s="24" t="s">
        <v>2076</v>
      </c>
      <c r="E7" s="24" t="s">
        <v>1692</v>
      </c>
      <c r="F7" s="24" t="s">
        <v>1684</v>
      </c>
      <c r="G7" s="24" t="s">
        <v>1685</v>
      </c>
      <c r="H7" s="407" t="s">
        <v>16</v>
      </c>
      <c r="I7" s="407" t="s">
        <v>16</v>
      </c>
      <c r="J7" s="24" t="s">
        <v>432</v>
      </c>
      <c r="K7" s="24" t="s">
        <v>433</v>
      </c>
      <c r="L7" s="24" t="s">
        <v>1686</v>
      </c>
      <c r="M7" s="24" t="s">
        <v>328</v>
      </c>
      <c r="N7" s="24" t="s">
        <v>1693</v>
      </c>
      <c r="O7" s="382"/>
      <c r="P7" s="24" t="s">
        <v>1694</v>
      </c>
      <c r="Q7" s="404" t="s">
        <v>2072</v>
      </c>
      <c r="R7" s="24" t="s">
        <v>336</v>
      </c>
      <c r="S7" s="24" t="s">
        <v>1689</v>
      </c>
      <c r="T7" s="42" t="s">
        <v>1690</v>
      </c>
      <c r="U7" s="47">
        <v>111261</v>
      </c>
    </row>
    <row r="8" spans="1:21" s="25" customFormat="1" ht="79.2" x14ac:dyDescent="0.3">
      <c r="A8" s="41" t="s">
        <v>2391</v>
      </c>
      <c r="B8" s="24" t="s">
        <v>2077</v>
      </c>
      <c r="C8" s="25" t="s">
        <v>1916</v>
      </c>
      <c r="D8" s="25" t="s">
        <v>2078</v>
      </c>
      <c r="E8" s="25" t="s">
        <v>964</v>
      </c>
      <c r="F8" s="25" t="s">
        <v>1905</v>
      </c>
      <c r="G8" s="25" t="s">
        <v>1917</v>
      </c>
      <c r="H8" s="25" t="s">
        <v>1918</v>
      </c>
      <c r="I8" s="433" t="s">
        <v>1919</v>
      </c>
      <c r="J8" s="25" t="s">
        <v>3958</v>
      </c>
      <c r="K8" s="25" t="s">
        <v>455</v>
      </c>
      <c r="L8" s="24" t="s">
        <v>1909</v>
      </c>
      <c r="M8" s="25" t="s">
        <v>328</v>
      </c>
      <c r="N8" s="433" t="s">
        <v>1920</v>
      </c>
      <c r="O8" s="434"/>
      <c r="P8" s="25" t="s">
        <v>1921</v>
      </c>
      <c r="Q8" s="435" t="s">
        <v>4032</v>
      </c>
      <c r="R8" s="25" t="s">
        <v>336</v>
      </c>
      <c r="S8" s="24" t="s">
        <v>4033</v>
      </c>
      <c r="T8" s="33" t="s">
        <v>4034</v>
      </c>
      <c r="U8" s="47" t="s">
        <v>4035</v>
      </c>
    </row>
    <row r="9" spans="1:21" ht="66" x14ac:dyDescent="0.3">
      <c r="A9" s="28" t="s">
        <v>434</v>
      </c>
      <c r="B9" s="24" t="s">
        <v>1362</v>
      </c>
      <c r="C9" s="24" t="s">
        <v>1363</v>
      </c>
      <c r="D9" s="24" t="s">
        <v>2079</v>
      </c>
      <c r="E9" s="24" t="s">
        <v>1364</v>
      </c>
      <c r="F9" s="24" t="s">
        <v>1365</v>
      </c>
      <c r="G9" s="24" t="s">
        <v>1366</v>
      </c>
      <c r="H9" s="407" t="s">
        <v>16</v>
      </c>
      <c r="I9" s="407" t="s">
        <v>16</v>
      </c>
      <c r="J9" s="24" t="s">
        <v>326</v>
      </c>
      <c r="K9" s="24" t="s">
        <v>433</v>
      </c>
      <c r="L9" s="24" t="s">
        <v>1367</v>
      </c>
      <c r="M9" s="24" t="s">
        <v>328</v>
      </c>
      <c r="N9" s="24" t="s">
        <v>1368</v>
      </c>
      <c r="O9" s="382"/>
      <c r="P9" s="24" t="s">
        <v>1369</v>
      </c>
      <c r="Q9" s="404" t="s">
        <v>2080</v>
      </c>
      <c r="R9" s="24" t="s">
        <v>336</v>
      </c>
      <c r="S9" s="24" t="s">
        <v>1370</v>
      </c>
      <c r="T9" s="42" t="s">
        <v>1371</v>
      </c>
      <c r="U9" s="47">
        <v>111255</v>
      </c>
    </row>
    <row r="10" spans="1:21" ht="52.8" x14ac:dyDescent="0.3">
      <c r="A10" s="41" t="s">
        <v>2392</v>
      </c>
      <c r="B10" s="24" t="s">
        <v>1446</v>
      </c>
      <c r="C10" s="24" t="s">
        <v>961</v>
      </c>
      <c r="D10" s="24" t="s">
        <v>2393</v>
      </c>
      <c r="E10" s="24" t="s">
        <v>1447</v>
      </c>
      <c r="F10" s="407" t="s">
        <v>1448</v>
      </c>
      <c r="G10" s="407" t="s">
        <v>1449</v>
      </c>
      <c r="H10" s="407" t="s">
        <v>1450</v>
      </c>
      <c r="I10" s="407" t="s">
        <v>16</v>
      </c>
      <c r="J10" s="407" t="s">
        <v>1451</v>
      </c>
      <c r="K10" s="407" t="s">
        <v>495</v>
      </c>
      <c r="L10" s="407" t="s">
        <v>1452</v>
      </c>
      <c r="M10" s="407" t="s">
        <v>328</v>
      </c>
      <c r="N10" s="24" t="s">
        <v>1453</v>
      </c>
      <c r="O10" s="382" t="s">
        <v>963</v>
      </c>
      <c r="P10" s="24" t="s">
        <v>1454</v>
      </c>
      <c r="Q10" s="410" t="s">
        <v>2081</v>
      </c>
      <c r="R10" s="24" t="s">
        <v>329</v>
      </c>
      <c r="S10" s="24" t="s">
        <v>1455</v>
      </c>
      <c r="T10" s="42" t="s">
        <v>1456</v>
      </c>
      <c r="U10" s="411">
        <v>110878</v>
      </c>
    </row>
    <row r="11" spans="1:21" ht="39.6" x14ac:dyDescent="0.3">
      <c r="A11" s="41" t="s">
        <v>2394</v>
      </c>
      <c r="B11" s="24" t="s">
        <v>470</v>
      </c>
      <c r="C11" s="24" t="s">
        <v>471</v>
      </c>
      <c r="D11" s="24" t="s">
        <v>2430</v>
      </c>
      <c r="E11" s="24" t="s">
        <v>444</v>
      </c>
      <c r="F11" s="24" t="s">
        <v>2395</v>
      </c>
      <c r="G11" s="24" t="s">
        <v>445</v>
      </c>
      <c r="H11" s="24" t="s">
        <v>1702</v>
      </c>
      <c r="I11" s="24" t="s">
        <v>1703</v>
      </c>
      <c r="J11" s="24" t="s">
        <v>363</v>
      </c>
      <c r="K11" s="24" t="s">
        <v>433</v>
      </c>
      <c r="L11" s="24" t="s">
        <v>446</v>
      </c>
      <c r="M11" s="24" t="s">
        <v>328</v>
      </c>
      <c r="N11" s="24" t="s">
        <v>472</v>
      </c>
      <c r="O11" s="412"/>
      <c r="P11" s="24" t="s">
        <v>473</v>
      </c>
      <c r="Q11" s="404" t="s">
        <v>2082</v>
      </c>
      <c r="R11" s="24" t="s">
        <v>336</v>
      </c>
      <c r="S11" s="24" t="s">
        <v>4106</v>
      </c>
      <c r="T11" s="42" t="s">
        <v>447</v>
      </c>
      <c r="U11" s="47">
        <v>103838</v>
      </c>
    </row>
    <row r="12" spans="1:21" ht="66" x14ac:dyDescent="0.3">
      <c r="A12" s="41" t="s">
        <v>2396</v>
      </c>
      <c r="B12" s="24" t="s">
        <v>496</v>
      </c>
      <c r="C12" s="24" t="s">
        <v>497</v>
      </c>
      <c r="D12" s="24" t="s">
        <v>2430</v>
      </c>
      <c r="E12" s="24" t="s">
        <v>488</v>
      </c>
      <c r="F12" s="24" t="s">
        <v>489</v>
      </c>
      <c r="G12" s="24" t="s">
        <v>490</v>
      </c>
      <c r="H12" s="24" t="s">
        <v>1557</v>
      </c>
      <c r="I12" s="24" t="s">
        <v>1558</v>
      </c>
      <c r="J12" s="24" t="s">
        <v>325</v>
      </c>
      <c r="K12" s="24" t="s">
        <v>433</v>
      </c>
      <c r="L12" s="24" t="s">
        <v>491</v>
      </c>
      <c r="M12" s="24" t="s">
        <v>328</v>
      </c>
      <c r="N12" s="24" t="s">
        <v>498</v>
      </c>
      <c r="O12" s="413"/>
      <c r="P12" s="24" t="s">
        <v>499</v>
      </c>
      <c r="Q12" s="404" t="s">
        <v>2084</v>
      </c>
      <c r="R12" s="24" t="s">
        <v>336</v>
      </c>
      <c r="S12" s="24" t="s">
        <v>500</v>
      </c>
      <c r="T12" s="42" t="s">
        <v>501</v>
      </c>
      <c r="U12" s="47">
        <v>103833</v>
      </c>
    </row>
    <row r="13" spans="1:21" ht="39.6" x14ac:dyDescent="0.3">
      <c r="A13" s="347" t="s">
        <v>1051</v>
      </c>
      <c r="B13" s="402" t="s">
        <v>506</v>
      </c>
      <c r="C13" s="402" t="s">
        <v>507</v>
      </c>
      <c r="D13" s="24" t="s">
        <v>2430</v>
      </c>
      <c r="E13" s="402" t="s">
        <v>451</v>
      </c>
      <c r="F13" s="402" t="s">
        <v>452</v>
      </c>
      <c r="G13" s="402" t="s">
        <v>1931</v>
      </c>
      <c r="H13" s="402" t="s">
        <v>1932</v>
      </c>
      <c r="I13" s="402" t="s">
        <v>1933</v>
      </c>
      <c r="J13" s="402" t="s">
        <v>368</v>
      </c>
      <c r="K13" s="402" t="s">
        <v>433</v>
      </c>
      <c r="L13" s="402" t="s">
        <v>508</v>
      </c>
      <c r="M13" s="402" t="s">
        <v>328</v>
      </c>
      <c r="N13" s="402" t="s">
        <v>509</v>
      </c>
      <c r="O13" s="414"/>
      <c r="P13" s="402" t="s">
        <v>510</v>
      </c>
      <c r="Q13" s="404" t="s">
        <v>2043</v>
      </c>
      <c r="R13" s="402" t="s">
        <v>336</v>
      </c>
      <c r="S13" s="402" t="s">
        <v>511</v>
      </c>
      <c r="T13" s="415" t="s">
        <v>453</v>
      </c>
      <c r="U13" s="416">
        <v>103794</v>
      </c>
    </row>
    <row r="14" spans="1:21" ht="52.8" x14ac:dyDescent="0.3">
      <c r="A14" s="347" t="s">
        <v>1027</v>
      </c>
      <c r="B14" s="402" t="s">
        <v>512</v>
      </c>
      <c r="C14" s="402" t="s">
        <v>513</v>
      </c>
      <c r="D14" s="402" t="s">
        <v>4107</v>
      </c>
      <c r="E14" s="402" t="s">
        <v>514</v>
      </c>
      <c r="F14" s="402" t="s">
        <v>515</v>
      </c>
      <c r="G14" s="402" t="s">
        <v>516</v>
      </c>
      <c r="H14" s="402" t="s">
        <v>517</v>
      </c>
      <c r="I14" s="403" t="s">
        <v>16</v>
      </c>
      <c r="J14" s="402" t="s">
        <v>358</v>
      </c>
      <c r="K14" s="402" t="s">
        <v>455</v>
      </c>
      <c r="L14" s="402" t="s">
        <v>518</v>
      </c>
      <c r="M14" s="402" t="s">
        <v>328</v>
      </c>
      <c r="N14" s="402" t="s">
        <v>519</v>
      </c>
      <c r="O14" s="417"/>
      <c r="P14" s="402" t="s">
        <v>520</v>
      </c>
      <c r="Q14" s="404" t="s">
        <v>2009</v>
      </c>
      <c r="R14" s="402" t="s">
        <v>336</v>
      </c>
      <c r="S14" s="402" t="s">
        <v>521</v>
      </c>
      <c r="T14" s="405" t="s">
        <v>359</v>
      </c>
      <c r="U14" s="416">
        <v>107453</v>
      </c>
    </row>
    <row r="15" spans="1:21" ht="52.8" x14ac:dyDescent="0.3">
      <c r="A15" s="41" t="s">
        <v>2258</v>
      </c>
      <c r="B15" s="24" t="s">
        <v>1945</v>
      </c>
      <c r="C15" s="24" t="s">
        <v>522</v>
      </c>
      <c r="D15" s="24" t="s">
        <v>2397</v>
      </c>
      <c r="E15" s="24" t="s">
        <v>615</v>
      </c>
      <c r="F15" s="24" t="s">
        <v>1946</v>
      </c>
      <c r="G15" s="24" t="s">
        <v>1947</v>
      </c>
      <c r="H15" s="24" t="s">
        <v>1948</v>
      </c>
      <c r="I15" s="407" t="s">
        <v>16</v>
      </c>
      <c r="J15" s="24" t="s">
        <v>1949</v>
      </c>
      <c r="K15" s="24" t="s">
        <v>575</v>
      </c>
      <c r="L15" s="24" t="s">
        <v>1950</v>
      </c>
      <c r="M15" s="24" t="s">
        <v>328</v>
      </c>
      <c r="N15" s="24" t="s">
        <v>1951</v>
      </c>
      <c r="O15" s="382"/>
      <c r="P15" s="24" t="s">
        <v>1952</v>
      </c>
      <c r="Q15" s="408" t="s">
        <v>2085</v>
      </c>
      <c r="R15" s="24" t="s">
        <v>336</v>
      </c>
      <c r="S15" s="24" t="s">
        <v>707</v>
      </c>
      <c r="T15" s="42" t="s">
        <v>1953</v>
      </c>
      <c r="U15" s="47">
        <v>107933</v>
      </c>
    </row>
    <row r="16" spans="1:21" ht="105.6" x14ac:dyDescent="0.3">
      <c r="A16" s="347" t="s">
        <v>1035</v>
      </c>
      <c r="B16" s="402" t="s">
        <v>2023</v>
      </c>
      <c r="C16" s="402" t="s">
        <v>542</v>
      </c>
      <c r="D16" s="402" t="s">
        <v>2024</v>
      </c>
      <c r="E16" s="402" t="s">
        <v>1486</v>
      </c>
      <c r="F16" s="402" t="s">
        <v>1487</v>
      </c>
      <c r="G16" s="402" t="s">
        <v>538</v>
      </c>
      <c r="H16" s="402" t="s">
        <v>1488</v>
      </c>
      <c r="I16" s="403" t="s">
        <v>16</v>
      </c>
      <c r="J16" s="402" t="s">
        <v>333</v>
      </c>
      <c r="K16" s="402" t="s">
        <v>433</v>
      </c>
      <c r="L16" s="402" t="s">
        <v>539</v>
      </c>
      <c r="M16" s="402" t="s">
        <v>328</v>
      </c>
      <c r="N16" s="402" t="s">
        <v>543</v>
      </c>
      <c r="O16" s="417"/>
      <c r="P16" s="402" t="s">
        <v>544</v>
      </c>
      <c r="Q16" s="404" t="s">
        <v>2025</v>
      </c>
      <c r="R16" s="402" t="s">
        <v>329</v>
      </c>
      <c r="S16" s="402" t="s">
        <v>1489</v>
      </c>
      <c r="T16" s="405" t="s">
        <v>1490</v>
      </c>
      <c r="U16" s="406">
        <v>103177</v>
      </c>
    </row>
    <row r="17" spans="1:21" ht="145.19999999999999" x14ac:dyDescent="0.3">
      <c r="A17" s="347" t="s">
        <v>1024</v>
      </c>
      <c r="B17" s="402" t="s">
        <v>2002</v>
      </c>
      <c r="C17" s="402" t="s">
        <v>551</v>
      </c>
      <c r="D17" s="402" t="s">
        <v>2003</v>
      </c>
      <c r="E17" s="402" t="s">
        <v>2004</v>
      </c>
      <c r="F17" s="402" t="s">
        <v>1400</v>
      </c>
      <c r="G17" s="402" t="s">
        <v>560</v>
      </c>
      <c r="H17" s="402" t="s">
        <v>454</v>
      </c>
      <c r="I17" s="402" t="s">
        <v>16</v>
      </c>
      <c r="J17" s="402" t="s">
        <v>312</v>
      </c>
      <c r="K17" s="402" t="s">
        <v>455</v>
      </c>
      <c r="L17" s="402" t="s">
        <v>456</v>
      </c>
      <c r="M17" s="402" t="s">
        <v>328</v>
      </c>
      <c r="N17" s="402" t="s">
        <v>552</v>
      </c>
      <c r="O17" s="402" t="s">
        <v>553</v>
      </c>
      <c r="P17" s="402" t="s">
        <v>554</v>
      </c>
      <c r="Q17" s="418" t="s">
        <v>2005</v>
      </c>
      <c r="R17" s="402" t="s">
        <v>332</v>
      </c>
      <c r="S17" s="402" t="s">
        <v>457</v>
      </c>
      <c r="T17" s="419" t="s">
        <v>1395</v>
      </c>
      <c r="U17" s="416">
        <v>103380</v>
      </c>
    </row>
    <row r="18" spans="1:21" ht="52.8" x14ac:dyDescent="0.3">
      <c r="A18" s="41" t="s">
        <v>2398</v>
      </c>
      <c r="B18" s="24" t="s">
        <v>1502</v>
      </c>
      <c r="C18" s="24" t="s">
        <v>1503</v>
      </c>
      <c r="D18" s="382"/>
      <c r="E18" s="24" t="s">
        <v>1504</v>
      </c>
      <c r="F18" s="24" t="s">
        <v>1504</v>
      </c>
      <c r="G18" s="24" t="s">
        <v>1505</v>
      </c>
      <c r="H18" s="24" t="s">
        <v>1506</v>
      </c>
      <c r="I18" s="24" t="s">
        <v>1507</v>
      </c>
      <c r="J18" s="24" t="s">
        <v>363</v>
      </c>
      <c r="K18" s="24" t="s">
        <v>433</v>
      </c>
      <c r="L18" s="24" t="s">
        <v>1508</v>
      </c>
      <c r="M18" s="24" t="s">
        <v>328</v>
      </c>
      <c r="N18" s="382"/>
      <c r="O18" s="412"/>
      <c r="P18" s="24" t="s">
        <v>1509</v>
      </c>
      <c r="Q18" s="404" t="s">
        <v>2087</v>
      </c>
      <c r="R18" s="24" t="s">
        <v>336</v>
      </c>
      <c r="S18" s="24" t="s">
        <v>1510</v>
      </c>
      <c r="T18" s="42" t="s">
        <v>1511</v>
      </c>
      <c r="U18" s="47">
        <v>103191</v>
      </c>
    </row>
    <row r="19" spans="1:21" ht="52.8" x14ac:dyDescent="0.3">
      <c r="A19" s="41" t="s">
        <v>2264</v>
      </c>
      <c r="B19" s="24" t="s">
        <v>1738</v>
      </c>
      <c r="C19" s="24" t="s">
        <v>555</v>
      </c>
      <c r="D19" s="24" t="s">
        <v>2088</v>
      </c>
      <c r="E19" s="24" t="s">
        <v>523</v>
      </c>
      <c r="F19" s="24" t="s">
        <v>524</v>
      </c>
      <c r="G19" s="24" t="s">
        <v>1739</v>
      </c>
      <c r="H19" s="24" t="s">
        <v>1740</v>
      </c>
      <c r="I19" s="407" t="s">
        <v>16</v>
      </c>
      <c r="J19" s="24" t="s">
        <v>364</v>
      </c>
      <c r="K19" s="24" t="s">
        <v>455</v>
      </c>
      <c r="L19" s="24" t="s">
        <v>1113</v>
      </c>
      <c r="M19" s="24" t="s">
        <v>328</v>
      </c>
      <c r="N19" s="24" t="s">
        <v>556</v>
      </c>
      <c r="O19" s="382"/>
      <c r="P19" s="24" t="s">
        <v>557</v>
      </c>
      <c r="Q19" s="408" t="s">
        <v>2089</v>
      </c>
      <c r="R19" s="24" t="s">
        <v>336</v>
      </c>
      <c r="S19" s="24" t="s">
        <v>526</v>
      </c>
      <c r="T19" s="42" t="s">
        <v>1741</v>
      </c>
      <c r="U19" s="47">
        <v>103381</v>
      </c>
    </row>
    <row r="20" spans="1:21" ht="132" x14ac:dyDescent="0.3">
      <c r="A20" s="347" t="s">
        <v>1023</v>
      </c>
      <c r="B20" s="402" t="s">
        <v>1997</v>
      </c>
      <c r="C20" s="402" t="s">
        <v>559</v>
      </c>
      <c r="D20" s="402" t="s">
        <v>1998</v>
      </c>
      <c r="E20" s="402" t="s">
        <v>1999</v>
      </c>
      <c r="F20" s="402" t="s">
        <v>1389</v>
      </c>
      <c r="G20" s="402" t="s">
        <v>1390</v>
      </c>
      <c r="H20" s="402" t="s">
        <v>1391</v>
      </c>
      <c r="I20" s="403" t="s">
        <v>16</v>
      </c>
      <c r="J20" s="402" t="s">
        <v>1345</v>
      </c>
      <c r="K20" s="402" t="s">
        <v>455</v>
      </c>
      <c r="L20" s="402" t="s">
        <v>1392</v>
      </c>
      <c r="M20" s="402" t="s">
        <v>328</v>
      </c>
      <c r="N20" s="402" t="s">
        <v>1393</v>
      </c>
      <c r="O20" s="402" t="s">
        <v>1394</v>
      </c>
      <c r="P20" s="402" t="s">
        <v>561</v>
      </c>
      <c r="Q20" s="404" t="s">
        <v>2000</v>
      </c>
      <c r="R20" s="402" t="s">
        <v>332</v>
      </c>
      <c r="S20" s="402" t="s">
        <v>1399</v>
      </c>
      <c r="T20" s="419" t="s">
        <v>2001</v>
      </c>
      <c r="U20" s="416">
        <v>103380</v>
      </c>
    </row>
    <row r="21" spans="1:21" ht="39.6" x14ac:dyDescent="0.3">
      <c r="A21" s="28" t="s">
        <v>434</v>
      </c>
      <c r="B21" s="24" t="s">
        <v>2090</v>
      </c>
      <c r="C21" s="24" t="s">
        <v>570</v>
      </c>
      <c r="D21" s="24" t="s">
        <v>2091</v>
      </c>
      <c r="E21" s="24" t="s">
        <v>460</v>
      </c>
      <c r="F21" s="24" t="s">
        <v>461</v>
      </c>
      <c r="G21" s="24" t="s">
        <v>462</v>
      </c>
      <c r="H21" s="24" t="s">
        <v>1662</v>
      </c>
      <c r="I21" s="24" t="s">
        <v>16</v>
      </c>
      <c r="J21" s="24" t="s">
        <v>317</v>
      </c>
      <c r="K21" s="24" t="s">
        <v>433</v>
      </c>
      <c r="L21" s="24" t="s">
        <v>463</v>
      </c>
      <c r="M21" s="24" t="s">
        <v>328</v>
      </c>
      <c r="N21" s="382"/>
      <c r="O21" s="412"/>
      <c r="P21" s="24" t="s">
        <v>1663</v>
      </c>
      <c r="Q21" s="408" t="s">
        <v>2092</v>
      </c>
      <c r="R21" s="24" t="s">
        <v>336</v>
      </c>
      <c r="S21" s="24" t="s">
        <v>530</v>
      </c>
      <c r="T21" s="42" t="s">
        <v>4108</v>
      </c>
      <c r="U21" s="41" t="s">
        <v>434</v>
      </c>
    </row>
    <row r="22" spans="1:21" ht="118.8" x14ac:dyDescent="0.3">
      <c r="A22" s="54" t="s">
        <v>2584</v>
      </c>
      <c r="B22" s="215" t="s">
        <v>2093</v>
      </c>
      <c r="C22" s="215" t="s">
        <v>1396</v>
      </c>
      <c r="D22" s="215" t="s">
        <v>1998</v>
      </c>
      <c r="E22" s="215" t="s">
        <v>1999</v>
      </c>
      <c r="F22" s="215" t="s">
        <v>1389</v>
      </c>
      <c r="G22" s="215" t="s">
        <v>1390</v>
      </c>
      <c r="H22" s="215" t="s">
        <v>1391</v>
      </c>
      <c r="I22" s="215" t="s">
        <v>16</v>
      </c>
      <c r="J22" s="215" t="s">
        <v>1345</v>
      </c>
      <c r="K22" s="215" t="s">
        <v>455</v>
      </c>
      <c r="L22" s="215" t="s">
        <v>1392</v>
      </c>
      <c r="M22" s="215" t="s">
        <v>328</v>
      </c>
      <c r="N22" s="215" t="s">
        <v>1397</v>
      </c>
      <c r="O22" s="215" t="s">
        <v>1394</v>
      </c>
      <c r="P22" s="215" t="s">
        <v>1398</v>
      </c>
      <c r="Q22" s="447" t="s">
        <v>2585</v>
      </c>
      <c r="R22" s="215" t="s">
        <v>332</v>
      </c>
      <c r="S22" s="215" t="s">
        <v>1399</v>
      </c>
      <c r="T22" s="42" t="s">
        <v>2586</v>
      </c>
      <c r="U22" s="448">
        <v>103380</v>
      </c>
    </row>
    <row r="23" spans="1:21" ht="105.6" x14ac:dyDescent="0.3">
      <c r="A23" s="28" t="s">
        <v>434</v>
      </c>
      <c r="B23" s="24" t="s">
        <v>2399</v>
      </c>
      <c r="C23" s="24" t="s">
        <v>2400</v>
      </c>
      <c r="D23" s="24" t="s">
        <v>2401</v>
      </c>
      <c r="E23" s="24" t="s">
        <v>966</v>
      </c>
      <c r="F23" s="24" t="s">
        <v>2154</v>
      </c>
      <c r="G23" s="24" t="s">
        <v>2402</v>
      </c>
      <c r="H23" s="24" t="s">
        <v>1588</v>
      </c>
      <c r="I23" s="24" t="s">
        <v>2403</v>
      </c>
      <c r="J23" s="24" t="s">
        <v>305</v>
      </c>
      <c r="K23" s="24" t="s">
        <v>495</v>
      </c>
      <c r="L23" s="24" t="s">
        <v>1627</v>
      </c>
      <c r="M23" s="24" t="s">
        <v>328</v>
      </c>
      <c r="N23" s="24" t="s">
        <v>2404</v>
      </c>
      <c r="O23" s="382"/>
      <c r="P23" s="24" t="s">
        <v>2405</v>
      </c>
      <c r="Q23" s="408" t="s">
        <v>3566</v>
      </c>
      <c r="R23" s="24" t="s">
        <v>336</v>
      </c>
      <c r="S23" s="24" t="s">
        <v>1630</v>
      </c>
      <c r="T23" s="42" t="s">
        <v>3567</v>
      </c>
      <c r="U23" s="31">
        <v>103791</v>
      </c>
    </row>
    <row r="24" spans="1:21" ht="39.6" x14ac:dyDescent="0.3">
      <c r="A24" s="41" t="s">
        <v>2406</v>
      </c>
      <c r="B24" s="24" t="s">
        <v>409</v>
      </c>
      <c r="C24" s="24" t="s">
        <v>581</v>
      </c>
      <c r="D24" s="24" t="s">
        <v>4109</v>
      </c>
      <c r="E24" s="24" t="s">
        <v>1658</v>
      </c>
      <c r="F24" s="24" t="s">
        <v>582</v>
      </c>
      <c r="G24" s="24" t="s">
        <v>583</v>
      </c>
      <c r="H24" s="407" t="s">
        <v>16</v>
      </c>
      <c r="I24" s="407" t="s">
        <v>16</v>
      </c>
      <c r="J24" s="24" t="s">
        <v>364</v>
      </c>
      <c r="K24" s="24" t="s">
        <v>455</v>
      </c>
      <c r="L24" s="24" t="s">
        <v>584</v>
      </c>
      <c r="M24" s="24" t="s">
        <v>328</v>
      </c>
      <c r="N24" s="24" t="s">
        <v>585</v>
      </c>
      <c r="O24" s="412"/>
      <c r="P24" s="215" t="s">
        <v>586</v>
      </c>
      <c r="Q24" s="408" t="s">
        <v>2094</v>
      </c>
      <c r="R24" s="24" t="s">
        <v>336</v>
      </c>
      <c r="S24" s="24" t="s">
        <v>587</v>
      </c>
      <c r="T24" s="42" t="s">
        <v>410</v>
      </c>
      <c r="U24" s="411">
        <v>109026</v>
      </c>
    </row>
    <row r="25" spans="1:21" ht="92.4" x14ac:dyDescent="0.3">
      <c r="A25" s="347" t="s">
        <v>1054</v>
      </c>
      <c r="B25" s="402" t="s">
        <v>1526</v>
      </c>
      <c r="C25" s="402" t="s">
        <v>1527</v>
      </c>
      <c r="D25" s="402" t="s">
        <v>4110</v>
      </c>
      <c r="E25" s="402" t="s">
        <v>571</v>
      </c>
      <c r="F25" s="402" t="s">
        <v>572</v>
      </c>
      <c r="G25" s="402" t="s">
        <v>679</v>
      </c>
      <c r="H25" s="402" t="s">
        <v>1528</v>
      </c>
      <c r="I25" s="403" t="s">
        <v>1529</v>
      </c>
      <c r="J25" s="402" t="s">
        <v>325</v>
      </c>
      <c r="K25" s="402" t="s">
        <v>433</v>
      </c>
      <c r="L25" s="402" t="s">
        <v>681</v>
      </c>
      <c r="M25" s="402" t="s">
        <v>328</v>
      </c>
      <c r="N25" s="402" t="s">
        <v>1530</v>
      </c>
      <c r="O25" s="414"/>
      <c r="P25" s="402" t="s">
        <v>1531</v>
      </c>
      <c r="Q25" s="404" t="s">
        <v>2054</v>
      </c>
      <c r="R25" s="402" t="s">
        <v>336</v>
      </c>
      <c r="S25" s="402" t="s">
        <v>1521</v>
      </c>
      <c r="T25" s="400" t="s">
        <v>2407</v>
      </c>
      <c r="U25" s="416">
        <v>103819</v>
      </c>
    </row>
    <row r="26" spans="1:21" ht="52.8" x14ac:dyDescent="0.3">
      <c r="A26" s="41" t="s">
        <v>2408</v>
      </c>
      <c r="B26" s="24" t="s">
        <v>1407</v>
      </c>
      <c r="C26" s="24" t="s">
        <v>593</v>
      </c>
      <c r="D26" s="24" t="s">
        <v>4107</v>
      </c>
      <c r="E26" s="24" t="s">
        <v>514</v>
      </c>
      <c r="F26" s="24" t="s">
        <v>515</v>
      </c>
      <c r="G26" s="24" t="s">
        <v>516</v>
      </c>
      <c r="H26" s="24" t="s">
        <v>517</v>
      </c>
      <c r="I26" s="407" t="s">
        <v>16</v>
      </c>
      <c r="J26" s="24" t="s">
        <v>358</v>
      </c>
      <c r="K26" s="24" t="s">
        <v>455</v>
      </c>
      <c r="L26" s="24" t="s">
        <v>518</v>
      </c>
      <c r="M26" s="24" t="s">
        <v>328</v>
      </c>
      <c r="N26" s="24" t="s">
        <v>1408</v>
      </c>
      <c r="O26" s="382"/>
      <c r="P26" s="24" t="s">
        <v>1409</v>
      </c>
      <c r="Q26" s="404" t="s">
        <v>2095</v>
      </c>
      <c r="R26" s="24" t="s">
        <v>336</v>
      </c>
      <c r="S26" s="24" t="s">
        <v>521</v>
      </c>
      <c r="T26" s="42" t="s">
        <v>359</v>
      </c>
      <c r="U26" s="411">
        <v>107453</v>
      </c>
    </row>
    <row r="27" spans="1:21" ht="39.6" x14ac:dyDescent="0.3">
      <c r="A27" s="347" t="s">
        <v>1018</v>
      </c>
      <c r="B27" s="402" t="s">
        <v>592</v>
      </c>
      <c r="C27" s="402" t="s">
        <v>593</v>
      </c>
      <c r="D27" s="402" t="s">
        <v>4111</v>
      </c>
      <c r="E27" s="402" t="s">
        <v>594</v>
      </c>
      <c r="F27" s="402" t="s">
        <v>1342</v>
      </c>
      <c r="G27" s="402" t="s">
        <v>1058</v>
      </c>
      <c r="H27" s="402" t="s">
        <v>1343</v>
      </c>
      <c r="I27" s="403" t="s">
        <v>1344</v>
      </c>
      <c r="J27" s="402" t="s">
        <v>1345</v>
      </c>
      <c r="K27" s="402" t="s">
        <v>455</v>
      </c>
      <c r="L27" s="402" t="s">
        <v>1066</v>
      </c>
      <c r="M27" s="402" t="s">
        <v>328</v>
      </c>
      <c r="N27" s="402" t="s">
        <v>1346</v>
      </c>
      <c r="O27" s="420"/>
      <c r="P27" s="421" t="s">
        <v>595</v>
      </c>
      <c r="Q27" s="422" t="s">
        <v>1987</v>
      </c>
      <c r="R27" s="402" t="s">
        <v>332</v>
      </c>
      <c r="S27" s="402" t="s">
        <v>596</v>
      </c>
      <c r="T27" s="405" t="s">
        <v>395</v>
      </c>
      <c r="U27" s="423">
        <v>102856</v>
      </c>
    </row>
    <row r="28" spans="1:21" ht="52.8" x14ac:dyDescent="0.3">
      <c r="A28" s="28" t="s">
        <v>434</v>
      </c>
      <c r="B28" s="24" t="s">
        <v>2096</v>
      </c>
      <c r="C28" s="24" t="s">
        <v>593</v>
      </c>
      <c r="D28" s="24" t="s">
        <v>2097</v>
      </c>
      <c r="E28" s="24" t="s">
        <v>964</v>
      </c>
      <c r="F28" s="24" t="s">
        <v>1905</v>
      </c>
      <c r="G28" s="24" t="s">
        <v>1906</v>
      </c>
      <c r="H28" s="24" t="s">
        <v>1907</v>
      </c>
      <c r="I28" s="24" t="s">
        <v>1908</v>
      </c>
      <c r="J28" s="24" t="s">
        <v>364</v>
      </c>
      <c r="K28" s="24" t="s">
        <v>455</v>
      </c>
      <c r="L28" s="24" t="s">
        <v>1909</v>
      </c>
      <c r="M28" s="24" t="s">
        <v>328</v>
      </c>
      <c r="N28" s="24" t="s">
        <v>1910</v>
      </c>
      <c r="O28" s="382"/>
      <c r="P28" s="24" t="s">
        <v>1911</v>
      </c>
      <c r="Q28" s="408" t="s">
        <v>2098</v>
      </c>
      <c r="R28" s="24" t="s">
        <v>336</v>
      </c>
      <c r="S28" s="24" t="s">
        <v>1912</v>
      </c>
      <c r="T28" s="45" t="s">
        <v>1913</v>
      </c>
      <c r="U28" s="389">
        <v>109270</v>
      </c>
    </row>
    <row r="29" spans="1:21" ht="66" x14ac:dyDescent="0.3">
      <c r="A29" s="28" t="s">
        <v>434</v>
      </c>
      <c r="B29" s="24" t="s">
        <v>2409</v>
      </c>
      <c r="C29" s="24" t="s">
        <v>686</v>
      </c>
      <c r="D29" s="24" t="s">
        <v>2410</v>
      </c>
      <c r="E29" s="24" t="s">
        <v>1447</v>
      </c>
      <c r="F29" s="24" t="s">
        <v>1448</v>
      </c>
      <c r="G29" s="24" t="s">
        <v>1449</v>
      </c>
      <c r="H29" s="24" t="s">
        <v>1450</v>
      </c>
      <c r="I29" s="407" t="s">
        <v>16</v>
      </c>
      <c r="J29" s="24" t="s">
        <v>1451</v>
      </c>
      <c r="K29" s="24" t="s">
        <v>495</v>
      </c>
      <c r="L29" s="24" t="s">
        <v>1452</v>
      </c>
      <c r="M29" s="24" t="s">
        <v>328</v>
      </c>
      <c r="N29" s="24" t="s">
        <v>962</v>
      </c>
      <c r="O29" s="382" t="s">
        <v>963</v>
      </c>
      <c r="P29" s="24" t="s">
        <v>1457</v>
      </c>
      <c r="Q29" s="410" t="s">
        <v>2101</v>
      </c>
      <c r="R29" s="24" t="s">
        <v>329</v>
      </c>
      <c r="S29" s="24" t="s">
        <v>1455</v>
      </c>
      <c r="T29" s="42" t="s">
        <v>1456</v>
      </c>
      <c r="U29" s="411">
        <v>110878</v>
      </c>
    </row>
    <row r="30" spans="1:21" ht="79.2" x14ac:dyDescent="0.3">
      <c r="A30" s="28" t="s">
        <v>434</v>
      </c>
      <c r="B30" s="402" t="s">
        <v>335</v>
      </c>
      <c r="C30" s="402" t="s">
        <v>598</v>
      </c>
      <c r="D30" s="402" t="s">
        <v>2050</v>
      </c>
      <c r="E30" s="402" t="s">
        <v>573</v>
      </c>
      <c r="F30" s="402" t="s">
        <v>574</v>
      </c>
      <c r="G30" s="402" t="s">
        <v>792</v>
      </c>
      <c r="H30" s="402" t="s">
        <v>1954</v>
      </c>
      <c r="I30" s="403" t="s">
        <v>16</v>
      </c>
      <c r="J30" s="402" t="s">
        <v>316</v>
      </c>
      <c r="K30" s="402" t="s">
        <v>575</v>
      </c>
      <c r="L30" s="402" t="s">
        <v>952</v>
      </c>
      <c r="M30" s="402" t="s">
        <v>328</v>
      </c>
      <c r="N30" s="402" t="s">
        <v>599</v>
      </c>
      <c r="O30" s="417" t="s">
        <v>1955</v>
      </c>
      <c r="P30" s="402" t="s">
        <v>1956</v>
      </c>
      <c r="Q30" s="422" t="s">
        <v>2051</v>
      </c>
      <c r="R30" s="402" t="s">
        <v>336</v>
      </c>
      <c r="S30" s="402" t="s">
        <v>600</v>
      </c>
      <c r="T30" s="405" t="s">
        <v>1208</v>
      </c>
      <c r="U30" s="416">
        <v>103813</v>
      </c>
    </row>
    <row r="31" spans="1:21" ht="52.8" x14ac:dyDescent="0.3">
      <c r="A31" s="41" t="s">
        <v>1033</v>
      </c>
      <c r="B31" s="24" t="s">
        <v>2318</v>
      </c>
      <c r="C31" s="24" t="s">
        <v>2104</v>
      </c>
      <c r="D31" s="24" t="s">
        <v>2411</v>
      </c>
      <c r="E31" s="24" t="s">
        <v>1471</v>
      </c>
      <c r="F31" s="24" t="s">
        <v>1472</v>
      </c>
      <c r="G31" s="24" t="s">
        <v>2412</v>
      </c>
      <c r="H31" s="24" t="s">
        <v>1473</v>
      </c>
      <c r="I31" s="407" t="s">
        <v>16</v>
      </c>
      <c r="J31" s="24" t="s">
        <v>362</v>
      </c>
      <c r="K31" s="24" t="s">
        <v>464</v>
      </c>
      <c r="L31" s="24" t="s">
        <v>847</v>
      </c>
      <c r="M31" s="24" t="s">
        <v>328</v>
      </c>
      <c r="N31" s="24" t="s">
        <v>2413</v>
      </c>
      <c r="O31" s="24" t="s">
        <v>888</v>
      </c>
      <c r="P31" s="24" t="s">
        <v>2414</v>
      </c>
      <c r="Q31" s="404" t="s">
        <v>2415</v>
      </c>
      <c r="R31" s="24" t="s">
        <v>329</v>
      </c>
      <c r="S31" s="25" t="s">
        <v>2416</v>
      </c>
      <c r="T31" s="33" t="s">
        <v>2417</v>
      </c>
      <c r="U31" s="411">
        <v>103165</v>
      </c>
    </row>
    <row r="32" spans="1:21" ht="145.19999999999999" x14ac:dyDescent="0.3">
      <c r="A32" s="347" t="s">
        <v>1025</v>
      </c>
      <c r="B32" s="402" t="s">
        <v>602</v>
      </c>
      <c r="C32" s="402" t="s">
        <v>603</v>
      </c>
      <c r="D32" s="402" t="s">
        <v>1998</v>
      </c>
      <c r="E32" s="402" t="s">
        <v>2004</v>
      </c>
      <c r="F32" s="402" t="s">
        <v>1400</v>
      </c>
      <c r="G32" s="402" t="s">
        <v>560</v>
      </c>
      <c r="H32" s="402" t="s">
        <v>454</v>
      </c>
      <c r="I32" s="403" t="s">
        <v>16</v>
      </c>
      <c r="J32" s="402" t="s">
        <v>312</v>
      </c>
      <c r="K32" s="402" t="s">
        <v>455</v>
      </c>
      <c r="L32" s="402" t="s">
        <v>456</v>
      </c>
      <c r="M32" s="402" t="s">
        <v>328</v>
      </c>
      <c r="N32" s="402" t="s">
        <v>1401</v>
      </c>
      <c r="O32" s="402" t="s">
        <v>553</v>
      </c>
      <c r="P32" s="402" t="s">
        <v>604</v>
      </c>
      <c r="Q32" s="418" t="s">
        <v>2006</v>
      </c>
      <c r="R32" s="402" t="s">
        <v>332</v>
      </c>
      <c r="S32" s="402" t="s">
        <v>457</v>
      </c>
      <c r="T32" s="419" t="s">
        <v>1395</v>
      </c>
      <c r="U32" s="416">
        <v>103380</v>
      </c>
    </row>
    <row r="33" spans="1:21" s="25" customFormat="1" ht="39.6" x14ac:dyDescent="0.3">
      <c r="A33" s="28" t="s">
        <v>434</v>
      </c>
      <c r="B33" s="25" t="s">
        <v>4042</v>
      </c>
      <c r="C33" s="25" t="s">
        <v>4043</v>
      </c>
      <c r="D33" s="25" t="s">
        <v>4044</v>
      </c>
      <c r="E33" s="25" t="s">
        <v>4045</v>
      </c>
      <c r="F33" s="25" t="s">
        <v>4046</v>
      </c>
      <c r="G33" s="25" t="s">
        <v>4047</v>
      </c>
      <c r="H33" s="433" t="s">
        <v>16</v>
      </c>
      <c r="I33" s="433" t="s">
        <v>16</v>
      </c>
      <c r="J33" s="25" t="s">
        <v>4048</v>
      </c>
      <c r="K33" s="25" t="s">
        <v>458</v>
      </c>
      <c r="L33" s="24" t="s">
        <v>4049</v>
      </c>
      <c r="M33" s="25" t="s">
        <v>328</v>
      </c>
      <c r="N33" s="25" t="s">
        <v>4050</v>
      </c>
      <c r="O33" s="713"/>
      <c r="P33" s="25" t="s">
        <v>4051</v>
      </c>
      <c r="Q33" s="435" t="s">
        <v>4052</v>
      </c>
      <c r="R33" s="25" t="s">
        <v>329</v>
      </c>
      <c r="S33" s="25" t="s">
        <v>4053</v>
      </c>
      <c r="T33" s="33" t="s">
        <v>4054</v>
      </c>
      <c r="U33" s="47">
        <v>103482</v>
      </c>
    </row>
    <row r="34" spans="1:21" ht="39.6" x14ac:dyDescent="0.3">
      <c r="A34" s="347" t="s">
        <v>1034</v>
      </c>
      <c r="B34" s="402" t="s">
        <v>354</v>
      </c>
      <c r="C34" s="402" t="s">
        <v>607</v>
      </c>
      <c r="D34" s="24" t="s">
        <v>2418</v>
      </c>
      <c r="E34" s="402" t="s">
        <v>1476</v>
      </c>
      <c r="F34" s="402" t="s">
        <v>1477</v>
      </c>
      <c r="G34" s="402" t="s">
        <v>1060</v>
      </c>
      <c r="H34" s="403" t="s">
        <v>1065</v>
      </c>
      <c r="I34" s="403" t="s">
        <v>16</v>
      </c>
      <c r="J34" s="402" t="s">
        <v>355</v>
      </c>
      <c r="K34" s="402" t="s">
        <v>495</v>
      </c>
      <c r="L34" s="402" t="s">
        <v>956</v>
      </c>
      <c r="M34" s="402" t="s">
        <v>328</v>
      </c>
      <c r="N34" s="402" t="s">
        <v>608</v>
      </c>
      <c r="O34" s="417"/>
      <c r="P34" s="402" t="s">
        <v>1478</v>
      </c>
      <c r="Q34" s="422" t="s">
        <v>2022</v>
      </c>
      <c r="R34" s="402" t="s">
        <v>329</v>
      </c>
      <c r="S34" s="402" t="s">
        <v>609</v>
      </c>
      <c r="T34" s="405" t="s">
        <v>2419</v>
      </c>
      <c r="U34" s="416">
        <v>103174</v>
      </c>
    </row>
    <row r="35" spans="1:21" ht="66" x14ac:dyDescent="0.3">
      <c r="A35" s="28" t="s">
        <v>434</v>
      </c>
      <c r="B35" s="24" t="s">
        <v>2102</v>
      </c>
      <c r="C35" s="24" t="s">
        <v>612</v>
      </c>
      <c r="D35" s="24" t="s">
        <v>2103</v>
      </c>
      <c r="E35" s="24" t="s">
        <v>2420</v>
      </c>
      <c r="F35" s="24" t="s">
        <v>2421</v>
      </c>
      <c r="G35" s="24" t="s">
        <v>534</v>
      </c>
      <c r="H35" s="407" t="s">
        <v>16</v>
      </c>
      <c r="I35" s="407" t="s">
        <v>16</v>
      </c>
      <c r="J35" s="24" t="s">
        <v>312</v>
      </c>
      <c r="K35" s="24" t="s">
        <v>455</v>
      </c>
      <c r="L35" s="24" t="s">
        <v>535</v>
      </c>
      <c r="M35" s="24" t="s">
        <v>328</v>
      </c>
      <c r="N35" s="407" t="s">
        <v>613</v>
      </c>
      <c r="O35" s="382"/>
      <c r="P35" s="24" t="s">
        <v>614</v>
      </c>
      <c r="Q35" s="408" t="s">
        <v>2422</v>
      </c>
      <c r="R35" s="24" t="s">
        <v>336</v>
      </c>
      <c r="S35" s="24" t="s">
        <v>1603</v>
      </c>
      <c r="T35" s="42" t="s">
        <v>2027</v>
      </c>
      <c r="U35" s="47">
        <v>104897</v>
      </c>
    </row>
    <row r="36" spans="1:21" ht="92.4" x14ac:dyDescent="0.3">
      <c r="A36" s="41" t="s">
        <v>2635</v>
      </c>
      <c r="B36" s="24" t="s">
        <v>2329</v>
      </c>
      <c r="C36" s="24" t="s">
        <v>605</v>
      </c>
      <c r="D36" s="24" t="s">
        <v>2589</v>
      </c>
      <c r="E36" s="24" t="s">
        <v>444</v>
      </c>
      <c r="F36" s="24" t="s">
        <v>2395</v>
      </c>
      <c r="G36" s="24" t="s">
        <v>445</v>
      </c>
      <c r="H36" s="24" t="s">
        <v>1702</v>
      </c>
      <c r="I36" s="24" t="s">
        <v>1703</v>
      </c>
      <c r="J36" s="24" t="s">
        <v>363</v>
      </c>
      <c r="K36" s="24" t="s">
        <v>433</v>
      </c>
      <c r="L36" s="24" t="s">
        <v>446</v>
      </c>
      <c r="M36" s="24" t="s">
        <v>328</v>
      </c>
      <c r="N36" s="24" t="s">
        <v>2636</v>
      </c>
      <c r="O36" s="382" t="s">
        <v>2637</v>
      </c>
      <c r="P36" s="24" t="s">
        <v>2638</v>
      </c>
      <c r="Q36" s="410" t="s">
        <v>4112</v>
      </c>
      <c r="R36" s="24" t="s">
        <v>336</v>
      </c>
      <c r="S36" s="24" t="s">
        <v>4106</v>
      </c>
      <c r="T36" s="42" t="s">
        <v>447</v>
      </c>
      <c r="U36" s="47">
        <v>103838</v>
      </c>
    </row>
    <row r="37" spans="1:21" s="25" customFormat="1" ht="52.8" x14ac:dyDescent="0.3">
      <c r="A37" s="41" t="s">
        <v>434</v>
      </c>
      <c r="B37" s="25" t="s">
        <v>3817</v>
      </c>
      <c r="C37" s="25" t="s">
        <v>4113</v>
      </c>
      <c r="D37" s="25" t="s">
        <v>4114</v>
      </c>
      <c r="E37" s="25" t="s">
        <v>460</v>
      </c>
      <c r="F37" s="25" t="s">
        <v>461</v>
      </c>
      <c r="G37" s="25" t="s">
        <v>462</v>
      </c>
      <c r="H37" s="433" t="s">
        <v>3909</v>
      </c>
      <c r="I37" s="433" t="s">
        <v>16</v>
      </c>
      <c r="J37" s="25" t="s">
        <v>317</v>
      </c>
      <c r="K37" s="25" t="s">
        <v>433</v>
      </c>
      <c r="L37" s="24" t="s">
        <v>463</v>
      </c>
      <c r="M37" s="25" t="s">
        <v>328</v>
      </c>
      <c r="N37" s="434"/>
      <c r="O37" s="713"/>
      <c r="P37" s="25" t="s">
        <v>4115</v>
      </c>
      <c r="Q37" s="441" t="s">
        <v>4116</v>
      </c>
      <c r="R37" s="25" t="s">
        <v>336</v>
      </c>
      <c r="S37" s="25" t="s">
        <v>530</v>
      </c>
      <c r="T37" s="33" t="s">
        <v>4040</v>
      </c>
      <c r="U37" s="41" t="s">
        <v>434</v>
      </c>
    </row>
    <row r="38" spans="1:21" ht="66" x14ac:dyDescent="0.3">
      <c r="A38" s="41" t="s">
        <v>2423</v>
      </c>
      <c r="B38" s="24" t="s">
        <v>616</v>
      </c>
      <c r="C38" s="24" t="s">
        <v>617</v>
      </c>
      <c r="D38" s="24" t="s">
        <v>4117</v>
      </c>
      <c r="E38" s="24" t="s">
        <v>2420</v>
      </c>
      <c r="F38" s="24" t="s">
        <v>2421</v>
      </c>
      <c r="G38" s="24" t="s">
        <v>534</v>
      </c>
      <c r="H38" s="407" t="s">
        <v>16</v>
      </c>
      <c r="I38" s="407" t="s">
        <v>16</v>
      </c>
      <c r="J38" s="24" t="s">
        <v>312</v>
      </c>
      <c r="K38" s="24" t="s">
        <v>455</v>
      </c>
      <c r="L38" s="24" t="s">
        <v>535</v>
      </c>
      <c r="M38" s="24" t="s">
        <v>328</v>
      </c>
      <c r="N38" s="24" t="s">
        <v>618</v>
      </c>
      <c r="O38" s="24" t="s">
        <v>619</v>
      </c>
      <c r="P38" s="24" t="s">
        <v>620</v>
      </c>
      <c r="Q38" s="408" t="s">
        <v>2424</v>
      </c>
      <c r="R38" s="24" t="s">
        <v>336</v>
      </c>
      <c r="S38" s="24" t="s">
        <v>1603</v>
      </c>
      <c r="T38" s="42" t="s">
        <v>2027</v>
      </c>
      <c r="U38" s="47">
        <v>104897</v>
      </c>
    </row>
    <row r="39" spans="1:21" s="25" customFormat="1" ht="52.8" x14ac:dyDescent="0.3">
      <c r="A39" s="41" t="s">
        <v>2425</v>
      </c>
      <c r="B39" s="24" t="s">
        <v>628</v>
      </c>
      <c r="C39" s="24" t="s">
        <v>629</v>
      </c>
      <c r="D39" s="24" t="s">
        <v>4118</v>
      </c>
      <c r="E39" s="24" t="s">
        <v>1479</v>
      </c>
      <c r="F39" s="24" t="s">
        <v>1480</v>
      </c>
      <c r="G39" s="24" t="s">
        <v>1481</v>
      </c>
      <c r="H39" s="24" t="s">
        <v>1482</v>
      </c>
      <c r="I39" s="407" t="s">
        <v>16</v>
      </c>
      <c r="J39" s="24" t="s">
        <v>1483</v>
      </c>
      <c r="K39" s="24" t="s">
        <v>504</v>
      </c>
      <c r="L39" s="24" t="s">
        <v>1484</v>
      </c>
      <c r="M39" s="24" t="s">
        <v>328</v>
      </c>
      <c r="N39" s="24" t="s">
        <v>630</v>
      </c>
      <c r="O39" s="24" t="s">
        <v>631</v>
      </c>
      <c r="P39" s="24" t="s">
        <v>1485</v>
      </c>
      <c r="Q39" s="408" t="s">
        <v>2105</v>
      </c>
      <c r="R39" s="24" t="s">
        <v>329</v>
      </c>
      <c r="S39" s="24" t="s">
        <v>632</v>
      </c>
      <c r="T39" s="42" t="s">
        <v>633</v>
      </c>
      <c r="U39" s="411">
        <v>103173</v>
      </c>
    </row>
    <row r="40" spans="1:21" s="25" customFormat="1" ht="41.25" customHeight="1" x14ac:dyDescent="0.3">
      <c r="A40" s="28" t="s">
        <v>434</v>
      </c>
      <c r="B40" s="25" t="s">
        <v>4055</v>
      </c>
      <c r="C40" s="25" t="s">
        <v>634</v>
      </c>
      <c r="D40" s="25" t="s">
        <v>4056</v>
      </c>
      <c r="E40" s="25" t="s">
        <v>4045</v>
      </c>
      <c r="F40" s="25" t="s">
        <v>4046</v>
      </c>
      <c r="G40" s="25" t="s">
        <v>4047</v>
      </c>
      <c r="H40" s="433" t="s">
        <v>16</v>
      </c>
      <c r="I40" s="433" t="s">
        <v>16</v>
      </c>
      <c r="J40" s="25" t="s">
        <v>4048</v>
      </c>
      <c r="K40" s="25" t="s">
        <v>458</v>
      </c>
      <c r="L40" s="24" t="s">
        <v>4049</v>
      </c>
      <c r="M40" s="25" t="s">
        <v>328</v>
      </c>
      <c r="N40" s="25" t="s">
        <v>4050</v>
      </c>
      <c r="O40" s="713"/>
      <c r="P40" s="25" t="s">
        <v>4057</v>
      </c>
      <c r="Q40" s="435" t="s">
        <v>4058</v>
      </c>
      <c r="R40" s="25" t="s">
        <v>329</v>
      </c>
      <c r="S40" s="25" t="s">
        <v>4053</v>
      </c>
      <c r="T40" s="33" t="s">
        <v>4054</v>
      </c>
      <c r="U40" s="47">
        <v>103482</v>
      </c>
    </row>
    <row r="41" spans="1:21" s="25" customFormat="1" ht="39.6" x14ac:dyDescent="0.3">
      <c r="A41" s="23" t="s">
        <v>2426</v>
      </c>
      <c r="B41" s="424" t="s">
        <v>2324</v>
      </c>
      <c r="C41" s="424" t="s">
        <v>634</v>
      </c>
      <c r="D41" s="215" t="s">
        <v>2430</v>
      </c>
      <c r="E41" s="424" t="s">
        <v>635</v>
      </c>
      <c r="F41" s="424" t="s">
        <v>1863</v>
      </c>
      <c r="G41" s="424" t="s">
        <v>1864</v>
      </c>
      <c r="H41" s="424" t="s">
        <v>1865</v>
      </c>
      <c r="I41" s="424" t="s">
        <v>1866</v>
      </c>
      <c r="J41" s="424" t="s">
        <v>340</v>
      </c>
      <c r="K41" s="424" t="s">
        <v>433</v>
      </c>
      <c r="L41" s="424" t="s">
        <v>953</v>
      </c>
      <c r="M41" s="424" t="s">
        <v>328</v>
      </c>
      <c r="N41" s="424" t="s">
        <v>636</v>
      </c>
      <c r="O41" s="424"/>
      <c r="P41" s="424" t="s">
        <v>637</v>
      </c>
      <c r="Q41" s="424" t="s">
        <v>2106</v>
      </c>
      <c r="R41" s="424" t="s">
        <v>336</v>
      </c>
      <c r="S41" s="215" t="s">
        <v>638</v>
      </c>
      <c r="T41" s="42" t="s">
        <v>1867</v>
      </c>
      <c r="U41" s="425">
        <v>103570</v>
      </c>
    </row>
    <row r="42" spans="1:21" ht="52.8" x14ac:dyDescent="0.3">
      <c r="A42" s="347" t="s">
        <v>2427</v>
      </c>
      <c r="B42" s="52" t="s">
        <v>642</v>
      </c>
      <c r="C42" s="24" t="s">
        <v>641</v>
      </c>
      <c r="D42" s="24" t="s">
        <v>4119</v>
      </c>
      <c r="E42" s="24" t="s">
        <v>1486</v>
      </c>
      <c r="F42" s="24" t="s">
        <v>1487</v>
      </c>
      <c r="G42" s="24" t="s">
        <v>538</v>
      </c>
      <c r="H42" s="24" t="s">
        <v>1488</v>
      </c>
      <c r="I42" s="24" t="s">
        <v>16</v>
      </c>
      <c r="J42" s="24" t="s">
        <v>333</v>
      </c>
      <c r="K42" s="24" t="s">
        <v>433</v>
      </c>
      <c r="L42" s="24" t="s">
        <v>539</v>
      </c>
      <c r="M42" s="24" t="s">
        <v>328</v>
      </c>
      <c r="N42" s="24" t="s">
        <v>643</v>
      </c>
      <c r="O42" s="24" t="s">
        <v>644</v>
      </c>
      <c r="P42" s="24" t="s">
        <v>645</v>
      </c>
      <c r="Q42" s="410" t="s">
        <v>2107</v>
      </c>
      <c r="R42" s="24" t="s">
        <v>329</v>
      </c>
      <c r="S42" s="24" t="s">
        <v>2108</v>
      </c>
      <c r="T42" s="42" t="s">
        <v>2428</v>
      </c>
      <c r="U42" s="47">
        <v>103177</v>
      </c>
    </row>
    <row r="43" spans="1:21" s="21" customFormat="1" ht="39.6" x14ac:dyDescent="0.3">
      <c r="A43" s="347" t="s">
        <v>1041</v>
      </c>
      <c r="B43" s="402" t="s">
        <v>646</v>
      </c>
      <c r="C43" s="402" t="s">
        <v>641</v>
      </c>
      <c r="D43" s="402" t="s">
        <v>4120</v>
      </c>
      <c r="E43" s="402" t="s">
        <v>376</v>
      </c>
      <c r="F43" s="402" t="s">
        <v>376</v>
      </c>
      <c r="G43" s="402" t="s">
        <v>959</v>
      </c>
      <c r="H43" s="402" t="s">
        <v>1700</v>
      </c>
      <c r="I43" s="402" t="s">
        <v>1701</v>
      </c>
      <c r="J43" s="402" t="s">
        <v>377</v>
      </c>
      <c r="K43" s="402" t="s">
        <v>495</v>
      </c>
      <c r="L43" s="402" t="s">
        <v>960</v>
      </c>
      <c r="M43" s="402" t="s">
        <v>328</v>
      </c>
      <c r="N43" s="402" t="s">
        <v>647</v>
      </c>
      <c r="O43" s="414"/>
      <c r="P43" s="402" t="s">
        <v>648</v>
      </c>
      <c r="Q43" s="422" t="s">
        <v>2028</v>
      </c>
      <c r="R43" s="402" t="s">
        <v>336</v>
      </c>
      <c r="S43" s="402" t="s">
        <v>649</v>
      </c>
      <c r="T43" s="405" t="s">
        <v>650</v>
      </c>
      <c r="U43" s="416">
        <v>105436</v>
      </c>
    </row>
    <row r="44" spans="1:21" ht="66" x14ac:dyDescent="0.3">
      <c r="A44" s="22" t="s">
        <v>2429</v>
      </c>
      <c r="B44" s="24" t="s">
        <v>651</v>
      </c>
      <c r="C44" s="24" t="s">
        <v>641</v>
      </c>
      <c r="D44" s="24" t="s">
        <v>2430</v>
      </c>
      <c r="E44" s="24" t="s">
        <v>573</v>
      </c>
      <c r="F44" s="24" t="s">
        <v>574</v>
      </c>
      <c r="G44" s="24" t="s">
        <v>792</v>
      </c>
      <c r="H44" s="24" t="s">
        <v>1959</v>
      </c>
      <c r="I44" s="407" t="s">
        <v>16</v>
      </c>
      <c r="J44" s="24" t="s">
        <v>316</v>
      </c>
      <c r="K44" s="24" t="s">
        <v>575</v>
      </c>
      <c r="L44" s="24" t="s">
        <v>952</v>
      </c>
      <c r="M44" s="24" t="s">
        <v>328</v>
      </c>
      <c r="N44" s="24" t="s">
        <v>652</v>
      </c>
      <c r="O44" s="382"/>
      <c r="P44" s="24" t="s">
        <v>653</v>
      </c>
      <c r="Q44" s="408" t="s">
        <v>2431</v>
      </c>
      <c r="R44" s="24" t="s">
        <v>336</v>
      </c>
      <c r="S44" s="24" t="s">
        <v>600</v>
      </c>
      <c r="T44" s="42" t="s">
        <v>2432</v>
      </c>
      <c r="U44" s="411">
        <v>103813</v>
      </c>
    </row>
    <row r="45" spans="1:21" ht="39.6" x14ac:dyDescent="0.3">
      <c r="A45" s="28" t="s">
        <v>434</v>
      </c>
      <c r="B45" s="402" t="s">
        <v>2058</v>
      </c>
      <c r="C45" s="402" t="s">
        <v>655</v>
      </c>
      <c r="D45" s="402" t="s">
        <v>2059</v>
      </c>
      <c r="E45" s="402" t="s">
        <v>460</v>
      </c>
      <c r="F45" s="402" t="s">
        <v>461</v>
      </c>
      <c r="G45" s="402" t="s">
        <v>462</v>
      </c>
      <c r="H45" s="402" t="s">
        <v>1660</v>
      </c>
      <c r="I45" s="403" t="s">
        <v>16</v>
      </c>
      <c r="J45" s="402" t="s">
        <v>317</v>
      </c>
      <c r="K45" s="402" t="s">
        <v>433</v>
      </c>
      <c r="L45" s="402" t="s">
        <v>463</v>
      </c>
      <c r="M45" s="402" t="s">
        <v>328</v>
      </c>
      <c r="N45" s="402" t="s">
        <v>565</v>
      </c>
      <c r="O45" s="402" t="s">
        <v>529</v>
      </c>
      <c r="P45" s="402" t="s">
        <v>656</v>
      </c>
      <c r="Q45" s="422" t="s">
        <v>2060</v>
      </c>
      <c r="R45" s="402" t="s">
        <v>336</v>
      </c>
      <c r="S45" s="402" t="s">
        <v>566</v>
      </c>
      <c r="T45" s="405" t="s">
        <v>4121</v>
      </c>
      <c r="U45" s="398" t="s">
        <v>434</v>
      </c>
    </row>
    <row r="46" spans="1:21" ht="39.6" x14ac:dyDescent="0.3">
      <c r="A46" s="41" t="s">
        <v>2433</v>
      </c>
      <c r="B46" s="24" t="s">
        <v>660</v>
      </c>
      <c r="C46" s="24" t="s">
        <v>657</v>
      </c>
      <c r="D46" s="24" t="s">
        <v>4122</v>
      </c>
      <c r="E46" s="24" t="s">
        <v>661</v>
      </c>
      <c r="F46" s="24" t="s">
        <v>1764</v>
      </c>
      <c r="G46" s="24" t="s">
        <v>1765</v>
      </c>
      <c r="H46" s="24" t="s">
        <v>1766</v>
      </c>
      <c r="I46" s="407" t="s">
        <v>16</v>
      </c>
      <c r="J46" s="24" t="s">
        <v>1767</v>
      </c>
      <c r="K46" s="24" t="s">
        <v>433</v>
      </c>
      <c r="L46" s="24" t="s">
        <v>1768</v>
      </c>
      <c r="M46" s="24" t="s">
        <v>328</v>
      </c>
      <c r="N46" s="24" t="s">
        <v>662</v>
      </c>
      <c r="O46" s="382"/>
      <c r="P46" s="24" t="s">
        <v>663</v>
      </c>
      <c r="Q46" s="408" t="s">
        <v>2110</v>
      </c>
      <c r="R46" s="24" t="s">
        <v>329</v>
      </c>
      <c r="S46" s="24" t="s">
        <v>1769</v>
      </c>
      <c r="T46" s="42" t="s">
        <v>1770</v>
      </c>
      <c r="U46" s="411">
        <v>111254</v>
      </c>
    </row>
    <row r="47" spans="1:21" ht="52.8" x14ac:dyDescent="0.3">
      <c r="A47" s="347" t="s">
        <v>1030</v>
      </c>
      <c r="B47" s="402" t="s">
        <v>397</v>
      </c>
      <c r="C47" s="402" t="s">
        <v>664</v>
      </c>
      <c r="D47" s="24" t="s">
        <v>2430</v>
      </c>
      <c r="E47" s="402" t="s">
        <v>665</v>
      </c>
      <c r="F47" s="402" t="s">
        <v>1433</v>
      </c>
      <c r="G47" s="402" t="s">
        <v>1434</v>
      </c>
      <c r="H47" s="402" t="s">
        <v>1435</v>
      </c>
      <c r="I47" s="403" t="s">
        <v>16</v>
      </c>
      <c r="J47" s="402" t="s">
        <v>355</v>
      </c>
      <c r="K47" s="402" t="s">
        <v>495</v>
      </c>
      <c r="L47" s="402" t="s">
        <v>1068</v>
      </c>
      <c r="M47" s="402" t="s">
        <v>328</v>
      </c>
      <c r="N47" s="402" t="s">
        <v>666</v>
      </c>
      <c r="O47" s="402" t="s">
        <v>667</v>
      </c>
      <c r="P47" s="402" t="s">
        <v>668</v>
      </c>
      <c r="Q47" s="422" t="s">
        <v>2016</v>
      </c>
      <c r="R47" s="402" t="s">
        <v>336</v>
      </c>
      <c r="S47" s="402" t="s">
        <v>669</v>
      </c>
      <c r="T47" s="405" t="s">
        <v>670</v>
      </c>
      <c r="U47" s="416">
        <v>103059</v>
      </c>
    </row>
    <row r="48" spans="1:21" ht="39.6" x14ac:dyDescent="0.3">
      <c r="A48" s="41" t="s">
        <v>2434</v>
      </c>
      <c r="B48" s="24" t="s">
        <v>1706</v>
      </c>
      <c r="C48" s="24" t="s">
        <v>1707</v>
      </c>
      <c r="D48" s="24" t="s">
        <v>2430</v>
      </c>
      <c r="E48" s="24" t="s">
        <v>658</v>
      </c>
      <c r="F48" s="24" t="s">
        <v>1705</v>
      </c>
      <c r="G48" s="24" t="s">
        <v>1708</v>
      </c>
      <c r="H48" s="24" t="s">
        <v>1709</v>
      </c>
      <c r="I48" s="407" t="s">
        <v>16</v>
      </c>
      <c r="J48" s="24" t="s">
        <v>317</v>
      </c>
      <c r="K48" s="24" t="s">
        <v>433</v>
      </c>
      <c r="L48" s="24" t="s">
        <v>1710</v>
      </c>
      <c r="M48" s="24" t="s">
        <v>328</v>
      </c>
      <c r="N48" s="382"/>
      <c r="O48" s="412"/>
      <c r="P48" s="24" t="s">
        <v>1711</v>
      </c>
      <c r="Q48" s="408" t="s">
        <v>1712</v>
      </c>
      <c r="R48" s="24" t="s">
        <v>336</v>
      </c>
      <c r="S48" s="24" t="s">
        <v>659</v>
      </c>
      <c r="T48" s="42" t="s">
        <v>387</v>
      </c>
      <c r="U48" s="47">
        <v>103894</v>
      </c>
    </row>
    <row r="49" spans="1:21" ht="66" x14ac:dyDescent="0.3">
      <c r="A49" s="41" t="s">
        <v>2435</v>
      </c>
      <c r="B49" s="24" t="s">
        <v>1796</v>
      </c>
      <c r="C49" s="24" t="s">
        <v>1797</v>
      </c>
      <c r="D49" s="24" t="s">
        <v>4123</v>
      </c>
      <c r="E49" s="24" t="s">
        <v>1792</v>
      </c>
      <c r="F49" s="24" t="s">
        <v>1793</v>
      </c>
      <c r="G49" s="24" t="s">
        <v>957</v>
      </c>
      <c r="H49" s="407" t="s">
        <v>16</v>
      </c>
      <c r="I49" s="407" t="s">
        <v>16</v>
      </c>
      <c r="J49" s="24" t="s">
        <v>367</v>
      </c>
      <c r="K49" s="24" t="s">
        <v>504</v>
      </c>
      <c r="L49" s="24" t="s">
        <v>958</v>
      </c>
      <c r="M49" s="24" t="s">
        <v>328</v>
      </c>
      <c r="N49" s="24" t="s">
        <v>1798</v>
      </c>
      <c r="O49" s="24" t="s">
        <v>541</v>
      </c>
      <c r="P49" s="24" t="s">
        <v>1799</v>
      </c>
      <c r="Q49" s="435" t="s">
        <v>4124</v>
      </c>
      <c r="R49" s="24" t="s">
        <v>332</v>
      </c>
      <c r="S49" s="24" t="s">
        <v>1794</v>
      </c>
      <c r="T49" s="33" t="s">
        <v>3568</v>
      </c>
      <c r="U49" s="47">
        <v>103484</v>
      </c>
    </row>
    <row r="50" spans="1:21" ht="66" x14ac:dyDescent="0.3">
      <c r="A50" s="347" t="s">
        <v>1021</v>
      </c>
      <c r="B50" s="402" t="s">
        <v>671</v>
      </c>
      <c r="C50" s="402" t="s">
        <v>672</v>
      </c>
      <c r="D50" s="402" t="s">
        <v>1991</v>
      </c>
      <c r="E50" s="402" t="s">
        <v>1992</v>
      </c>
      <c r="F50" s="402" t="s">
        <v>1387</v>
      </c>
      <c r="G50" s="402" t="s">
        <v>673</v>
      </c>
      <c r="H50" s="402" t="s">
        <v>1388</v>
      </c>
      <c r="I50" s="403" t="s">
        <v>16</v>
      </c>
      <c r="J50" s="402" t="s">
        <v>367</v>
      </c>
      <c r="K50" s="402" t="s">
        <v>504</v>
      </c>
      <c r="L50" s="402" t="s">
        <v>674</v>
      </c>
      <c r="M50" s="402" t="s">
        <v>328</v>
      </c>
      <c r="N50" s="402" t="s">
        <v>675</v>
      </c>
      <c r="O50" s="402" t="s">
        <v>676</v>
      </c>
      <c r="P50" s="402" t="s">
        <v>677</v>
      </c>
      <c r="Q50" s="404" t="s">
        <v>1993</v>
      </c>
      <c r="R50" s="402" t="s">
        <v>332</v>
      </c>
      <c r="S50" s="402" t="s">
        <v>457</v>
      </c>
      <c r="T50" s="405" t="s">
        <v>1994</v>
      </c>
      <c r="U50" s="406">
        <v>103380</v>
      </c>
    </row>
    <row r="51" spans="1:21" ht="92.4" x14ac:dyDescent="0.3">
      <c r="A51" s="28" t="s">
        <v>434</v>
      </c>
      <c r="B51" s="24" t="s">
        <v>427</v>
      </c>
      <c r="C51" s="24" t="s">
        <v>678</v>
      </c>
      <c r="D51" s="24" t="s">
        <v>2111</v>
      </c>
      <c r="E51" s="24" t="s">
        <v>571</v>
      </c>
      <c r="F51" s="24" t="s">
        <v>572</v>
      </c>
      <c r="G51" s="24" t="s">
        <v>679</v>
      </c>
      <c r="H51" s="24" t="s">
        <v>680</v>
      </c>
      <c r="I51" s="407" t="s">
        <v>16</v>
      </c>
      <c r="J51" s="24" t="s">
        <v>325</v>
      </c>
      <c r="K51" s="24" t="s">
        <v>433</v>
      </c>
      <c r="L51" s="24" t="s">
        <v>681</v>
      </c>
      <c r="M51" s="24" t="s">
        <v>328</v>
      </c>
      <c r="N51" s="24" t="s">
        <v>627</v>
      </c>
      <c r="O51" s="412"/>
      <c r="P51" s="24" t="s">
        <v>682</v>
      </c>
      <c r="Q51" s="404" t="s">
        <v>2112</v>
      </c>
      <c r="R51" s="24" t="s">
        <v>336</v>
      </c>
      <c r="S51" s="24" t="s">
        <v>1521</v>
      </c>
      <c r="T51" s="24" t="s">
        <v>1533</v>
      </c>
      <c r="U51" s="411">
        <v>103819</v>
      </c>
    </row>
    <row r="52" spans="1:21" ht="79.2" x14ac:dyDescent="0.3">
      <c r="A52" s="347" t="s">
        <v>1046</v>
      </c>
      <c r="B52" s="402" t="s">
        <v>309</v>
      </c>
      <c r="C52" s="402" t="s">
        <v>683</v>
      </c>
      <c r="D52" s="402" t="s">
        <v>2036</v>
      </c>
      <c r="E52" s="402" t="s">
        <v>1826</v>
      </c>
      <c r="F52" s="402" t="s">
        <v>1827</v>
      </c>
      <c r="G52" s="402" t="s">
        <v>588</v>
      </c>
      <c r="H52" s="402" t="s">
        <v>589</v>
      </c>
      <c r="I52" s="403" t="s">
        <v>16</v>
      </c>
      <c r="J52" s="402" t="s">
        <v>310</v>
      </c>
      <c r="K52" s="402" t="s">
        <v>433</v>
      </c>
      <c r="L52" s="402" t="s">
        <v>590</v>
      </c>
      <c r="M52" s="402" t="s">
        <v>328</v>
      </c>
      <c r="N52" s="402" t="s">
        <v>591</v>
      </c>
      <c r="O52" s="402" t="s">
        <v>684</v>
      </c>
      <c r="P52" s="402" t="s">
        <v>685</v>
      </c>
      <c r="Q52" s="422" t="s">
        <v>2037</v>
      </c>
      <c r="R52" s="402" t="s">
        <v>332</v>
      </c>
      <c r="S52" s="402" t="s">
        <v>1828</v>
      </c>
      <c r="T52" s="405" t="s">
        <v>2436</v>
      </c>
      <c r="U52" s="416">
        <v>103547</v>
      </c>
    </row>
    <row r="53" spans="1:21" ht="66" x14ac:dyDescent="0.3">
      <c r="A53" s="28" t="s">
        <v>434</v>
      </c>
      <c r="B53" s="24" t="s">
        <v>2113</v>
      </c>
      <c r="C53" s="24" t="s">
        <v>1420</v>
      </c>
      <c r="D53" s="24" t="s">
        <v>2114</v>
      </c>
      <c r="E53" s="24" t="s">
        <v>1421</v>
      </c>
      <c r="F53" s="24" t="s">
        <v>1421</v>
      </c>
      <c r="G53" s="24" t="s">
        <v>1422</v>
      </c>
      <c r="H53" s="24" t="s">
        <v>1423</v>
      </c>
      <c r="I53" s="407" t="s">
        <v>16</v>
      </c>
      <c r="J53" s="24" t="s">
        <v>1424</v>
      </c>
      <c r="K53" s="24" t="s">
        <v>455</v>
      </c>
      <c r="L53" s="24" t="s">
        <v>1425</v>
      </c>
      <c r="M53" s="24" t="s">
        <v>328</v>
      </c>
      <c r="N53" s="407" t="s">
        <v>1426</v>
      </c>
      <c r="O53" s="426"/>
      <c r="P53" s="24" t="s">
        <v>1427</v>
      </c>
      <c r="Q53" s="408" t="s">
        <v>2115</v>
      </c>
      <c r="R53" s="24" t="s">
        <v>336</v>
      </c>
      <c r="S53" s="24" t="s">
        <v>1428</v>
      </c>
      <c r="T53" s="42" t="s">
        <v>1429</v>
      </c>
      <c r="U53" s="411">
        <v>111525</v>
      </c>
    </row>
    <row r="54" spans="1:21" s="213" customFormat="1" ht="66" x14ac:dyDescent="0.3">
      <c r="A54" s="41" t="s">
        <v>2259</v>
      </c>
      <c r="B54" s="24" t="s">
        <v>1522</v>
      </c>
      <c r="C54" s="24" t="s">
        <v>965</v>
      </c>
      <c r="D54" s="24" t="s">
        <v>2437</v>
      </c>
      <c r="E54" s="24" t="s">
        <v>536</v>
      </c>
      <c r="F54" s="24" t="s">
        <v>1517</v>
      </c>
      <c r="G54" s="24" t="s">
        <v>1518</v>
      </c>
      <c r="H54" s="24" t="s">
        <v>1519</v>
      </c>
      <c r="I54" s="407" t="s">
        <v>16</v>
      </c>
      <c r="J54" s="24" t="s">
        <v>1523</v>
      </c>
      <c r="K54" s="24" t="s">
        <v>464</v>
      </c>
      <c r="L54" s="24" t="s">
        <v>1520</v>
      </c>
      <c r="M54" s="24" t="s">
        <v>328</v>
      </c>
      <c r="N54" s="24" t="s">
        <v>1524</v>
      </c>
      <c r="O54" s="412"/>
      <c r="P54" s="24" t="s">
        <v>1525</v>
      </c>
      <c r="Q54" s="408" t="s">
        <v>2438</v>
      </c>
      <c r="R54" s="24" t="s">
        <v>336</v>
      </c>
      <c r="S54" s="24" t="s">
        <v>537</v>
      </c>
      <c r="T54" s="42" t="s">
        <v>2439</v>
      </c>
      <c r="U54" s="411">
        <v>106159</v>
      </c>
    </row>
    <row r="55" spans="1:21" ht="39.6" x14ac:dyDescent="0.3">
      <c r="A55" s="28" t="s">
        <v>434</v>
      </c>
      <c r="B55" s="424" t="s">
        <v>2440</v>
      </c>
      <c r="C55" s="424" t="s">
        <v>687</v>
      </c>
      <c r="D55" s="24" t="s">
        <v>2441</v>
      </c>
      <c r="E55" s="424" t="s">
        <v>460</v>
      </c>
      <c r="F55" s="424" t="s">
        <v>461</v>
      </c>
      <c r="G55" s="424" t="s">
        <v>462</v>
      </c>
      <c r="H55" s="424" t="s">
        <v>1664</v>
      </c>
      <c r="I55" s="424" t="s">
        <v>16</v>
      </c>
      <c r="J55" s="424" t="s">
        <v>317</v>
      </c>
      <c r="K55" s="424" t="s">
        <v>433</v>
      </c>
      <c r="L55" s="424" t="s">
        <v>463</v>
      </c>
      <c r="M55" s="424" t="s">
        <v>328</v>
      </c>
      <c r="N55" s="424" t="s">
        <v>688</v>
      </c>
      <c r="O55" s="424"/>
      <c r="P55" s="424" t="s">
        <v>689</v>
      </c>
      <c r="Q55" s="424" t="s">
        <v>1665</v>
      </c>
      <c r="R55" s="424" t="s">
        <v>336</v>
      </c>
      <c r="S55" s="424" t="s">
        <v>530</v>
      </c>
      <c r="T55" s="42" t="s">
        <v>4108</v>
      </c>
      <c r="U55" s="23" t="s">
        <v>434</v>
      </c>
    </row>
    <row r="56" spans="1:21" ht="39.6" x14ac:dyDescent="0.3">
      <c r="A56" s="41" t="s">
        <v>2442</v>
      </c>
      <c r="B56" s="24" t="s">
        <v>2319</v>
      </c>
      <c r="C56" s="24" t="s">
        <v>2443</v>
      </c>
      <c r="D56" s="24" t="s">
        <v>2444</v>
      </c>
      <c r="E56" s="24" t="s">
        <v>460</v>
      </c>
      <c r="F56" s="24" t="s">
        <v>461</v>
      </c>
      <c r="G56" s="24" t="s">
        <v>462</v>
      </c>
      <c r="H56" s="24" t="s">
        <v>2445</v>
      </c>
      <c r="I56" s="407" t="s">
        <v>16</v>
      </c>
      <c r="J56" s="24" t="s">
        <v>317</v>
      </c>
      <c r="K56" s="24" t="s">
        <v>433</v>
      </c>
      <c r="L56" s="24" t="s">
        <v>463</v>
      </c>
      <c r="M56" s="24" t="s">
        <v>328</v>
      </c>
      <c r="N56" s="24" t="s">
        <v>2446</v>
      </c>
      <c r="O56" s="24" t="s">
        <v>529</v>
      </c>
      <c r="P56" s="24" t="s">
        <v>2447</v>
      </c>
      <c r="Q56" s="410" t="s">
        <v>2448</v>
      </c>
      <c r="R56" s="24" t="s">
        <v>336</v>
      </c>
      <c r="S56" s="24" t="s">
        <v>2449</v>
      </c>
      <c r="T56" s="42" t="s">
        <v>2450</v>
      </c>
      <c r="U56" s="41" t="s">
        <v>434</v>
      </c>
    </row>
    <row r="57" spans="1:21" ht="79.2" x14ac:dyDescent="0.3">
      <c r="A57" s="28" t="s">
        <v>434</v>
      </c>
      <c r="B57" s="24" t="s">
        <v>2116</v>
      </c>
      <c r="C57" s="24" t="s">
        <v>691</v>
      </c>
      <c r="D57" s="24" t="s">
        <v>2103</v>
      </c>
      <c r="E57" s="24" t="s">
        <v>2420</v>
      </c>
      <c r="F57" s="24" t="s">
        <v>2421</v>
      </c>
      <c r="G57" s="24" t="s">
        <v>534</v>
      </c>
      <c r="H57" s="407" t="s">
        <v>16</v>
      </c>
      <c r="I57" s="407" t="s">
        <v>16</v>
      </c>
      <c r="J57" s="24" t="s">
        <v>312</v>
      </c>
      <c r="K57" s="24" t="s">
        <v>455</v>
      </c>
      <c r="L57" s="24" t="s">
        <v>535</v>
      </c>
      <c r="M57" s="24" t="s">
        <v>328</v>
      </c>
      <c r="N57" s="407" t="s">
        <v>692</v>
      </c>
      <c r="O57" s="382"/>
      <c r="P57" s="24" t="s">
        <v>693</v>
      </c>
      <c r="Q57" s="408" t="s">
        <v>2451</v>
      </c>
      <c r="R57" s="24" t="s">
        <v>336</v>
      </c>
      <c r="S57" s="24" t="s">
        <v>1603</v>
      </c>
      <c r="T57" s="42" t="s">
        <v>2027</v>
      </c>
      <c r="U57" s="47">
        <v>104897</v>
      </c>
    </row>
    <row r="58" spans="1:21" ht="52.8" x14ac:dyDescent="0.3">
      <c r="A58" s="28" t="s">
        <v>434</v>
      </c>
      <c r="B58" s="24" t="s">
        <v>2117</v>
      </c>
      <c r="C58" s="24" t="s">
        <v>690</v>
      </c>
      <c r="D58" s="24" t="s">
        <v>2118</v>
      </c>
      <c r="E58" s="24" t="s">
        <v>1781</v>
      </c>
      <c r="F58" s="24" t="s">
        <v>597</v>
      </c>
      <c r="G58" s="24" t="s">
        <v>1782</v>
      </c>
      <c r="H58" s="24" t="s">
        <v>1783</v>
      </c>
      <c r="I58" s="407" t="s">
        <v>16</v>
      </c>
      <c r="J58" s="24" t="s">
        <v>326</v>
      </c>
      <c r="K58" s="24" t="s">
        <v>433</v>
      </c>
      <c r="L58" s="24" t="s">
        <v>1784</v>
      </c>
      <c r="M58" s="24" t="s">
        <v>328</v>
      </c>
      <c r="N58" s="24" t="s">
        <v>1786</v>
      </c>
      <c r="O58" s="412"/>
      <c r="P58" s="24" t="s">
        <v>1787</v>
      </c>
      <c r="Q58" s="408" t="s">
        <v>2119</v>
      </c>
      <c r="R58" s="24" t="s">
        <v>329</v>
      </c>
      <c r="S58" s="24" t="s">
        <v>1788</v>
      </c>
      <c r="T58" s="42" t="s">
        <v>1789</v>
      </c>
      <c r="U58" s="411">
        <v>104318</v>
      </c>
    </row>
    <row r="59" spans="1:21" ht="66" x14ac:dyDescent="0.3">
      <c r="A59" s="28" t="s">
        <v>434</v>
      </c>
      <c r="B59" s="24" t="s">
        <v>2120</v>
      </c>
      <c r="C59" s="24" t="s">
        <v>1604</v>
      </c>
      <c r="D59" s="24" t="s">
        <v>2121</v>
      </c>
      <c r="E59" s="24" t="s">
        <v>2420</v>
      </c>
      <c r="F59" s="24" t="s">
        <v>2421</v>
      </c>
      <c r="G59" s="24" t="s">
        <v>534</v>
      </c>
      <c r="H59" s="449" t="s">
        <v>16</v>
      </c>
      <c r="I59" s="407" t="s">
        <v>16</v>
      </c>
      <c r="J59" s="24" t="s">
        <v>312</v>
      </c>
      <c r="K59" s="24" t="s">
        <v>455</v>
      </c>
      <c r="L59" s="24" t="s">
        <v>535</v>
      </c>
      <c r="M59" s="24" t="s">
        <v>328</v>
      </c>
      <c r="N59" s="24" t="s">
        <v>946</v>
      </c>
      <c r="O59" s="382"/>
      <c r="P59" s="24" t="s">
        <v>1605</v>
      </c>
      <c r="Q59" s="408" t="s">
        <v>2629</v>
      </c>
      <c r="R59" s="24" t="s">
        <v>336</v>
      </c>
      <c r="S59" s="24" t="s">
        <v>1603</v>
      </c>
      <c r="T59" s="42" t="s">
        <v>2027</v>
      </c>
      <c r="U59" s="47">
        <v>104897</v>
      </c>
    </row>
    <row r="60" spans="1:21" ht="66" x14ac:dyDescent="0.3">
      <c r="A60" s="347" t="s">
        <v>2265</v>
      </c>
      <c r="B60" s="24" t="s">
        <v>2122</v>
      </c>
      <c r="C60" s="24" t="s">
        <v>697</v>
      </c>
      <c r="D60" s="24" t="s">
        <v>2123</v>
      </c>
      <c r="E60" s="24" t="s">
        <v>1421</v>
      </c>
      <c r="F60" s="24" t="s">
        <v>1421</v>
      </c>
      <c r="G60" s="24" t="s">
        <v>1422</v>
      </c>
      <c r="H60" s="24" t="s">
        <v>1423</v>
      </c>
      <c r="I60" s="407" t="s">
        <v>16</v>
      </c>
      <c r="J60" s="24" t="s">
        <v>1424</v>
      </c>
      <c r="K60" s="24" t="s">
        <v>455</v>
      </c>
      <c r="L60" s="24" t="s">
        <v>1425</v>
      </c>
      <c r="M60" s="24" t="s">
        <v>328</v>
      </c>
      <c r="N60" s="407" t="s">
        <v>1430</v>
      </c>
      <c r="O60" s="426"/>
      <c r="P60" s="24" t="s">
        <v>1431</v>
      </c>
      <c r="Q60" s="408" t="s">
        <v>2124</v>
      </c>
      <c r="R60" s="24" t="s">
        <v>336</v>
      </c>
      <c r="S60" s="24" t="s">
        <v>1428</v>
      </c>
      <c r="T60" s="42" t="s">
        <v>1429</v>
      </c>
      <c r="U60" s="411">
        <v>111525</v>
      </c>
    </row>
    <row r="61" spans="1:21" ht="66" x14ac:dyDescent="0.3">
      <c r="A61" s="28" t="s">
        <v>434</v>
      </c>
      <c r="B61" s="24" t="s">
        <v>1820</v>
      </c>
      <c r="C61" s="24" t="s">
        <v>698</v>
      </c>
      <c r="D61" s="382"/>
      <c r="E61" s="24" t="s">
        <v>1816</v>
      </c>
      <c r="F61" s="24" t="s">
        <v>1817</v>
      </c>
      <c r="G61" s="24" t="s">
        <v>440</v>
      </c>
      <c r="H61" s="407" t="s">
        <v>16</v>
      </c>
      <c r="I61" s="407" t="s">
        <v>16</v>
      </c>
      <c r="J61" s="24" t="s">
        <v>375</v>
      </c>
      <c r="K61" s="24" t="s">
        <v>433</v>
      </c>
      <c r="L61" s="24" t="s">
        <v>441</v>
      </c>
      <c r="M61" s="24" t="s">
        <v>328</v>
      </c>
      <c r="N61" s="24" t="s">
        <v>533</v>
      </c>
      <c r="O61" s="24" t="s">
        <v>443</v>
      </c>
      <c r="P61" s="24" t="s">
        <v>1821</v>
      </c>
      <c r="Q61" s="404" t="s">
        <v>2125</v>
      </c>
      <c r="R61" s="24" t="s">
        <v>332</v>
      </c>
      <c r="S61" s="24" t="s">
        <v>1822</v>
      </c>
      <c r="T61" s="42" t="s">
        <v>1795</v>
      </c>
      <c r="U61" s="47">
        <v>102886</v>
      </c>
    </row>
    <row r="62" spans="1:21" ht="66" x14ac:dyDescent="0.3">
      <c r="A62" s="41" t="s">
        <v>2452</v>
      </c>
      <c r="B62" s="24" t="s">
        <v>1854</v>
      </c>
      <c r="C62" s="24" t="s">
        <v>699</v>
      </c>
      <c r="D62" s="24" t="s">
        <v>4125</v>
      </c>
      <c r="E62" s="24" t="s">
        <v>1855</v>
      </c>
      <c r="F62" s="24" t="s">
        <v>1856</v>
      </c>
      <c r="G62" s="52" t="s">
        <v>1857</v>
      </c>
      <c r="H62" s="407" t="s">
        <v>16</v>
      </c>
      <c r="I62" s="407" t="s">
        <v>16</v>
      </c>
      <c r="J62" s="24" t="s">
        <v>312</v>
      </c>
      <c r="K62" s="24" t="s">
        <v>455</v>
      </c>
      <c r="L62" s="24" t="s">
        <v>1858</v>
      </c>
      <c r="M62" s="24" t="s">
        <v>328</v>
      </c>
      <c r="N62" s="24" t="s">
        <v>1859</v>
      </c>
      <c r="O62" s="382"/>
      <c r="P62" s="24" t="s">
        <v>1860</v>
      </c>
      <c r="Q62" s="408" t="s">
        <v>2126</v>
      </c>
      <c r="R62" s="24" t="s">
        <v>336</v>
      </c>
      <c r="S62" s="24" t="s">
        <v>1861</v>
      </c>
      <c r="T62" s="42" t="s">
        <v>1862</v>
      </c>
      <c r="U62" s="47">
        <v>110457</v>
      </c>
    </row>
    <row r="63" spans="1:21" ht="79.2" x14ac:dyDescent="0.3">
      <c r="A63" s="347" t="s">
        <v>1028</v>
      </c>
      <c r="B63" s="402" t="s">
        <v>414</v>
      </c>
      <c r="C63" s="402" t="s">
        <v>700</v>
      </c>
      <c r="D63" s="417"/>
      <c r="E63" s="402" t="s">
        <v>606</v>
      </c>
      <c r="F63" s="402" t="s">
        <v>869</v>
      </c>
      <c r="G63" s="402" t="s">
        <v>870</v>
      </c>
      <c r="H63" s="402" t="s">
        <v>1403</v>
      </c>
      <c r="I63" s="402" t="s">
        <v>1404</v>
      </c>
      <c r="J63" s="402" t="s">
        <v>312</v>
      </c>
      <c r="K63" s="402" t="s">
        <v>455</v>
      </c>
      <c r="L63" s="402" t="s">
        <v>871</v>
      </c>
      <c r="M63" s="402" t="s">
        <v>328</v>
      </c>
      <c r="N63" s="402" t="s">
        <v>701</v>
      </c>
      <c r="O63" s="402" t="s">
        <v>702</v>
      </c>
      <c r="P63" s="402" t="s">
        <v>703</v>
      </c>
      <c r="Q63" s="422" t="s">
        <v>2010</v>
      </c>
      <c r="R63" s="402" t="s">
        <v>329</v>
      </c>
      <c r="S63" s="402" t="s">
        <v>2011</v>
      </c>
      <c r="T63" s="405" t="s">
        <v>2012</v>
      </c>
      <c r="U63" s="416">
        <v>100033</v>
      </c>
    </row>
    <row r="64" spans="1:21" ht="52.8" x14ac:dyDescent="0.3">
      <c r="A64" s="41" t="s">
        <v>2583</v>
      </c>
      <c r="B64" s="24" t="s">
        <v>2127</v>
      </c>
      <c r="C64" s="24" t="s">
        <v>1785</v>
      </c>
      <c r="D64" s="24" t="s">
        <v>2128</v>
      </c>
      <c r="E64" s="24" t="s">
        <v>1781</v>
      </c>
      <c r="F64" s="24" t="s">
        <v>597</v>
      </c>
      <c r="G64" s="24" t="s">
        <v>1782</v>
      </c>
      <c r="H64" s="24" t="s">
        <v>1783</v>
      </c>
      <c r="I64" s="407" t="s">
        <v>16</v>
      </c>
      <c r="J64" s="24" t="s">
        <v>326</v>
      </c>
      <c r="K64" s="24" t="s">
        <v>433</v>
      </c>
      <c r="L64" s="24" t="s">
        <v>1784</v>
      </c>
      <c r="M64" s="24" t="s">
        <v>328</v>
      </c>
      <c r="N64" s="24" t="s">
        <v>1790</v>
      </c>
      <c r="O64" s="412"/>
      <c r="P64" s="24" t="s">
        <v>1791</v>
      </c>
      <c r="Q64" s="408" t="s">
        <v>2129</v>
      </c>
      <c r="R64" s="24" t="s">
        <v>329</v>
      </c>
      <c r="S64" s="24" t="s">
        <v>1788</v>
      </c>
      <c r="T64" s="42" t="s">
        <v>1789</v>
      </c>
      <c r="U64" s="411">
        <v>104318</v>
      </c>
    </row>
    <row r="65" spans="1:21" s="213" customFormat="1" ht="52.8" x14ac:dyDescent="0.3">
      <c r="A65" s="41" t="s">
        <v>2453</v>
      </c>
      <c r="B65" s="24" t="s">
        <v>708</v>
      </c>
      <c r="C65" s="24" t="s">
        <v>709</v>
      </c>
      <c r="D65" s="24" t="s">
        <v>2430</v>
      </c>
      <c r="E65" s="24" t="s">
        <v>523</v>
      </c>
      <c r="F65" s="24" t="s">
        <v>524</v>
      </c>
      <c r="G65" s="427" t="s">
        <v>1732</v>
      </c>
      <c r="H65" s="24" t="s">
        <v>1744</v>
      </c>
      <c r="I65" s="407" t="s">
        <v>16</v>
      </c>
      <c r="J65" s="24" t="s">
        <v>364</v>
      </c>
      <c r="K65" s="24" t="s">
        <v>455</v>
      </c>
      <c r="L65" s="24" t="s">
        <v>525</v>
      </c>
      <c r="M65" s="24" t="s">
        <v>328</v>
      </c>
      <c r="N65" s="24" t="s">
        <v>710</v>
      </c>
      <c r="O65" s="24" t="s">
        <v>711</v>
      </c>
      <c r="P65" s="24" t="s">
        <v>712</v>
      </c>
      <c r="Q65" s="408" t="s">
        <v>2130</v>
      </c>
      <c r="R65" s="24" t="s">
        <v>336</v>
      </c>
      <c r="S65" s="24" t="s">
        <v>526</v>
      </c>
      <c r="T65" s="428" t="s">
        <v>713</v>
      </c>
      <c r="U65" s="411">
        <v>103381</v>
      </c>
    </row>
    <row r="66" spans="1:21" ht="66" x14ac:dyDescent="0.3">
      <c r="A66" s="398" t="s">
        <v>2639</v>
      </c>
      <c r="B66" s="402" t="s">
        <v>2330</v>
      </c>
      <c r="C66" s="402" t="s">
        <v>2640</v>
      </c>
      <c r="D66" s="402" t="s">
        <v>2430</v>
      </c>
      <c r="E66" s="402" t="s">
        <v>966</v>
      </c>
      <c r="F66" s="24" t="s">
        <v>2154</v>
      </c>
      <c r="G66" s="402" t="s">
        <v>2641</v>
      </c>
      <c r="H66" s="402" t="s">
        <v>2642</v>
      </c>
      <c r="I66" s="403" t="s">
        <v>16</v>
      </c>
      <c r="J66" s="402" t="s">
        <v>305</v>
      </c>
      <c r="K66" s="402" t="s">
        <v>495</v>
      </c>
      <c r="L66" s="402" t="s">
        <v>2643</v>
      </c>
      <c r="M66" s="402" t="s">
        <v>328</v>
      </c>
      <c r="N66" s="402" t="s">
        <v>2644</v>
      </c>
      <c r="O66" s="417"/>
      <c r="P66" s="402" t="s">
        <v>2645</v>
      </c>
      <c r="Q66" s="408" t="s">
        <v>2646</v>
      </c>
      <c r="R66" s="402" t="s">
        <v>336</v>
      </c>
      <c r="S66" s="451" t="s">
        <v>2647</v>
      </c>
      <c r="T66" s="42" t="s">
        <v>2648</v>
      </c>
      <c r="U66" s="416">
        <v>111853</v>
      </c>
    </row>
    <row r="67" spans="1:21" ht="52.8" x14ac:dyDescent="0.3">
      <c r="A67" s="28" t="s">
        <v>434</v>
      </c>
      <c r="B67" s="25" t="s">
        <v>3868</v>
      </c>
      <c r="C67" s="25" t="s">
        <v>4126</v>
      </c>
      <c r="D67" s="25" t="s">
        <v>4127</v>
      </c>
      <c r="E67" s="25" t="s">
        <v>451</v>
      </c>
      <c r="F67" s="25" t="s">
        <v>452</v>
      </c>
      <c r="G67" s="25" t="s">
        <v>1931</v>
      </c>
      <c r="H67" s="25" t="s">
        <v>3938</v>
      </c>
      <c r="I67" s="25" t="s">
        <v>16</v>
      </c>
      <c r="J67" s="25" t="s">
        <v>368</v>
      </c>
      <c r="K67" s="25" t="s">
        <v>433</v>
      </c>
      <c r="L67" s="24" t="s">
        <v>508</v>
      </c>
      <c r="M67" s="25" t="s">
        <v>328</v>
      </c>
      <c r="N67" s="639"/>
      <c r="O67" s="639"/>
      <c r="P67" s="25" t="s">
        <v>4128</v>
      </c>
      <c r="Q67" s="441" t="s">
        <v>3941</v>
      </c>
      <c r="R67" s="25" t="s">
        <v>336</v>
      </c>
      <c r="S67" s="25" t="s">
        <v>3942</v>
      </c>
      <c r="T67" s="45" t="s">
        <v>453</v>
      </c>
      <c r="U67" s="47">
        <v>103794</v>
      </c>
    </row>
    <row r="68" spans="1:21" ht="79.2" x14ac:dyDescent="0.3">
      <c r="A68" s="41" t="s">
        <v>434</v>
      </c>
      <c r="B68" s="25" t="s">
        <v>4129</v>
      </c>
      <c r="C68" s="25" t="s">
        <v>4130</v>
      </c>
      <c r="D68" s="25" t="s">
        <v>4131</v>
      </c>
      <c r="E68" s="25" t="s">
        <v>1773</v>
      </c>
      <c r="F68" s="25" t="s">
        <v>1774</v>
      </c>
      <c r="G68" s="25" t="s">
        <v>1775</v>
      </c>
      <c r="H68" s="25" t="s">
        <v>1776</v>
      </c>
      <c r="I68" s="24" t="s">
        <v>4132</v>
      </c>
      <c r="J68" s="25" t="s">
        <v>1777</v>
      </c>
      <c r="K68" s="25" t="s">
        <v>601</v>
      </c>
      <c r="L68" s="24" t="s">
        <v>1778</v>
      </c>
      <c r="M68" s="25" t="s">
        <v>328</v>
      </c>
      <c r="N68" s="25" t="s">
        <v>4133</v>
      </c>
      <c r="O68" s="639"/>
      <c r="P68" s="25" t="s">
        <v>4134</v>
      </c>
      <c r="Q68" s="441" t="s">
        <v>4135</v>
      </c>
      <c r="R68" s="25" t="s">
        <v>336</v>
      </c>
      <c r="S68" s="25" t="s">
        <v>4136</v>
      </c>
      <c r="T68" s="33" t="s">
        <v>4137</v>
      </c>
      <c r="U68" s="47" t="s">
        <v>4138</v>
      </c>
    </row>
    <row r="69" spans="1:21" ht="79.2" x14ac:dyDescent="0.3">
      <c r="A69" s="28" t="s">
        <v>434</v>
      </c>
      <c r="B69" s="24" t="s">
        <v>714</v>
      </c>
      <c r="C69" s="24" t="s">
        <v>715</v>
      </c>
      <c r="D69" s="24" t="s">
        <v>2633</v>
      </c>
      <c r="E69" s="24" t="s">
        <v>444</v>
      </c>
      <c r="F69" s="24" t="s">
        <v>2395</v>
      </c>
      <c r="G69" s="24" t="s">
        <v>445</v>
      </c>
      <c r="H69" s="24" t="s">
        <v>1702</v>
      </c>
      <c r="I69" s="24" t="s">
        <v>1703</v>
      </c>
      <c r="J69" s="24" t="s">
        <v>363</v>
      </c>
      <c r="K69" s="24" t="s">
        <v>433</v>
      </c>
      <c r="L69" s="24" t="s">
        <v>446</v>
      </c>
      <c r="M69" s="24" t="s">
        <v>328</v>
      </c>
      <c r="N69" s="24" t="s">
        <v>716</v>
      </c>
      <c r="O69" s="382"/>
      <c r="P69" s="24" t="s">
        <v>717</v>
      </c>
      <c r="Q69" s="408" t="s">
        <v>2634</v>
      </c>
      <c r="R69" s="24" t="s">
        <v>336</v>
      </c>
      <c r="S69" s="24" t="s">
        <v>4106</v>
      </c>
      <c r="T69" s="42" t="s">
        <v>447</v>
      </c>
      <c r="U69" s="47">
        <v>103838</v>
      </c>
    </row>
    <row r="70" spans="1:21" s="25" customFormat="1" ht="39.6" x14ac:dyDescent="0.3">
      <c r="A70" s="41" t="s">
        <v>3944</v>
      </c>
      <c r="B70" s="25" t="s">
        <v>3949</v>
      </c>
      <c r="C70" s="25" t="s">
        <v>3950</v>
      </c>
      <c r="D70" s="25" t="s">
        <v>3951</v>
      </c>
      <c r="E70" s="25" t="s">
        <v>460</v>
      </c>
      <c r="F70" s="25" t="s">
        <v>461</v>
      </c>
      <c r="G70" s="25" t="s">
        <v>462</v>
      </c>
      <c r="H70" s="25" t="s">
        <v>1659</v>
      </c>
      <c r="I70" s="25" t="s">
        <v>16</v>
      </c>
      <c r="J70" s="25" t="s">
        <v>317</v>
      </c>
      <c r="K70" s="25" t="s">
        <v>433</v>
      </c>
      <c r="L70" s="24" t="s">
        <v>463</v>
      </c>
      <c r="M70" s="25" t="s">
        <v>328</v>
      </c>
      <c r="N70" s="434"/>
      <c r="O70" s="639"/>
      <c r="P70" s="25" t="s">
        <v>3952</v>
      </c>
      <c r="Q70" s="441" t="s">
        <v>3953</v>
      </c>
      <c r="R70" s="25" t="s">
        <v>336</v>
      </c>
      <c r="S70" s="25" t="s">
        <v>3954</v>
      </c>
      <c r="T70" s="33" t="s">
        <v>4139</v>
      </c>
      <c r="U70" s="41" t="s">
        <v>434</v>
      </c>
    </row>
    <row r="71" spans="1:21" ht="66" x14ac:dyDescent="0.3">
      <c r="A71" s="347" t="s">
        <v>1349</v>
      </c>
      <c r="B71" s="402" t="s">
        <v>428</v>
      </c>
      <c r="C71" s="402" t="s">
        <v>719</v>
      </c>
      <c r="D71" s="417"/>
      <c r="E71" s="402" t="s">
        <v>606</v>
      </c>
      <c r="F71" s="402" t="s">
        <v>869</v>
      </c>
      <c r="G71" s="402" t="s">
        <v>870</v>
      </c>
      <c r="H71" s="402" t="s">
        <v>1405</v>
      </c>
      <c r="I71" s="402" t="s">
        <v>1404</v>
      </c>
      <c r="J71" s="402" t="s">
        <v>312</v>
      </c>
      <c r="K71" s="402" t="s">
        <v>455</v>
      </c>
      <c r="L71" s="402" t="s">
        <v>871</v>
      </c>
      <c r="M71" s="402" t="s">
        <v>328</v>
      </c>
      <c r="N71" s="402" t="s">
        <v>1406</v>
      </c>
      <c r="O71" s="402" t="s">
        <v>720</v>
      </c>
      <c r="P71" s="402" t="s">
        <v>721</v>
      </c>
      <c r="Q71" s="422" t="s">
        <v>2013</v>
      </c>
      <c r="R71" s="402" t="s">
        <v>329</v>
      </c>
      <c r="S71" s="402" t="s">
        <v>2011</v>
      </c>
      <c r="T71" s="405" t="s">
        <v>2012</v>
      </c>
      <c r="U71" s="416">
        <v>100033</v>
      </c>
    </row>
    <row r="72" spans="1:21" ht="39.6" x14ac:dyDescent="0.3">
      <c r="A72" s="41" t="s">
        <v>2454</v>
      </c>
      <c r="B72" s="24" t="s">
        <v>429</v>
      </c>
      <c r="C72" s="24" t="s">
        <v>1458</v>
      </c>
      <c r="D72" s="382"/>
      <c r="E72" s="24" t="s">
        <v>1459</v>
      </c>
      <c r="F72" s="24" t="s">
        <v>1460</v>
      </c>
      <c r="G72" s="24" t="s">
        <v>1461</v>
      </c>
      <c r="H72" s="24" t="s">
        <v>1462</v>
      </c>
      <c r="I72" s="407" t="s">
        <v>16</v>
      </c>
      <c r="J72" s="24" t="s">
        <v>364</v>
      </c>
      <c r="K72" s="24" t="s">
        <v>455</v>
      </c>
      <c r="L72" s="24" t="s">
        <v>1463</v>
      </c>
      <c r="M72" s="24" t="s">
        <v>328</v>
      </c>
      <c r="N72" s="24" t="s">
        <v>1464</v>
      </c>
      <c r="O72" s="412"/>
      <c r="P72" s="24" t="s">
        <v>1465</v>
      </c>
      <c r="Q72" s="408" t="s">
        <v>2131</v>
      </c>
      <c r="R72" s="24" t="s">
        <v>329</v>
      </c>
      <c r="S72" s="24" t="s">
        <v>1466</v>
      </c>
      <c r="T72" s="42" t="s">
        <v>1467</v>
      </c>
      <c r="U72" s="47">
        <v>103161</v>
      </c>
    </row>
    <row r="73" spans="1:21" ht="66" x14ac:dyDescent="0.3">
      <c r="A73" s="347" t="s">
        <v>1040</v>
      </c>
      <c r="B73" s="402" t="s">
        <v>722</v>
      </c>
      <c r="C73" s="402" t="s">
        <v>723</v>
      </c>
      <c r="D73" s="402" t="s">
        <v>2589</v>
      </c>
      <c r="E73" s="402" t="s">
        <v>436</v>
      </c>
      <c r="F73" s="402" t="s">
        <v>437</v>
      </c>
      <c r="G73" s="402" t="s">
        <v>531</v>
      </c>
      <c r="H73" s="402" t="s">
        <v>1902</v>
      </c>
      <c r="I73" s="402" t="s">
        <v>1901</v>
      </c>
      <c r="J73" s="402" t="s">
        <v>438</v>
      </c>
      <c r="K73" s="402" t="s">
        <v>433</v>
      </c>
      <c r="L73" s="402" t="s">
        <v>532</v>
      </c>
      <c r="M73" s="402" t="s">
        <v>328</v>
      </c>
      <c r="N73" s="403" t="s">
        <v>724</v>
      </c>
      <c r="O73" s="429"/>
      <c r="P73" s="402" t="s">
        <v>725</v>
      </c>
      <c r="Q73" s="422" t="s">
        <v>2067</v>
      </c>
      <c r="R73" s="402" t="s">
        <v>336</v>
      </c>
      <c r="S73" s="402" t="s">
        <v>527</v>
      </c>
      <c r="T73" s="405" t="s">
        <v>528</v>
      </c>
      <c r="U73" s="406">
        <v>103748</v>
      </c>
    </row>
    <row r="74" spans="1:21" ht="52.8" x14ac:dyDescent="0.3">
      <c r="A74" s="28" t="s">
        <v>434</v>
      </c>
      <c r="B74" s="24" t="s">
        <v>2455</v>
      </c>
      <c r="C74" s="24" t="s">
        <v>726</v>
      </c>
      <c r="D74" s="24" t="s">
        <v>2456</v>
      </c>
      <c r="E74" s="24" t="s">
        <v>2255</v>
      </c>
      <c r="F74" s="24" t="s">
        <v>2457</v>
      </c>
      <c r="G74" s="24" t="s">
        <v>2458</v>
      </c>
      <c r="H74" s="24" t="s">
        <v>2459</v>
      </c>
      <c r="I74" s="407" t="s">
        <v>16</v>
      </c>
      <c r="J74" s="24" t="s">
        <v>1846</v>
      </c>
      <c r="K74" s="24" t="s">
        <v>458</v>
      </c>
      <c r="L74" s="24" t="s">
        <v>2460</v>
      </c>
      <c r="M74" s="24" t="s">
        <v>328</v>
      </c>
      <c r="N74" s="24" t="s">
        <v>2461</v>
      </c>
      <c r="O74" s="382"/>
      <c r="P74" s="24" t="s">
        <v>2462</v>
      </c>
      <c r="Q74" s="408" t="s">
        <v>2463</v>
      </c>
      <c r="R74" s="24" t="s">
        <v>336</v>
      </c>
      <c r="S74" s="24" t="s">
        <v>2464</v>
      </c>
      <c r="T74" s="42" t="s">
        <v>1325</v>
      </c>
      <c r="U74" s="411">
        <v>101854</v>
      </c>
    </row>
    <row r="75" spans="1:21" ht="66" x14ac:dyDescent="0.3">
      <c r="A75" s="28" t="s">
        <v>434</v>
      </c>
      <c r="B75" s="215" t="s">
        <v>2605</v>
      </c>
      <c r="C75" s="215" t="s">
        <v>2606</v>
      </c>
      <c r="D75" s="215" t="s">
        <v>2607</v>
      </c>
      <c r="E75" s="215" t="s">
        <v>451</v>
      </c>
      <c r="F75" s="215" t="s">
        <v>452</v>
      </c>
      <c r="G75" s="215" t="s">
        <v>1931</v>
      </c>
      <c r="H75" s="215" t="s">
        <v>2600</v>
      </c>
      <c r="I75" s="215" t="s">
        <v>16</v>
      </c>
      <c r="J75" s="215" t="s">
        <v>368</v>
      </c>
      <c r="K75" s="215" t="s">
        <v>433</v>
      </c>
      <c r="L75" s="215" t="s">
        <v>508</v>
      </c>
      <c r="M75" s="215" t="s">
        <v>328</v>
      </c>
      <c r="N75" s="453"/>
      <c r="O75" s="453"/>
      <c r="P75" s="215" t="s">
        <v>2608</v>
      </c>
      <c r="Q75" s="447" t="s">
        <v>2609</v>
      </c>
      <c r="R75" s="215" t="s">
        <v>336</v>
      </c>
      <c r="S75" s="215" t="s">
        <v>2604</v>
      </c>
      <c r="T75" s="42" t="s">
        <v>453</v>
      </c>
      <c r="U75" s="448">
        <v>103794</v>
      </c>
    </row>
    <row r="76" spans="1:21" ht="66" x14ac:dyDescent="0.3">
      <c r="A76" s="28" t="s">
        <v>434</v>
      </c>
      <c r="B76" s="215" t="s">
        <v>3847</v>
      </c>
      <c r="C76" s="215" t="s">
        <v>4140</v>
      </c>
      <c r="D76" s="215" t="s">
        <v>4141</v>
      </c>
      <c r="E76" s="215" t="s">
        <v>451</v>
      </c>
      <c r="F76" s="215" t="s">
        <v>452</v>
      </c>
      <c r="G76" s="215" t="s">
        <v>1931</v>
      </c>
      <c r="H76" s="215" t="s">
        <v>2600</v>
      </c>
      <c r="I76" s="215" t="s">
        <v>16</v>
      </c>
      <c r="J76" s="215" t="s">
        <v>368</v>
      </c>
      <c r="K76" s="215" t="s">
        <v>433</v>
      </c>
      <c r="L76" s="215" t="s">
        <v>508</v>
      </c>
      <c r="M76" s="215" t="s">
        <v>328</v>
      </c>
      <c r="N76" s="453"/>
      <c r="O76" s="453"/>
      <c r="P76" s="215" t="s">
        <v>4142</v>
      </c>
      <c r="Q76" s="447" t="s">
        <v>4143</v>
      </c>
      <c r="R76" s="215" t="s">
        <v>336</v>
      </c>
      <c r="S76" s="215" t="s">
        <v>4144</v>
      </c>
      <c r="T76" s="42" t="s">
        <v>453</v>
      </c>
      <c r="U76" s="448">
        <v>103794</v>
      </c>
    </row>
    <row r="77" spans="1:21" ht="92.4" x14ac:dyDescent="0.3">
      <c r="A77" s="41" t="s">
        <v>2465</v>
      </c>
      <c r="B77" s="24" t="s">
        <v>2132</v>
      </c>
      <c r="C77" s="24" t="s">
        <v>1540</v>
      </c>
      <c r="D77" s="382"/>
      <c r="E77" s="24" t="s">
        <v>1541</v>
      </c>
      <c r="F77" s="24" t="s">
        <v>1542</v>
      </c>
      <c r="G77" s="24" t="s">
        <v>1543</v>
      </c>
      <c r="H77" s="407" t="s">
        <v>16</v>
      </c>
      <c r="I77" s="407" t="s">
        <v>16</v>
      </c>
      <c r="J77" s="24" t="s">
        <v>1544</v>
      </c>
      <c r="K77" s="24" t="s">
        <v>4145</v>
      </c>
      <c r="L77" s="24">
        <v>45879</v>
      </c>
      <c r="M77" s="24" t="s">
        <v>418</v>
      </c>
      <c r="N77" s="409"/>
      <c r="O77" s="412"/>
      <c r="P77" s="24" t="s">
        <v>1545</v>
      </c>
      <c r="Q77" s="408" t="s">
        <v>2133</v>
      </c>
      <c r="R77" s="24" t="s">
        <v>347</v>
      </c>
      <c r="S77" s="24" t="s">
        <v>1546</v>
      </c>
      <c r="T77" s="42" t="s">
        <v>1547</v>
      </c>
      <c r="U77" s="411">
        <v>111303</v>
      </c>
    </row>
    <row r="78" spans="1:21" ht="39.6" x14ac:dyDescent="0.3">
      <c r="A78" s="41" t="s">
        <v>3853</v>
      </c>
      <c r="B78" s="25" t="s">
        <v>3926</v>
      </c>
      <c r="C78" s="25" t="s">
        <v>3927</v>
      </c>
      <c r="D78" s="25" t="s">
        <v>2430</v>
      </c>
      <c r="E78" s="25" t="s">
        <v>488</v>
      </c>
      <c r="F78" s="25" t="s">
        <v>489</v>
      </c>
      <c r="G78" s="25" t="s">
        <v>3928</v>
      </c>
      <c r="H78" s="25" t="s">
        <v>3929</v>
      </c>
      <c r="I78" s="25" t="s">
        <v>3930</v>
      </c>
      <c r="J78" s="25" t="s">
        <v>3931</v>
      </c>
      <c r="K78" s="25" t="s">
        <v>433</v>
      </c>
      <c r="L78" s="24" t="s">
        <v>491</v>
      </c>
      <c r="M78" s="25" t="s">
        <v>328</v>
      </c>
      <c r="N78" s="24" t="s">
        <v>3932</v>
      </c>
      <c r="O78" s="639" t="s">
        <v>2490</v>
      </c>
      <c r="P78" s="25" t="s">
        <v>3933</v>
      </c>
      <c r="Q78" s="441" t="s">
        <v>3934</v>
      </c>
      <c r="R78" s="25" t="s">
        <v>336</v>
      </c>
      <c r="S78" s="639" t="s">
        <v>2165</v>
      </c>
      <c r="T78" s="642" t="s">
        <v>3860</v>
      </c>
      <c r="U78" s="641">
        <v>107313</v>
      </c>
    </row>
    <row r="79" spans="1:21" ht="39.6" x14ac:dyDescent="0.3">
      <c r="A79" s="28" t="s">
        <v>434</v>
      </c>
      <c r="B79" s="24" t="s">
        <v>2134</v>
      </c>
      <c r="C79" s="24" t="s">
        <v>1666</v>
      </c>
      <c r="D79" s="24" t="s">
        <v>2135</v>
      </c>
      <c r="E79" s="24" t="s">
        <v>460</v>
      </c>
      <c r="F79" s="24" t="s">
        <v>461</v>
      </c>
      <c r="G79" s="24" t="s">
        <v>462</v>
      </c>
      <c r="H79" s="24" t="s">
        <v>1667</v>
      </c>
      <c r="I79" s="24" t="s">
        <v>16</v>
      </c>
      <c r="J79" s="24" t="s">
        <v>317</v>
      </c>
      <c r="K79" s="24" t="s">
        <v>433</v>
      </c>
      <c r="L79" s="24" t="s">
        <v>463</v>
      </c>
      <c r="M79" s="24" t="s">
        <v>328</v>
      </c>
      <c r="N79" s="382"/>
      <c r="O79" s="24" t="s">
        <v>529</v>
      </c>
      <c r="P79" s="215" t="s">
        <v>1668</v>
      </c>
      <c r="Q79" s="404" t="s">
        <v>2136</v>
      </c>
      <c r="R79" s="24" t="s">
        <v>336</v>
      </c>
      <c r="S79" s="24" t="s">
        <v>1669</v>
      </c>
      <c r="T79" s="42" t="s">
        <v>4146</v>
      </c>
      <c r="U79" s="41" t="s">
        <v>434</v>
      </c>
    </row>
    <row r="80" spans="1:21" ht="66" x14ac:dyDescent="0.3">
      <c r="A80" s="41" t="s">
        <v>2621</v>
      </c>
      <c r="B80" s="24" t="s">
        <v>2328</v>
      </c>
      <c r="C80" s="24" t="s">
        <v>727</v>
      </c>
      <c r="D80" s="24" t="s">
        <v>2008</v>
      </c>
      <c r="E80" s="24" t="s">
        <v>1412</v>
      </c>
      <c r="F80" s="24" t="s">
        <v>1413</v>
      </c>
      <c r="G80" s="24" t="s">
        <v>950</v>
      </c>
      <c r="H80" s="407" t="s">
        <v>16</v>
      </c>
      <c r="I80" s="407" t="s">
        <v>16</v>
      </c>
      <c r="J80" s="24" t="s">
        <v>331</v>
      </c>
      <c r="K80" s="24" t="s">
        <v>455</v>
      </c>
      <c r="L80" s="24" t="s">
        <v>951</v>
      </c>
      <c r="M80" s="24" t="s">
        <v>328</v>
      </c>
      <c r="N80" s="24" t="s">
        <v>2622</v>
      </c>
      <c r="O80" s="382"/>
      <c r="P80" s="24" t="s">
        <v>2623</v>
      </c>
      <c r="Q80" s="408" t="s">
        <v>4147</v>
      </c>
      <c r="R80" s="24" t="s">
        <v>332</v>
      </c>
      <c r="S80" s="24" t="s">
        <v>2624</v>
      </c>
      <c r="T80" s="388" t="s">
        <v>2625</v>
      </c>
      <c r="U80" s="47">
        <v>103194</v>
      </c>
    </row>
    <row r="81" spans="1:21" ht="52.8" x14ac:dyDescent="0.3">
      <c r="A81" s="28" t="s">
        <v>434</v>
      </c>
      <c r="B81" s="24" t="s">
        <v>2138</v>
      </c>
      <c r="C81" s="24" t="s">
        <v>728</v>
      </c>
      <c r="D81" s="24" t="s">
        <v>2468</v>
      </c>
      <c r="E81" s="24" t="s">
        <v>658</v>
      </c>
      <c r="F81" s="24" t="s">
        <v>1705</v>
      </c>
      <c r="G81" s="24" t="s">
        <v>1713</v>
      </c>
      <c r="H81" s="24" t="s">
        <v>1714</v>
      </c>
      <c r="I81" s="407" t="s">
        <v>16</v>
      </c>
      <c r="J81" s="24" t="s">
        <v>317</v>
      </c>
      <c r="K81" s="24" t="s">
        <v>433</v>
      </c>
      <c r="L81" s="24" t="s">
        <v>1715</v>
      </c>
      <c r="M81" s="24" t="s">
        <v>328</v>
      </c>
      <c r="N81" s="24" t="s">
        <v>1716</v>
      </c>
      <c r="O81" s="412"/>
      <c r="P81" s="24" t="s">
        <v>1717</v>
      </c>
      <c r="Q81" s="408" t="s">
        <v>1718</v>
      </c>
      <c r="R81" s="24" t="s">
        <v>336</v>
      </c>
      <c r="S81" s="24" t="s">
        <v>659</v>
      </c>
      <c r="T81" s="42" t="s">
        <v>387</v>
      </c>
      <c r="U81" s="47">
        <v>103894</v>
      </c>
    </row>
    <row r="82" spans="1:21" s="21" customFormat="1" ht="79.2" x14ac:dyDescent="0.3">
      <c r="A82" s="347" t="s">
        <v>1038</v>
      </c>
      <c r="B82" s="402" t="s">
        <v>322</v>
      </c>
      <c r="C82" s="402" t="s">
        <v>729</v>
      </c>
      <c r="D82" s="402" t="s">
        <v>4148</v>
      </c>
      <c r="E82" s="25" t="s">
        <v>2311</v>
      </c>
      <c r="F82" s="402" t="s">
        <v>1516</v>
      </c>
      <c r="G82" s="402" t="s">
        <v>730</v>
      </c>
      <c r="H82" s="403" t="s">
        <v>16</v>
      </c>
      <c r="I82" s="403" t="s">
        <v>16</v>
      </c>
      <c r="J82" s="402" t="s">
        <v>731</v>
      </c>
      <c r="K82" s="402" t="s">
        <v>458</v>
      </c>
      <c r="L82" s="402" t="s">
        <v>732</v>
      </c>
      <c r="M82" s="402" t="s">
        <v>328</v>
      </c>
      <c r="N82" s="402" t="s">
        <v>733</v>
      </c>
      <c r="O82" s="417"/>
      <c r="P82" s="402" t="s">
        <v>734</v>
      </c>
      <c r="Q82" s="418" t="s">
        <v>3975</v>
      </c>
      <c r="R82" s="402" t="s">
        <v>332</v>
      </c>
      <c r="S82" s="402" t="s">
        <v>654</v>
      </c>
      <c r="T82" s="419" t="s">
        <v>735</v>
      </c>
      <c r="U82" s="416">
        <v>103252</v>
      </c>
    </row>
    <row r="83" spans="1:21" ht="39.6" x14ac:dyDescent="0.3">
      <c r="A83" s="41" t="s">
        <v>2469</v>
      </c>
      <c r="B83" s="24" t="s">
        <v>1596</v>
      </c>
      <c r="C83" s="24" t="s">
        <v>1597</v>
      </c>
      <c r="D83" s="25" t="s">
        <v>2430</v>
      </c>
      <c r="E83" s="24" t="s">
        <v>704</v>
      </c>
      <c r="F83" s="24" t="s">
        <v>1595</v>
      </c>
      <c r="G83" s="24" t="s">
        <v>1598</v>
      </c>
      <c r="H83" s="24" t="s">
        <v>1599</v>
      </c>
      <c r="I83" s="407" t="s">
        <v>16</v>
      </c>
      <c r="J83" s="24" t="s">
        <v>1436</v>
      </c>
      <c r="K83" s="24" t="s">
        <v>455</v>
      </c>
      <c r="L83" s="24" t="s">
        <v>1600</v>
      </c>
      <c r="M83" s="24" t="s">
        <v>328</v>
      </c>
      <c r="N83" s="24" t="s">
        <v>1601</v>
      </c>
      <c r="O83" s="413"/>
      <c r="P83" s="24" t="s">
        <v>1602</v>
      </c>
      <c r="Q83" s="408" t="s">
        <v>2139</v>
      </c>
      <c r="R83" s="24" t="s">
        <v>336</v>
      </c>
      <c r="S83" s="24" t="s">
        <v>705</v>
      </c>
      <c r="T83" s="42" t="s">
        <v>706</v>
      </c>
      <c r="U83" s="47">
        <v>103773</v>
      </c>
    </row>
    <row r="84" spans="1:21" ht="39.6" x14ac:dyDescent="0.3">
      <c r="A84" s="347" t="s">
        <v>1056</v>
      </c>
      <c r="B84" s="402" t="s">
        <v>424</v>
      </c>
      <c r="C84" s="402" t="s">
        <v>738</v>
      </c>
      <c r="D84" s="402" t="s">
        <v>2589</v>
      </c>
      <c r="E84" s="402" t="s">
        <v>460</v>
      </c>
      <c r="F84" s="402" t="s">
        <v>461</v>
      </c>
      <c r="G84" s="402" t="s">
        <v>462</v>
      </c>
      <c r="H84" s="402" t="s">
        <v>1662</v>
      </c>
      <c r="I84" s="402" t="s">
        <v>16</v>
      </c>
      <c r="J84" s="402" t="s">
        <v>317</v>
      </c>
      <c r="K84" s="402" t="s">
        <v>433</v>
      </c>
      <c r="L84" s="402" t="s">
        <v>1670</v>
      </c>
      <c r="M84" s="402" t="s">
        <v>328</v>
      </c>
      <c r="N84" s="402" t="s">
        <v>739</v>
      </c>
      <c r="O84" s="414"/>
      <c r="P84" s="402" t="s">
        <v>740</v>
      </c>
      <c r="Q84" s="422" t="s">
        <v>2061</v>
      </c>
      <c r="R84" s="402" t="s">
        <v>336</v>
      </c>
      <c r="S84" s="402" t="s">
        <v>530</v>
      </c>
      <c r="T84" s="405" t="s">
        <v>4121</v>
      </c>
      <c r="U84" s="398" t="s">
        <v>434</v>
      </c>
    </row>
    <row r="85" spans="1:21" ht="39.6" x14ac:dyDescent="0.3">
      <c r="A85" s="41" t="s">
        <v>2470</v>
      </c>
      <c r="B85" s="24" t="s">
        <v>1350</v>
      </c>
      <c r="C85" s="24" t="s">
        <v>741</v>
      </c>
      <c r="D85" s="24" t="s">
        <v>2140</v>
      </c>
      <c r="E85" s="24" t="s">
        <v>742</v>
      </c>
      <c r="F85" s="24" t="s">
        <v>1351</v>
      </c>
      <c r="G85" s="24" t="s">
        <v>1057</v>
      </c>
      <c r="H85" s="407" t="s">
        <v>16</v>
      </c>
      <c r="I85" s="407" t="s">
        <v>16</v>
      </c>
      <c r="J85" s="24" t="s">
        <v>1064</v>
      </c>
      <c r="K85" s="24" t="s">
        <v>601</v>
      </c>
      <c r="L85" s="24" t="s">
        <v>1067</v>
      </c>
      <c r="M85" s="24" t="s">
        <v>328</v>
      </c>
      <c r="N85" s="24" t="s">
        <v>1352</v>
      </c>
      <c r="O85" s="412"/>
      <c r="P85" s="215" t="s">
        <v>1353</v>
      </c>
      <c r="Q85" s="408" t="s">
        <v>2141</v>
      </c>
      <c r="R85" s="24" t="s">
        <v>332</v>
      </c>
      <c r="S85" s="24" t="s">
        <v>743</v>
      </c>
      <c r="T85" s="42" t="s">
        <v>1354</v>
      </c>
      <c r="U85" s="411">
        <v>105032</v>
      </c>
    </row>
    <row r="86" spans="1:21" ht="92.4" x14ac:dyDescent="0.3">
      <c r="A86" s="347" t="s">
        <v>1019</v>
      </c>
      <c r="B86" s="24" t="s">
        <v>744</v>
      </c>
      <c r="C86" s="24" t="s">
        <v>745</v>
      </c>
      <c r="D86" s="24" t="s">
        <v>2471</v>
      </c>
      <c r="E86" s="24" t="s">
        <v>578</v>
      </c>
      <c r="F86" s="24" t="s">
        <v>567</v>
      </c>
      <c r="G86" s="24" t="s">
        <v>1347</v>
      </c>
      <c r="H86" s="407" t="s">
        <v>1348</v>
      </c>
      <c r="I86" s="407" t="s">
        <v>16</v>
      </c>
      <c r="J86" s="24" t="s">
        <v>321</v>
      </c>
      <c r="K86" s="24" t="s">
        <v>568</v>
      </c>
      <c r="L86" s="24" t="s">
        <v>949</v>
      </c>
      <c r="M86" s="24" t="s">
        <v>328</v>
      </c>
      <c r="N86" s="24" t="s">
        <v>579</v>
      </c>
      <c r="O86" s="24" t="s">
        <v>580</v>
      </c>
      <c r="P86" s="24" t="s">
        <v>746</v>
      </c>
      <c r="Q86" s="408" t="s">
        <v>2472</v>
      </c>
      <c r="R86" s="24" t="s">
        <v>332</v>
      </c>
      <c r="S86" s="24" t="s">
        <v>2473</v>
      </c>
      <c r="T86" s="42" t="s">
        <v>2474</v>
      </c>
      <c r="U86" s="430">
        <v>102875</v>
      </c>
    </row>
    <row r="87" spans="1:21" ht="66" x14ac:dyDescent="0.3">
      <c r="A87" s="347" t="s">
        <v>1039</v>
      </c>
      <c r="B87" s="402" t="s">
        <v>748</v>
      </c>
      <c r="C87" s="24" t="s">
        <v>747</v>
      </c>
      <c r="D87" s="24" t="s">
        <v>2397</v>
      </c>
      <c r="E87" s="24" t="s">
        <v>2420</v>
      </c>
      <c r="F87" s="24" t="s">
        <v>2421</v>
      </c>
      <c r="G87" s="24" t="s">
        <v>534</v>
      </c>
      <c r="H87" s="431" t="s">
        <v>16</v>
      </c>
      <c r="I87" s="407" t="s">
        <v>16</v>
      </c>
      <c r="J87" s="24" t="s">
        <v>312</v>
      </c>
      <c r="K87" s="24" t="s">
        <v>455</v>
      </c>
      <c r="L87" s="24" t="s">
        <v>535</v>
      </c>
      <c r="M87" s="24" t="s">
        <v>328</v>
      </c>
      <c r="N87" s="407" t="s">
        <v>749</v>
      </c>
      <c r="O87" s="382"/>
      <c r="P87" s="24" t="s">
        <v>750</v>
      </c>
      <c r="Q87" s="408" t="s">
        <v>2475</v>
      </c>
      <c r="R87" s="24" t="s">
        <v>336</v>
      </c>
      <c r="S87" s="24" t="s">
        <v>1603</v>
      </c>
      <c r="T87" s="42" t="s">
        <v>2027</v>
      </c>
      <c r="U87" s="47">
        <v>104897</v>
      </c>
    </row>
    <row r="88" spans="1:21" ht="211.2" x14ac:dyDescent="0.3">
      <c r="A88" s="347" t="s">
        <v>1376</v>
      </c>
      <c r="B88" s="402" t="s">
        <v>348</v>
      </c>
      <c r="C88" s="402" t="s">
        <v>747</v>
      </c>
      <c r="D88" s="417"/>
      <c r="E88" s="402" t="s">
        <v>751</v>
      </c>
      <c r="F88" s="402" t="s">
        <v>751</v>
      </c>
      <c r="G88" s="402" t="s">
        <v>752</v>
      </c>
      <c r="H88" s="402" t="s">
        <v>753</v>
      </c>
      <c r="I88" s="402" t="s">
        <v>754</v>
      </c>
      <c r="J88" s="402" t="s">
        <v>349</v>
      </c>
      <c r="K88" s="432" t="s">
        <v>4149</v>
      </c>
      <c r="L88" s="403" t="s">
        <v>755</v>
      </c>
      <c r="M88" s="402" t="s">
        <v>350</v>
      </c>
      <c r="N88" s="403" t="s">
        <v>756</v>
      </c>
      <c r="O88" s="403" t="s">
        <v>757</v>
      </c>
      <c r="P88" s="402" t="s">
        <v>758</v>
      </c>
      <c r="Q88" s="404" t="s">
        <v>2019</v>
      </c>
      <c r="R88" s="402" t="s">
        <v>342</v>
      </c>
      <c r="S88" s="400" t="s">
        <v>759</v>
      </c>
      <c r="T88" s="405" t="s">
        <v>760</v>
      </c>
      <c r="U88" s="416">
        <v>108485</v>
      </c>
    </row>
    <row r="89" spans="1:21" ht="39.6" x14ac:dyDescent="0.3">
      <c r="A89" s="28" t="s">
        <v>434</v>
      </c>
      <c r="B89" s="402" t="s">
        <v>324</v>
      </c>
      <c r="C89" s="402" t="s">
        <v>761</v>
      </c>
      <c r="D89" s="402" t="s">
        <v>2476</v>
      </c>
      <c r="E89" s="402" t="s">
        <v>571</v>
      </c>
      <c r="F89" s="402" t="s">
        <v>572</v>
      </c>
      <c r="G89" s="402" t="s">
        <v>679</v>
      </c>
      <c r="H89" s="402" t="s">
        <v>762</v>
      </c>
      <c r="I89" s="402" t="s">
        <v>1534</v>
      </c>
      <c r="J89" s="402" t="s">
        <v>325</v>
      </c>
      <c r="K89" s="402" t="s">
        <v>433</v>
      </c>
      <c r="L89" s="402" t="s">
        <v>681</v>
      </c>
      <c r="M89" s="402" t="s">
        <v>328</v>
      </c>
      <c r="N89" s="402" t="s">
        <v>763</v>
      </c>
      <c r="O89" s="417"/>
      <c r="P89" s="402" t="s">
        <v>764</v>
      </c>
      <c r="Q89" s="404" t="s">
        <v>2055</v>
      </c>
      <c r="R89" s="402" t="s">
        <v>336</v>
      </c>
      <c r="S89" s="402" t="s">
        <v>1521</v>
      </c>
      <c r="T89" s="405" t="s">
        <v>765</v>
      </c>
      <c r="U89" s="416">
        <v>103819</v>
      </c>
    </row>
    <row r="90" spans="1:21" ht="39.6" x14ac:dyDescent="0.3">
      <c r="A90" s="347" t="s">
        <v>1029</v>
      </c>
      <c r="B90" s="402" t="s">
        <v>343</v>
      </c>
      <c r="C90" s="402" t="s">
        <v>766</v>
      </c>
      <c r="D90" s="402" t="s">
        <v>2014</v>
      </c>
      <c r="E90" s="402" t="s">
        <v>767</v>
      </c>
      <c r="F90" s="402" t="s">
        <v>1414</v>
      </c>
      <c r="G90" s="402" t="s">
        <v>1059</v>
      </c>
      <c r="H90" s="402" t="s">
        <v>1415</v>
      </c>
      <c r="I90" s="403" t="s">
        <v>16</v>
      </c>
      <c r="J90" s="402" t="s">
        <v>313</v>
      </c>
      <c r="K90" s="402" t="s">
        <v>433</v>
      </c>
      <c r="L90" s="402" t="s">
        <v>954</v>
      </c>
      <c r="M90" s="402" t="s">
        <v>328</v>
      </c>
      <c r="N90" s="402" t="s">
        <v>768</v>
      </c>
      <c r="O90" s="414"/>
      <c r="P90" s="402" t="s">
        <v>769</v>
      </c>
      <c r="Q90" s="422" t="s">
        <v>2015</v>
      </c>
      <c r="R90" s="402" t="s">
        <v>329</v>
      </c>
      <c r="S90" s="402" t="s">
        <v>770</v>
      </c>
      <c r="T90" s="405" t="s">
        <v>344</v>
      </c>
      <c r="U90" s="416">
        <v>107755</v>
      </c>
    </row>
    <row r="91" spans="1:21" ht="52.8" x14ac:dyDescent="0.3">
      <c r="A91" s="54" t="s">
        <v>2598</v>
      </c>
      <c r="B91" s="215" t="s">
        <v>2327</v>
      </c>
      <c r="C91" s="215" t="s">
        <v>2142</v>
      </c>
      <c r="D91" s="215" t="s">
        <v>2599</v>
      </c>
      <c r="E91" s="215" t="s">
        <v>451</v>
      </c>
      <c r="F91" s="215" t="s">
        <v>452</v>
      </c>
      <c r="G91" s="215" t="s">
        <v>1931</v>
      </c>
      <c r="H91" s="215" t="s">
        <v>2600</v>
      </c>
      <c r="I91" s="215" t="s">
        <v>16</v>
      </c>
      <c r="J91" s="215" t="s">
        <v>368</v>
      </c>
      <c r="K91" s="215" t="s">
        <v>433</v>
      </c>
      <c r="L91" s="215" t="s">
        <v>508</v>
      </c>
      <c r="M91" s="215" t="s">
        <v>328</v>
      </c>
      <c r="N91" s="215" t="s">
        <v>2601</v>
      </c>
      <c r="O91" s="215"/>
      <c r="P91" s="215" t="s">
        <v>2602</v>
      </c>
      <c r="Q91" s="447" t="s">
        <v>2603</v>
      </c>
      <c r="R91" s="215" t="s">
        <v>336</v>
      </c>
      <c r="S91" s="215" t="s">
        <v>2604</v>
      </c>
      <c r="T91" s="42" t="s">
        <v>453</v>
      </c>
      <c r="U91" s="448">
        <v>103794</v>
      </c>
    </row>
    <row r="92" spans="1:21" s="25" customFormat="1" ht="39.6" x14ac:dyDescent="0.3">
      <c r="A92" s="347" t="s">
        <v>1042</v>
      </c>
      <c r="B92" s="402" t="s">
        <v>351</v>
      </c>
      <c r="C92" s="402" t="s">
        <v>771</v>
      </c>
      <c r="D92" s="402" t="s">
        <v>2430</v>
      </c>
      <c r="E92" s="402" t="s">
        <v>576</v>
      </c>
      <c r="F92" s="402" t="s">
        <v>577</v>
      </c>
      <c r="G92" s="402" t="s">
        <v>1061</v>
      </c>
      <c r="H92" s="402" t="s">
        <v>1762</v>
      </c>
      <c r="I92" s="402" t="s">
        <v>1763</v>
      </c>
      <c r="J92" s="402" t="s">
        <v>313</v>
      </c>
      <c r="K92" s="402" t="s">
        <v>433</v>
      </c>
      <c r="L92" s="402" t="s">
        <v>955</v>
      </c>
      <c r="M92" s="402" t="s">
        <v>328</v>
      </c>
      <c r="N92" s="402" t="s">
        <v>772</v>
      </c>
      <c r="O92" s="402" t="s">
        <v>773</v>
      </c>
      <c r="P92" s="402" t="s">
        <v>774</v>
      </c>
      <c r="Q92" s="422" t="s">
        <v>2030</v>
      </c>
      <c r="R92" s="402" t="s">
        <v>336</v>
      </c>
      <c r="S92" s="402" t="s">
        <v>2031</v>
      </c>
      <c r="T92" s="405" t="s">
        <v>2032</v>
      </c>
      <c r="U92" s="416">
        <v>106747</v>
      </c>
    </row>
    <row r="93" spans="1:21" s="25" customFormat="1" ht="105.6" x14ac:dyDescent="0.3">
      <c r="A93" s="347" t="s">
        <v>1037</v>
      </c>
      <c r="B93" s="402" t="s">
        <v>2309</v>
      </c>
      <c r="C93" s="402" t="s">
        <v>775</v>
      </c>
      <c r="D93" s="402" t="s">
        <v>4150</v>
      </c>
      <c r="E93" s="402" t="s">
        <v>2310</v>
      </c>
      <c r="F93" s="402" t="s">
        <v>1498</v>
      </c>
      <c r="G93" s="402" t="s">
        <v>1499</v>
      </c>
      <c r="H93" s="403" t="s">
        <v>16</v>
      </c>
      <c r="I93" s="403" t="s">
        <v>16</v>
      </c>
      <c r="J93" s="402" t="s">
        <v>319</v>
      </c>
      <c r="K93" s="402" t="s">
        <v>467</v>
      </c>
      <c r="L93" s="402">
        <v>21601</v>
      </c>
      <c r="M93" s="402" t="s">
        <v>341</v>
      </c>
      <c r="N93" s="402" t="s">
        <v>776</v>
      </c>
      <c r="O93" s="417"/>
      <c r="P93" s="402" t="s">
        <v>1500</v>
      </c>
      <c r="Q93" s="422" t="s">
        <v>2477</v>
      </c>
      <c r="R93" s="402" t="s">
        <v>347</v>
      </c>
      <c r="S93" s="402" t="s">
        <v>1501</v>
      </c>
      <c r="T93" s="405" t="s">
        <v>2478</v>
      </c>
      <c r="U93" s="416">
        <v>108766</v>
      </c>
    </row>
    <row r="94" spans="1:21" s="25" customFormat="1" ht="106.5" customHeight="1" x14ac:dyDescent="0.3">
      <c r="A94" s="347" t="s">
        <v>2479</v>
      </c>
      <c r="B94" s="402" t="s">
        <v>413</v>
      </c>
      <c r="C94" s="402" t="s">
        <v>777</v>
      </c>
      <c r="D94" s="402" t="s">
        <v>2589</v>
      </c>
      <c r="E94" s="402" t="s">
        <v>460</v>
      </c>
      <c r="F94" s="402" t="s">
        <v>461</v>
      </c>
      <c r="G94" s="402" t="s">
        <v>462</v>
      </c>
      <c r="H94" s="402" t="s">
        <v>1671</v>
      </c>
      <c r="I94" s="402" t="s">
        <v>16</v>
      </c>
      <c r="J94" s="402" t="s">
        <v>317</v>
      </c>
      <c r="K94" s="402" t="s">
        <v>433</v>
      </c>
      <c r="L94" s="402" t="s">
        <v>463</v>
      </c>
      <c r="M94" s="402" t="s">
        <v>328</v>
      </c>
      <c r="N94" s="402" t="s">
        <v>1672</v>
      </c>
      <c r="O94" s="402" t="s">
        <v>529</v>
      </c>
      <c r="P94" s="402" t="s">
        <v>778</v>
      </c>
      <c r="Q94" s="404" t="s">
        <v>2062</v>
      </c>
      <c r="R94" s="402" t="s">
        <v>336</v>
      </c>
      <c r="S94" s="402" t="s">
        <v>1669</v>
      </c>
      <c r="T94" s="405" t="s">
        <v>4146</v>
      </c>
      <c r="U94" s="398" t="s">
        <v>434</v>
      </c>
    </row>
    <row r="95" spans="1:21" s="25" customFormat="1" ht="55.5" customHeight="1" x14ac:dyDescent="0.3">
      <c r="A95" s="347" t="s">
        <v>1052</v>
      </c>
      <c r="B95" s="402" t="s">
        <v>779</v>
      </c>
      <c r="C95" s="402" t="s">
        <v>780</v>
      </c>
      <c r="D95" s="402" t="s">
        <v>2430</v>
      </c>
      <c r="E95" s="402" t="s">
        <v>573</v>
      </c>
      <c r="F95" s="402" t="s">
        <v>574</v>
      </c>
      <c r="G95" s="402" t="s">
        <v>792</v>
      </c>
      <c r="H95" s="402" t="s">
        <v>1957</v>
      </c>
      <c r="I95" s="403" t="s">
        <v>16</v>
      </c>
      <c r="J95" s="402" t="s">
        <v>316</v>
      </c>
      <c r="K95" s="402" t="s">
        <v>575</v>
      </c>
      <c r="L95" s="402" t="s">
        <v>952</v>
      </c>
      <c r="M95" s="402" t="s">
        <v>328</v>
      </c>
      <c r="N95" s="402" t="s">
        <v>781</v>
      </c>
      <c r="O95" s="414"/>
      <c r="P95" s="402" t="s">
        <v>782</v>
      </c>
      <c r="Q95" s="422" t="s">
        <v>1958</v>
      </c>
      <c r="R95" s="402" t="s">
        <v>336</v>
      </c>
      <c r="S95" s="402" t="s">
        <v>625</v>
      </c>
      <c r="T95" s="405" t="s">
        <v>1208</v>
      </c>
      <c r="U95" s="406">
        <v>103813</v>
      </c>
    </row>
    <row r="96" spans="1:21" s="25" customFormat="1" ht="66" x14ac:dyDescent="0.3">
      <c r="A96" s="347" t="s">
        <v>1036</v>
      </c>
      <c r="B96" s="402" t="s">
        <v>403</v>
      </c>
      <c r="C96" s="402" t="s">
        <v>783</v>
      </c>
      <c r="D96" s="402" t="s">
        <v>4151</v>
      </c>
      <c r="E96" s="402" t="s">
        <v>639</v>
      </c>
      <c r="F96" s="402" t="s">
        <v>639</v>
      </c>
      <c r="G96" s="402" t="s">
        <v>784</v>
      </c>
      <c r="H96" s="402" t="s">
        <v>1496</v>
      </c>
      <c r="I96" s="403" t="s">
        <v>16</v>
      </c>
      <c r="J96" s="402" t="s">
        <v>312</v>
      </c>
      <c r="K96" s="402" t="s">
        <v>455</v>
      </c>
      <c r="L96" s="402" t="s">
        <v>785</v>
      </c>
      <c r="M96" s="402" t="s">
        <v>328</v>
      </c>
      <c r="N96" s="402" t="s">
        <v>640</v>
      </c>
      <c r="O96" s="417"/>
      <c r="P96" s="402" t="s">
        <v>786</v>
      </c>
      <c r="Q96" s="404" t="s">
        <v>2026</v>
      </c>
      <c r="R96" s="402" t="s">
        <v>332</v>
      </c>
      <c r="S96" s="402" t="s">
        <v>787</v>
      </c>
      <c r="T96" s="405" t="s">
        <v>1497</v>
      </c>
      <c r="U96" s="406">
        <v>104582</v>
      </c>
    </row>
    <row r="97" spans="1:21" s="25" customFormat="1" ht="79.2" x14ac:dyDescent="0.3">
      <c r="A97" s="41" t="s">
        <v>2480</v>
      </c>
      <c r="B97" s="24" t="s">
        <v>1889</v>
      </c>
      <c r="C97" s="24" t="s">
        <v>1890</v>
      </c>
      <c r="D97" s="25" t="s">
        <v>2036</v>
      </c>
      <c r="E97" s="24" t="s">
        <v>545</v>
      </c>
      <c r="F97" s="24" t="s">
        <v>545</v>
      </c>
      <c r="G97" s="24" t="s">
        <v>788</v>
      </c>
      <c r="H97" s="407" t="s">
        <v>1891</v>
      </c>
      <c r="I97" s="407" t="s">
        <v>16</v>
      </c>
      <c r="J97" s="24" t="s">
        <v>314</v>
      </c>
      <c r="K97" s="24" t="s">
        <v>546</v>
      </c>
      <c r="L97" s="24" t="s">
        <v>789</v>
      </c>
      <c r="M97" s="24" t="s">
        <v>341</v>
      </c>
      <c r="N97" s="24" t="s">
        <v>547</v>
      </c>
      <c r="O97" s="24" t="s">
        <v>548</v>
      </c>
      <c r="P97" s="24" t="s">
        <v>790</v>
      </c>
      <c r="Q97" s="408" t="s">
        <v>2144</v>
      </c>
      <c r="R97" s="24" t="s">
        <v>347</v>
      </c>
      <c r="S97" s="24" t="s">
        <v>1892</v>
      </c>
      <c r="T97" s="42" t="s">
        <v>550</v>
      </c>
      <c r="U97" s="436">
        <v>103645</v>
      </c>
    </row>
    <row r="98" spans="1:21" s="25" customFormat="1" ht="66" x14ac:dyDescent="0.3">
      <c r="A98" s="347" t="s">
        <v>1053</v>
      </c>
      <c r="B98" s="402" t="s">
        <v>404</v>
      </c>
      <c r="C98" s="402" t="s">
        <v>791</v>
      </c>
      <c r="D98" s="402" t="s">
        <v>2052</v>
      </c>
      <c r="E98" s="402" t="s">
        <v>573</v>
      </c>
      <c r="F98" s="402" t="s">
        <v>574</v>
      </c>
      <c r="G98" s="402" t="s">
        <v>792</v>
      </c>
      <c r="H98" s="402" t="s">
        <v>1959</v>
      </c>
      <c r="I98" s="403" t="s">
        <v>16</v>
      </c>
      <c r="J98" s="402" t="s">
        <v>316</v>
      </c>
      <c r="K98" s="402" t="s">
        <v>575</v>
      </c>
      <c r="L98" s="402" t="s">
        <v>952</v>
      </c>
      <c r="M98" s="402" t="s">
        <v>328</v>
      </c>
      <c r="N98" s="402" t="s">
        <v>1960</v>
      </c>
      <c r="O98" s="402" t="s">
        <v>793</v>
      </c>
      <c r="P98" s="402" t="s">
        <v>794</v>
      </c>
      <c r="Q98" s="404" t="s">
        <v>2053</v>
      </c>
      <c r="R98" s="402" t="s">
        <v>336</v>
      </c>
      <c r="S98" s="402" t="s">
        <v>795</v>
      </c>
      <c r="T98" s="405" t="s">
        <v>2481</v>
      </c>
      <c r="U98" s="416">
        <v>103813</v>
      </c>
    </row>
    <row r="99" spans="1:21" s="25" customFormat="1" ht="92.4" x14ac:dyDescent="0.3">
      <c r="A99" s="347" t="s">
        <v>1049</v>
      </c>
      <c r="B99" s="402" t="s">
        <v>1898</v>
      </c>
      <c r="C99" s="402" t="s">
        <v>1899</v>
      </c>
      <c r="D99" s="402" t="s">
        <v>4152</v>
      </c>
      <c r="E99" s="402" t="s">
        <v>474</v>
      </c>
      <c r="F99" s="402" t="s">
        <v>475</v>
      </c>
      <c r="G99" s="402" t="s">
        <v>476</v>
      </c>
      <c r="H99" s="403" t="s">
        <v>1897</v>
      </c>
      <c r="I99" s="403" t="s">
        <v>16</v>
      </c>
      <c r="J99" s="402" t="s">
        <v>345</v>
      </c>
      <c r="K99" s="402" t="s">
        <v>433</v>
      </c>
      <c r="L99" s="402" t="s">
        <v>477</v>
      </c>
      <c r="M99" s="402" t="s">
        <v>328</v>
      </c>
      <c r="N99" s="402" t="s">
        <v>478</v>
      </c>
      <c r="O99" s="402" t="s">
        <v>1900</v>
      </c>
      <c r="P99" s="402" t="s">
        <v>479</v>
      </c>
      <c r="Q99" s="404" t="s">
        <v>2040</v>
      </c>
      <c r="R99" s="402" t="s">
        <v>332</v>
      </c>
      <c r="S99" s="402" t="s">
        <v>480</v>
      </c>
      <c r="T99" s="405" t="s">
        <v>481</v>
      </c>
      <c r="U99" s="416">
        <v>103703</v>
      </c>
    </row>
    <row r="100" spans="1:21" s="21" customFormat="1" ht="39.6" x14ac:dyDescent="0.3">
      <c r="A100" s="28" t="s">
        <v>434</v>
      </c>
      <c r="B100" s="402" t="s">
        <v>2044</v>
      </c>
      <c r="C100" s="402" t="s">
        <v>796</v>
      </c>
      <c r="D100" s="402" t="s">
        <v>2045</v>
      </c>
      <c r="E100" s="402" t="s">
        <v>451</v>
      </c>
      <c r="F100" s="402" t="s">
        <v>452</v>
      </c>
      <c r="G100" s="402" t="s">
        <v>1931</v>
      </c>
      <c r="H100" s="402" t="s">
        <v>1935</v>
      </c>
      <c r="I100" s="402" t="s">
        <v>1934</v>
      </c>
      <c r="J100" s="402" t="s">
        <v>368</v>
      </c>
      <c r="K100" s="402" t="s">
        <v>433</v>
      </c>
      <c r="L100" s="402" t="s">
        <v>508</v>
      </c>
      <c r="M100" s="402" t="s">
        <v>328</v>
      </c>
      <c r="N100" s="402" t="s">
        <v>797</v>
      </c>
      <c r="O100" s="414"/>
      <c r="P100" s="402" t="s">
        <v>798</v>
      </c>
      <c r="Q100" s="404" t="s">
        <v>2046</v>
      </c>
      <c r="R100" s="402" t="s">
        <v>336</v>
      </c>
      <c r="S100" s="402" t="s">
        <v>511</v>
      </c>
      <c r="T100" s="415" t="s">
        <v>453</v>
      </c>
      <c r="U100" s="416">
        <v>103794</v>
      </c>
    </row>
    <row r="101" spans="1:21" s="25" customFormat="1" ht="39.6" x14ac:dyDescent="0.3">
      <c r="A101" s="347" t="s">
        <v>1020</v>
      </c>
      <c r="B101" s="402" t="s">
        <v>2307</v>
      </c>
      <c r="C101" s="402" t="s">
        <v>799</v>
      </c>
      <c r="D101" s="402" t="s">
        <v>1989</v>
      </c>
      <c r="E101" s="402" t="s">
        <v>562</v>
      </c>
      <c r="F101" s="402" t="s">
        <v>562</v>
      </c>
      <c r="G101" s="402" t="s">
        <v>800</v>
      </c>
      <c r="H101" s="403" t="s">
        <v>16</v>
      </c>
      <c r="I101" s="403" t="s">
        <v>16</v>
      </c>
      <c r="J101" s="402" t="s">
        <v>317</v>
      </c>
      <c r="K101" s="402" t="s">
        <v>433</v>
      </c>
      <c r="L101" s="402" t="s">
        <v>801</v>
      </c>
      <c r="M101" s="402" t="s">
        <v>328</v>
      </c>
      <c r="N101" s="402" t="s">
        <v>737</v>
      </c>
      <c r="O101" s="417"/>
      <c r="P101" s="402" t="s">
        <v>802</v>
      </c>
      <c r="Q101" s="404" t="s">
        <v>1990</v>
      </c>
      <c r="R101" s="402" t="s">
        <v>332</v>
      </c>
      <c r="S101" s="402" t="s">
        <v>563</v>
      </c>
      <c r="T101" s="405" t="s">
        <v>564</v>
      </c>
      <c r="U101" s="416">
        <v>109424</v>
      </c>
    </row>
    <row r="102" spans="1:21" s="25" customFormat="1" ht="105.6" x14ac:dyDescent="0.3">
      <c r="A102" s="41" t="s">
        <v>2482</v>
      </c>
      <c r="B102" s="24" t="s">
        <v>1612</v>
      </c>
      <c r="C102" s="24" t="s">
        <v>1613</v>
      </c>
      <c r="D102" s="24" t="s">
        <v>4153</v>
      </c>
      <c r="E102" s="24" t="s">
        <v>1614</v>
      </c>
      <c r="F102" s="24" t="s">
        <v>1615</v>
      </c>
      <c r="G102" s="24" t="s">
        <v>1616</v>
      </c>
      <c r="H102" s="407" t="s">
        <v>1617</v>
      </c>
      <c r="I102" s="407" t="s">
        <v>16</v>
      </c>
      <c r="J102" s="24" t="s">
        <v>1618</v>
      </c>
      <c r="K102" s="24" t="s">
        <v>4154</v>
      </c>
      <c r="L102" s="24">
        <v>80937</v>
      </c>
      <c r="M102" s="24" t="s">
        <v>418</v>
      </c>
      <c r="N102" s="407" t="s">
        <v>1619</v>
      </c>
      <c r="O102" s="382"/>
      <c r="P102" s="24" t="s">
        <v>1620</v>
      </c>
      <c r="Q102" s="404" t="s">
        <v>2145</v>
      </c>
      <c r="R102" s="24" t="s">
        <v>379</v>
      </c>
      <c r="S102" s="24" t="s">
        <v>1621</v>
      </c>
      <c r="T102" s="42" t="s">
        <v>1622</v>
      </c>
      <c r="U102" s="411">
        <v>111526</v>
      </c>
    </row>
    <row r="103" spans="1:21" s="25" customFormat="1" ht="52.8" x14ac:dyDescent="0.3">
      <c r="A103" s="28" t="s">
        <v>434</v>
      </c>
      <c r="B103" s="24" t="s">
        <v>2146</v>
      </c>
      <c r="C103" s="24" t="s">
        <v>803</v>
      </c>
      <c r="D103" s="24" t="s">
        <v>2083</v>
      </c>
      <c r="E103" s="24" t="s">
        <v>488</v>
      </c>
      <c r="F103" s="24" t="s">
        <v>489</v>
      </c>
      <c r="G103" s="24" t="s">
        <v>490</v>
      </c>
      <c r="H103" s="24" t="s">
        <v>1557</v>
      </c>
      <c r="I103" s="407" t="s">
        <v>16</v>
      </c>
      <c r="J103" s="24" t="s">
        <v>325</v>
      </c>
      <c r="K103" s="24" t="s">
        <v>433</v>
      </c>
      <c r="L103" s="24" t="s">
        <v>491</v>
      </c>
      <c r="M103" s="24" t="s">
        <v>328</v>
      </c>
      <c r="N103" s="382"/>
      <c r="O103" s="382"/>
      <c r="P103" s="24" t="s">
        <v>1559</v>
      </c>
      <c r="Q103" s="404" t="s">
        <v>2147</v>
      </c>
      <c r="R103" s="24" t="s">
        <v>336</v>
      </c>
      <c r="S103" s="24" t="s">
        <v>492</v>
      </c>
      <c r="T103" s="42" t="s">
        <v>493</v>
      </c>
      <c r="U103" s="411" t="s">
        <v>494</v>
      </c>
    </row>
    <row r="104" spans="1:21" s="25" customFormat="1" ht="52.8" x14ac:dyDescent="0.3">
      <c r="A104" s="28" t="s">
        <v>434</v>
      </c>
      <c r="B104" s="24" t="s">
        <v>2253</v>
      </c>
      <c r="C104" s="24" t="s">
        <v>1586</v>
      </c>
      <c r="D104" s="24" t="s">
        <v>2483</v>
      </c>
      <c r="E104" s="24" t="s">
        <v>1583</v>
      </c>
      <c r="F104" s="24" t="s">
        <v>1584</v>
      </c>
      <c r="G104" s="24" t="s">
        <v>1587</v>
      </c>
      <c r="H104" s="24" t="s">
        <v>1588</v>
      </c>
      <c r="I104" s="24" t="s">
        <v>2484</v>
      </c>
      <c r="J104" s="24" t="s">
        <v>390</v>
      </c>
      <c r="K104" s="24" t="s">
        <v>433</v>
      </c>
      <c r="L104" s="24" t="s">
        <v>1589</v>
      </c>
      <c r="M104" s="24" t="s">
        <v>328</v>
      </c>
      <c r="N104" s="382"/>
      <c r="O104" s="412"/>
      <c r="P104" s="24" t="s">
        <v>1590</v>
      </c>
      <c r="Q104" s="408" t="s">
        <v>2485</v>
      </c>
      <c r="R104" s="24" t="s">
        <v>336</v>
      </c>
      <c r="S104" s="24" t="s">
        <v>1585</v>
      </c>
      <c r="T104" s="42" t="s">
        <v>1307</v>
      </c>
      <c r="U104" s="411">
        <v>103839</v>
      </c>
    </row>
    <row r="105" spans="1:21" s="25" customFormat="1" ht="79.2" x14ac:dyDescent="0.3">
      <c r="A105" s="41" t="s">
        <v>2486</v>
      </c>
      <c r="B105" s="24" t="s">
        <v>1570</v>
      </c>
      <c r="C105" s="24" t="s">
        <v>1571</v>
      </c>
      <c r="D105" s="24" t="s">
        <v>4155</v>
      </c>
      <c r="E105" s="24" t="s">
        <v>4156</v>
      </c>
      <c r="F105" s="24" t="s">
        <v>1573</v>
      </c>
      <c r="G105" s="24" t="s">
        <v>1574</v>
      </c>
      <c r="H105" s="24" t="s">
        <v>1575</v>
      </c>
      <c r="I105" s="407" t="s">
        <v>16</v>
      </c>
      <c r="J105" s="24" t="s">
        <v>1576</v>
      </c>
      <c r="K105" s="24" t="s">
        <v>1577</v>
      </c>
      <c r="L105" s="24" t="s">
        <v>1578</v>
      </c>
      <c r="M105" s="24" t="s">
        <v>426</v>
      </c>
      <c r="N105" s="407" t="s">
        <v>1579</v>
      </c>
      <c r="O105" s="412"/>
      <c r="P105" s="24" t="s">
        <v>1580</v>
      </c>
      <c r="Q105" s="408" t="s">
        <v>4157</v>
      </c>
      <c r="R105" s="24" t="s">
        <v>347</v>
      </c>
      <c r="S105" s="24" t="s">
        <v>1581</v>
      </c>
      <c r="T105" s="42" t="s">
        <v>1582</v>
      </c>
      <c r="U105" s="47">
        <v>111074</v>
      </c>
    </row>
    <row r="106" spans="1:21" s="25" customFormat="1" ht="52.8" x14ac:dyDescent="0.3">
      <c r="A106" s="41" t="s">
        <v>434</v>
      </c>
      <c r="B106" s="25" t="s">
        <v>3854</v>
      </c>
      <c r="C106" s="25" t="s">
        <v>807</v>
      </c>
      <c r="D106" s="25" t="s">
        <v>4158</v>
      </c>
      <c r="E106" s="25" t="s">
        <v>488</v>
      </c>
      <c r="F106" s="25" t="s">
        <v>489</v>
      </c>
      <c r="G106" s="25" t="s">
        <v>3928</v>
      </c>
      <c r="H106" s="25" t="s">
        <v>3929</v>
      </c>
      <c r="I106" s="25" t="s">
        <v>3930</v>
      </c>
      <c r="J106" s="25" t="s">
        <v>3931</v>
      </c>
      <c r="K106" s="25" t="s">
        <v>433</v>
      </c>
      <c r="L106" s="24" t="s">
        <v>491</v>
      </c>
      <c r="M106" s="25" t="s">
        <v>328</v>
      </c>
      <c r="N106" s="24" t="s">
        <v>4159</v>
      </c>
      <c r="O106" s="434" t="s">
        <v>2490</v>
      </c>
      <c r="P106" s="25" t="s">
        <v>4160</v>
      </c>
      <c r="Q106" s="435" t="s">
        <v>4161</v>
      </c>
      <c r="R106" s="25" t="s">
        <v>336</v>
      </c>
      <c r="S106" s="25" t="s">
        <v>2165</v>
      </c>
      <c r="T106" s="33" t="s">
        <v>3860</v>
      </c>
      <c r="U106" s="411">
        <v>107313</v>
      </c>
    </row>
    <row r="107" spans="1:21" s="25" customFormat="1" ht="52.8" x14ac:dyDescent="0.3">
      <c r="A107" s="347" t="s">
        <v>2261</v>
      </c>
      <c r="B107" s="24" t="s">
        <v>412</v>
      </c>
      <c r="C107" s="24" t="s">
        <v>807</v>
      </c>
      <c r="D107" s="24" t="s">
        <v>2430</v>
      </c>
      <c r="E107" s="24" t="s">
        <v>964</v>
      </c>
      <c r="F107" s="24" t="s">
        <v>1905</v>
      </c>
      <c r="G107" s="24" t="s">
        <v>1906</v>
      </c>
      <c r="H107" s="24" t="s">
        <v>1907</v>
      </c>
      <c r="I107" s="24" t="s">
        <v>1914</v>
      </c>
      <c r="J107" s="24" t="s">
        <v>364</v>
      </c>
      <c r="K107" s="24" t="s">
        <v>455</v>
      </c>
      <c r="L107" s="24" t="s">
        <v>1909</v>
      </c>
      <c r="M107" s="24" t="s">
        <v>328</v>
      </c>
      <c r="N107" s="24" t="s">
        <v>808</v>
      </c>
      <c r="O107" s="382"/>
      <c r="P107" s="24" t="s">
        <v>809</v>
      </c>
      <c r="Q107" s="408" t="s">
        <v>2148</v>
      </c>
      <c r="R107" s="24" t="s">
        <v>336</v>
      </c>
      <c r="S107" s="24" t="s">
        <v>1915</v>
      </c>
      <c r="T107" s="45" t="s">
        <v>2149</v>
      </c>
      <c r="U107" s="389">
        <v>109270</v>
      </c>
    </row>
    <row r="108" spans="1:21" s="25" customFormat="1" ht="52.8" x14ac:dyDescent="0.3">
      <c r="A108" s="347" t="s">
        <v>2487</v>
      </c>
      <c r="B108" s="402" t="s">
        <v>810</v>
      </c>
      <c r="C108" s="402" t="s">
        <v>811</v>
      </c>
      <c r="D108" s="402" t="s">
        <v>2430</v>
      </c>
      <c r="E108" s="402" t="s">
        <v>460</v>
      </c>
      <c r="F108" s="402" t="s">
        <v>461</v>
      </c>
      <c r="G108" s="402" t="s">
        <v>462</v>
      </c>
      <c r="H108" s="402" t="s">
        <v>1660</v>
      </c>
      <c r="I108" s="403" t="s">
        <v>16</v>
      </c>
      <c r="J108" s="402" t="s">
        <v>317</v>
      </c>
      <c r="K108" s="402" t="s">
        <v>433</v>
      </c>
      <c r="L108" s="402" t="s">
        <v>463</v>
      </c>
      <c r="M108" s="402" t="s">
        <v>328</v>
      </c>
      <c r="N108" s="402" t="s">
        <v>813</v>
      </c>
      <c r="O108" s="402" t="s">
        <v>529</v>
      </c>
      <c r="P108" s="402" t="s">
        <v>1673</v>
      </c>
      <c r="Q108" s="418" t="s">
        <v>2063</v>
      </c>
      <c r="R108" s="402" t="s">
        <v>336</v>
      </c>
      <c r="S108" s="402" t="s">
        <v>566</v>
      </c>
      <c r="T108" s="405" t="s">
        <v>4121</v>
      </c>
      <c r="U108" s="398" t="s">
        <v>434</v>
      </c>
    </row>
    <row r="109" spans="1:21" s="25" customFormat="1" ht="66" x14ac:dyDescent="0.3">
      <c r="A109" s="28" t="s">
        <v>434</v>
      </c>
      <c r="B109" s="24" t="s">
        <v>2150</v>
      </c>
      <c r="C109" s="24" t="s">
        <v>811</v>
      </c>
      <c r="D109" s="24" t="s">
        <v>4162</v>
      </c>
      <c r="E109" s="24" t="s">
        <v>2420</v>
      </c>
      <c r="F109" s="24" t="s">
        <v>2421</v>
      </c>
      <c r="G109" s="24" t="s">
        <v>534</v>
      </c>
      <c r="H109" s="431" t="s">
        <v>16</v>
      </c>
      <c r="I109" s="407" t="s">
        <v>16</v>
      </c>
      <c r="J109" s="24" t="s">
        <v>312</v>
      </c>
      <c r="K109" s="24" t="s">
        <v>455</v>
      </c>
      <c r="L109" s="24" t="s">
        <v>535</v>
      </c>
      <c r="M109" s="24" t="s">
        <v>328</v>
      </c>
      <c r="N109" s="24" t="s">
        <v>814</v>
      </c>
      <c r="O109" s="382"/>
      <c r="P109" s="24" t="s">
        <v>1606</v>
      </c>
      <c r="Q109" s="408" t="s">
        <v>2488</v>
      </c>
      <c r="R109" s="24" t="s">
        <v>336</v>
      </c>
      <c r="S109" s="24" t="s">
        <v>1603</v>
      </c>
      <c r="T109" s="42" t="s">
        <v>2027</v>
      </c>
      <c r="U109" s="47">
        <v>104897</v>
      </c>
    </row>
    <row r="110" spans="1:21" s="25" customFormat="1" ht="26.4" x14ac:dyDescent="0.3">
      <c r="A110" s="347" t="s">
        <v>2489</v>
      </c>
      <c r="B110" s="402" t="s">
        <v>2064</v>
      </c>
      <c r="C110" s="402" t="s">
        <v>815</v>
      </c>
      <c r="D110" s="402" t="s">
        <v>2430</v>
      </c>
      <c r="E110" s="402" t="s">
        <v>460</v>
      </c>
      <c r="F110" s="402" t="s">
        <v>461</v>
      </c>
      <c r="G110" s="402" t="s">
        <v>462</v>
      </c>
      <c r="H110" s="402" t="s">
        <v>1659</v>
      </c>
      <c r="I110" s="403" t="s">
        <v>16</v>
      </c>
      <c r="J110" s="402" t="s">
        <v>317</v>
      </c>
      <c r="K110" s="402" t="s">
        <v>433</v>
      </c>
      <c r="L110" s="402" t="s">
        <v>463</v>
      </c>
      <c r="M110" s="402" t="s">
        <v>328</v>
      </c>
      <c r="N110" s="402" t="s">
        <v>816</v>
      </c>
      <c r="O110" s="402" t="s">
        <v>529</v>
      </c>
      <c r="P110" s="402" t="s">
        <v>817</v>
      </c>
      <c r="Q110" s="418" t="s">
        <v>2065</v>
      </c>
      <c r="R110" s="402" t="s">
        <v>336</v>
      </c>
      <c r="S110" s="402" t="s">
        <v>530</v>
      </c>
      <c r="T110" s="405" t="s">
        <v>4121</v>
      </c>
      <c r="U110" s="398" t="s">
        <v>434</v>
      </c>
    </row>
    <row r="111" spans="1:21" s="25" customFormat="1" ht="52.8" x14ac:dyDescent="0.3">
      <c r="A111" s="28" t="s">
        <v>434</v>
      </c>
      <c r="B111" s="24" t="s">
        <v>2151</v>
      </c>
      <c r="C111" s="24" t="s">
        <v>1512</v>
      </c>
      <c r="D111" s="24" t="s">
        <v>2152</v>
      </c>
      <c r="E111" s="24" t="s">
        <v>1504</v>
      </c>
      <c r="F111" s="24" t="s">
        <v>1504</v>
      </c>
      <c r="G111" s="24" t="s">
        <v>1505</v>
      </c>
      <c r="H111" s="24" t="s">
        <v>1506</v>
      </c>
      <c r="I111" s="24" t="s">
        <v>1507</v>
      </c>
      <c r="J111" s="24" t="s">
        <v>363</v>
      </c>
      <c r="K111" s="24" t="s">
        <v>433</v>
      </c>
      <c r="L111" s="24" t="s">
        <v>1508</v>
      </c>
      <c r="M111" s="24" t="s">
        <v>328</v>
      </c>
      <c r="N111" s="24" t="s">
        <v>1513</v>
      </c>
      <c r="O111" s="412"/>
      <c r="P111" s="24" t="s">
        <v>1514</v>
      </c>
      <c r="Q111" s="404" t="s">
        <v>2153</v>
      </c>
      <c r="R111" s="24" t="s">
        <v>336</v>
      </c>
      <c r="S111" s="24" t="s">
        <v>1515</v>
      </c>
      <c r="T111" s="42" t="s">
        <v>1511</v>
      </c>
      <c r="U111" s="47">
        <v>103191</v>
      </c>
    </row>
    <row r="112" spans="1:21" ht="79.2" x14ac:dyDescent="0.3">
      <c r="A112" s="41" t="s">
        <v>434</v>
      </c>
      <c r="B112" s="24" t="s">
        <v>3556</v>
      </c>
      <c r="C112" s="24" t="s">
        <v>3574</v>
      </c>
      <c r="D112" s="24" t="s">
        <v>4036</v>
      </c>
      <c r="E112" s="24" t="s">
        <v>964</v>
      </c>
      <c r="F112" s="24" t="s">
        <v>1905</v>
      </c>
      <c r="G112" s="24" t="s">
        <v>1917</v>
      </c>
      <c r="H112" s="24" t="s">
        <v>1918</v>
      </c>
      <c r="I112" s="407" t="s">
        <v>1919</v>
      </c>
      <c r="J112" s="24" t="s">
        <v>3958</v>
      </c>
      <c r="K112" s="24" t="s">
        <v>455</v>
      </c>
      <c r="L112" s="24" t="s">
        <v>1909</v>
      </c>
      <c r="M112" s="24" t="s">
        <v>328</v>
      </c>
      <c r="N112" s="409"/>
      <c r="O112" s="382"/>
      <c r="P112" s="24" t="s">
        <v>3575</v>
      </c>
      <c r="Q112" s="408" t="s">
        <v>4037</v>
      </c>
      <c r="R112" s="24" t="s">
        <v>336</v>
      </c>
      <c r="S112" s="24" t="s">
        <v>4033</v>
      </c>
      <c r="T112" s="33" t="s">
        <v>4034</v>
      </c>
      <c r="U112" s="47" t="s">
        <v>4035</v>
      </c>
    </row>
    <row r="113" spans="1:21" s="25" customFormat="1" ht="114" customHeight="1" x14ac:dyDescent="0.3">
      <c r="A113" s="347" t="s">
        <v>1402</v>
      </c>
      <c r="B113" s="402" t="s">
        <v>822</v>
      </c>
      <c r="C113" s="402" t="s">
        <v>823</v>
      </c>
      <c r="D113" s="402" t="s">
        <v>4163</v>
      </c>
      <c r="E113" s="402" t="s">
        <v>376</v>
      </c>
      <c r="F113" s="402" t="s">
        <v>376</v>
      </c>
      <c r="G113" s="402" t="s">
        <v>959</v>
      </c>
      <c r="H113" s="402" t="s">
        <v>1700</v>
      </c>
      <c r="I113" s="402" t="s">
        <v>1701</v>
      </c>
      <c r="J113" s="402" t="s">
        <v>377</v>
      </c>
      <c r="K113" s="402" t="s">
        <v>495</v>
      </c>
      <c r="L113" s="402" t="s">
        <v>960</v>
      </c>
      <c r="M113" s="402" t="s">
        <v>328</v>
      </c>
      <c r="N113" s="417"/>
      <c r="O113" s="417"/>
      <c r="P113" s="402" t="s">
        <v>824</v>
      </c>
      <c r="Q113" s="422" t="s">
        <v>2029</v>
      </c>
      <c r="R113" s="402" t="s">
        <v>336</v>
      </c>
      <c r="S113" s="402" t="s">
        <v>649</v>
      </c>
      <c r="T113" s="405" t="s">
        <v>650</v>
      </c>
      <c r="U113" s="416">
        <v>105436</v>
      </c>
    </row>
    <row r="114" spans="1:21" s="25" customFormat="1" ht="66" x14ac:dyDescent="0.3">
      <c r="A114" s="398" t="s">
        <v>2270</v>
      </c>
      <c r="B114" s="402" t="s">
        <v>2156</v>
      </c>
      <c r="C114" s="402" t="s">
        <v>825</v>
      </c>
      <c r="D114" s="25" t="s">
        <v>4164</v>
      </c>
      <c r="E114" s="402" t="s">
        <v>1355</v>
      </c>
      <c r="F114" s="402" t="s">
        <v>1356</v>
      </c>
      <c r="G114" s="402" t="s">
        <v>1357</v>
      </c>
      <c r="H114" s="402" t="s">
        <v>16</v>
      </c>
      <c r="I114" s="402" t="s">
        <v>16</v>
      </c>
      <c r="J114" s="402" t="s">
        <v>1358</v>
      </c>
      <c r="K114" s="402" t="s">
        <v>433</v>
      </c>
      <c r="L114" s="402" t="s">
        <v>1359</v>
      </c>
      <c r="M114" s="402" t="s">
        <v>328</v>
      </c>
      <c r="N114" s="402" t="s">
        <v>1360</v>
      </c>
      <c r="O114" s="713"/>
      <c r="P114" s="638" t="s">
        <v>1361</v>
      </c>
      <c r="Q114" s="441" t="s">
        <v>4165</v>
      </c>
      <c r="R114" s="25" t="s">
        <v>332</v>
      </c>
      <c r="S114" s="25" t="s">
        <v>4166</v>
      </c>
      <c r="T114" s="33" t="s">
        <v>4167</v>
      </c>
      <c r="U114" s="47" t="s">
        <v>4168</v>
      </c>
    </row>
    <row r="115" spans="1:21" s="25" customFormat="1" ht="79.2" x14ac:dyDescent="0.3">
      <c r="A115" s="347" t="s">
        <v>1043</v>
      </c>
      <c r="B115" s="402" t="s">
        <v>1771</v>
      </c>
      <c r="C115" s="25" t="s">
        <v>1772</v>
      </c>
      <c r="D115" s="25" t="s">
        <v>4169</v>
      </c>
      <c r="E115" s="25" t="s">
        <v>1773</v>
      </c>
      <c r="F115" s="25" t="s">
        <v>1774</v>
      </c>
      <c r="G115" s="25" t="s">
        <v>1775</v>
      </c>
      <c r="H115" s="25" t="s">
        <v>1776</v>
      </c>
      <c r="I115" s="402" t="s">
        <v>4132</v>
      </c>
      <c r="J115" s="25" t="s">
        <v>1777</v>
      </c>
      <c r="K115" s="25" t="s">
        <v>601</v>
      </c>
      <c r="L115" s="24" t="s">
        <v>1778</v>
      </c>
      <c r="M115" s="25" t="s">
        <v>328</v>
      </c>
      <c r="N115" s="25" t="s">
        <v>1779</v>
      </c>
      <c r="O115" s="714"/>
      <c r="P115" s="25" t="s">
        <v>1780</v>
      </c>
      <c r="Q115" s="441" t="s">
        <v>4170</v>
      </c>
      <c r="R115" s="25" t="s">
        <v>336</v>
      </c>
      <c r="S115" s="25" t="s">
        <v>4136</v>
      </c>
      <c r="T115" s="33" t="s">
        <v>4137</v>
      </c>
      <c r="U115" s="47" t="s">
        <v>4171</v>
      </c>
    </row>
    <row r="116" spans="1:21" s="25" customFormat="1" ht="79.2" x14ac:dyDescent="0.3">
      <c r="A116" s="28" t="s">
        <v>434</v>
      </c>
      <c r="B116" s="215" t="s">
        <v>2610</v>
      </c>
      <c r="C116" s="215" t="s">
        <v>826</v>
      </c>
      <c r="D116" s="215" t="s">
        <v>2611</v>
      </c>
      <c r="E116" s="215" t="s">
        <v>1471</v>
      </c>
      <c r="F116" s="215" t="s">
        <v>1472</v>
      </c>
      <c r="G116" s="215" t="s">
        <v>2412</v>
      </c>
      <c r="H116" s="215" t="s">
        <v>1473</v>
      </c>
      <c r="I116" s="215" t="s">
        <v>16</v>
      </c>
      <c r="J116" s="215" t="s">
        <v>362</v>
      </c>
      <c r="K116" s="215" t="s">
        <v>464</v>
      </c>
      <c r="L116" s="215" t="s">
        <v>847</v>
      </c>
      <c r="M116" s="215" t="s">
        <v>328</v>
      </c>
      <c r="N116" s="215" t="s">
        <v>2612</v>
      </c>
      <c r="O116" s="215" t="s">
        <v>888</v>
      </c>
      <c r="P116" s="215" t="s">
        <v>2613</v>
      </c>
      <c r="Q116" s="447" t="s">
        <v>2614</v>
      </c>
      <c r="R116" s="215" t="s">
        <v>329</v>
      </c>
      <c r="S116" s="25" t="s">
        <v>2416</v>
      </c>
      <c r="T116" s="33" t="s">
        <v>2417</v>
      </c>
      <c r="U116" s="448">
        <v>103165</v>
      </c>
    </row>
    <row r="117" spans="1:21" s="25" customFormat="1" ht="52.8" x14ac:dyDescent="0.3">
      <c r="A117" s="28" t="s">
        <v>434</v>
      </c>
      <c r="B117" s="24" t="s">
        <v>2630</v>
      </c>
      <c r="C117" s="24" t="s">
        <v>828</v>
      </c>
      <c r="D117" s="24" t="s">
        <v>2631</v>
      </c>
      <c r="E117" s="24" t="s">
        <v>444</v>
      </c>
      <c r="F117" s="24" t="s">
        <v>2395</v>
      </c>
      <c r="G117" s="24" t="s">
        <v>445</v>
      </c>
      <c r="H117" s="24" t="s">
        <v>1702</v>
      </c>
      <c r="I117" s="24" t="s">
        <v>1703</v>
      </c>
      <c r="J117" s="24" t="s">
        <v>363</v>
      </c>
      <c r="K117" s="24" t="s">
        <v>433</v>
      </c>
      <c r="L117" s="24" t="s">
        <v>446</v>
      </c>
      <c r="M117" s="24" t="s">
        <v>328</v>
      </c>
      <c r="N117" s="24" t="s">
        <v>2632</v>
      </c>
      <c r="O117" s="382"/>
      <c r="P117" s="24" t="s">
        <v>829</v>
      </c>
      <c r="Q117" s="408" t="s">
        <v>2158</v>
      </c>
      <c r="R117" s="24" t="s">
        <v>336</v>
      </c>
      <c r="S117" s="24" t="s">
        <v>4106</v>
      </c>
      <c r="T117" s="42" t="s">
        <v>447</v>
      </c>
      <c r="U117" s="47">
        <v>103838</v>
      </c>
    </row>
    <row r="118" spans="1:21" s="25" customFormat="1" ht="105.6" x14ac:dyDescent="0.3">
      <c r="A118" s="28" t="s">
        <v>434</v>
      </c>
      <c r="B118" s="24" t="s">
        <v>2159</v>
      </c>
      <c r="C118" s="24" t="s">
        <v>830</v>
      </c>
      <c r="D118" s="24" t="s">
        <v>2160</v>
      </c>
      <c r="E118" s="24" t="s">
        <v>1416</v>
      </c>
      <c r="F118" s="24" t="s">
        <v>872</v>
      </c>
      <c r="G118" s="24" t="s">
        <v>873</v>
      </c>
      <c r="H118" s="24" t="s">
        <v>1417</v>
      </c>
      <c r="I118" s="24" t="s">
        <v>1418</v>
      </c>
      <c r="J118" s="24" t="s">
        <v>364</v>
      </c>
      <c r="K118" s="24" t="s">
        <v>455</v>
      </c>
      <c r="L118" s="24" t="s">
        <v>874</v>
      </c>
      <c r="M118" s="24" t="s">
        <v>328</v>
      </c>
      <c r="N118" s="24" t="s">
        <v>911</v>
      </c>
      <c r="O118" s="412"/>
      <c r="P118" s="24" t="s">
        <v>831</v>
      </c>
      <c r="Q118" s="408" t="s">
        <v>2161</v>
      </c>
      <c r="R118" s="24" t="s">
        <v>329</v>
      </c>
      <c r="S118" s="24" t="s">
        <v>832</v>
      </c>
      <c r="T118" s="42" t="s">
        <v>1419</v>
      </c>
      <c r="U118" s="411" t="s">
        <v>806</v>
      </c>
    </row>
    <row r="119" spans="1:21" s="25" customFormat="1" ht="39.6" x14ac:dyDescent="0.25">
      <c r="A119" s="347" t="s">
        <v>2266</v>
      </c>
      <c r="B119" s="24" t="s">
        <v>2162</v>
      </c>
      <c r="C119" s="24" t="s">
        <v>833</v>
      </c>
      <c r="D119" s="24" t="s">
        <v>2430</v>
      </c>
      <c r="E119" s="24" t="s">
        <v>488</v>
      </c>
      <c r="F119" s="24" t="s">
        <v>489</v>
      </c>
      <c r="G119" s="24" t="s">
        <v>490</v>
      </c>
      <c r="H119" s="215" t="s">
        <v>1377</v>
      </c>
      <c r="I119" s="407" t="s">
        <v>16</v>
      </c>
      <c r="J119" s="24" t="s">
        <v>325</v>
      </c>
      <c r="K119" s="24" t="s">
        <v>433</v>
      </c>
      <c r="L119" s="24" t="s">
        <v>491</v>
      </c>
      <c r="M119" s="24" t="s">
        <v>328</v>
      </c>
      <c r="N119" s="24" t="s">
        <v>2163</v>
      </c>
      <c r="O119" s="437" t="s">
        <v>2490</v>
      </c>
      <c r="P119" s="24" t="s">
        <v>2164</v>
      </c>
      <c r="Q119" s="410" t="s">
        <v>2491</v>
      </c>
      <c r="R119" s="24" t="s">
        <v>336</v>
      </c>
      <c r="S119" s="24" t="s">
        <v>2165</v>
      </c>
      <c r="T119" s="42" t="s">
        <v>1300</v>
      </c>
      <c r="U119" s="411">
        <v>107313</v>
      </c>
    </row>
    <row r="120" spans="1:21" s="25" customFormat="1" ht="39.6" x14ac:dyDescent="0.3">
      <c r="A120" s="347" t="s">
        <v>2262</v>
      </c>
      <c r="B120" s="39" t="s">
        <v>1634</v>
      </c>
      <c r="C120" s="39" t="s">
        <v>833</v>
      </c>
      <c r="D120" s="24" t="s">
        <v>2430</v>
      </c>
      <c r="E120" s="39" t="s">
        <v>966</v>
      </c>
      <c r="F120" s="24" t="s">
        <v>2154</v>
      </c>
      <c r="G120" s="438" t="s">
        <v>1625</v>
      </c>
      <c r="H120" s="438" t="s">
        <v>1588</v>
      </c>
      <c r="I120" s="438" t="s">
        <v>1626</v>
      </c>
      <c r="J120" s="438" t="s">
        <v>305</v>
      </c>
      <c r="K120" s="438" t="s">
        <v>495</v>
      </c>
      <c r="L120" s="438" t="s">
        <v>1627</v>
      </c>
      <c r="M120" s="438" t="s">
        <v>328</v>
      </c>
      <c r="N120" s="24" t="s">
        <v>1635</v>
      </c>
      <c r="O120" s="382"/>
      <c r="P120" s="39" t="s">
        <v>1636</v>
      </c>
      <c r="Q120" s="408" t="s">
        <v>2166</v>
      </c>
      <c r="R120" s="39" t="s">
        <v>336</v>
      </c>
      <c r="S120" s="24" t="s">
        <v>1630</v>
      </c>
      <c r="T120" s="42" t="s">
        <v>2492</v>
      </c>
      <c r="U120" s="31">
        <v>103791</v>
      </c>
    </row>
    <row r="121" spans="1:21" s="25" customFormat="1" ht="66" x14ac:dyDescent="0.3">
      <c r="A121" s="28" t="s">
        <v>434</v>
      </c>
      <c r="B121" s="24" t="s">
        <v>2167</v>
      </c>
      <c r="C121" s="52" t="s">
        <v>834</v>
      </c>
      <c r="D121" s="52" t="s">
        <v>2493</v>
      </c>
      <c r="E121" s="24" t="s">
        <v>2494</v>
      </c>
      <c r="F121" s="24" t="s">
        <v>1923</v>
      </c>
      <c r="G121" s="427" t="s">
        <v>2495</v>
      </c>
      <c r="H121" s="427" t="s">
        <v>2496</v>
      </c>
      <c r="I121" s="439" t="s">
        <v>2497</v>
      </c>
      <c r="J121" s="427" t="s">
        <v>312</v>
      </c>
      <c r="K121" s="427" t="s">
        <v>455</v>
      </c>
      <c r="L121" s="427" t="s">
        <v>1925</v>
      </c>
      <c r="M121" s="427" t="s">
        <v>328</v>
      </c>
      <c r="N121" s="439" t="s">
        <v>835</v>
      </c>
      <c r="O121" s="412"/>
      <c r="P121" s="24" t="s">
        <v>836</v>
      </c>
      <c r="Q121" s="408" t="s">
        <v>2498</v>
      </c>
      <c r="R121" s="24" t="s">
        <v>336</v>
      </c>
      <c r="S121" s="24" t="s">
        <v>837</v>
      </c>
      <c r="T121" s="42" t="s">
        <v>1926</v>
      </c>
      <c r="U121" s="411">
        <v>108411</v>
      </c>
    </row>
    <row r="122" spans="1:21" s="25" customFormat="1" ht="79.2" x14ac:dyDescent="0.3">
      <c r="A122" s="347" t="s">
        <v>1031</v>
      </c>
      <c r="B122" s="24" t="s">
        <v>2168</v>
      </c>
      <c r="C122" s="24" t="s">
        <v>2169</v>
      </c>
      <c r="D122" s="24" t="s">
        <v>2170</v>
      </c>
      <c r="E122" s="24" t="s">
        <v>1416</v>
      </c>
      <c r="F122" s="24" t="s">
        <v>872</v>
      </c>
      <c r="G122" s="24" t="s">
        <v>873</v>
      </c>
      <c r="H122" s="24" t="s">
        <v>1417</v>
      </c>
      <c r="I122" s="24" t="s">
        <v>1418</v>
      </c>
      <c r="J122" s="24" t="s">
        <v>364</v>
      </c>
      <c r="K122" s="24" t="s">
        <v>455</v>
      </c>
      <c r="L122" s="24" t="s">
        <v>874</v>
      </c>
      <c r="M122" s="24" t="s">
        <v>328</v>
      </c>
      <c r="N122" s="24" t="s">
        <v>2171</v>
      </c>
      <c r="O122" s="412"/>
      <c r="P122" s="24" t="s">
        <v>2172</v>
      </c>
      <c r="Q122" s="408" t="s">
        <v>2499</v>
      </c>
      <c r="R122" s="24" t="s">
        <v>329</v>
      </c>
      <c r="S122" s="440" t="s">
        <v>804</v>
      </c>
      <c r="T122" s="42" t="s">
        <v>805</v>
      </c>
      <c r="U122" s="47" t="s">
        <v>806</v>
      </c>
    </row>
    <row r="123" spans="1:21" s="25" customFormat="1" ht="66" x14ac:dyDescent="0.3">
      <c r="A123" s="22" t="s">
        <v>2500</v>
      </c>
      <c r="B123" s="24" t="s">
        <v>2315</v>
      </c>
      <c r="C123" s="24" t="s">
        <v>2173</v>
      </c>
      <c r="D123" s="24" t="s">
        <v>2430</v>
      </c>
      <c r="E123" s="24" t="s">
        <v>573</v>
      </c>
      <c r="F123" s="24" t="s">
        <v>574</v>
      </c>
      <c r="G123" s="24" t="s">
        <v>792</v>
      </c>
      <c r="H123" s="24" t="s">
        <v>1959</v>
      </c>
      <c r="I123" s="407" t="s">
        <v>16</v>
      </c>
      <c r="J123" s="24" t="s">
        <v>316</v>
      </c>
      <c r="K123" s="24" t="s">
        <v>575</v>
      </c>
      <c r="L123" s="24" t="s">
        <v>952</v>
      </c>
      <c r="M123" s="24" t="s">
        <v>328</v>
      </c>
      <c r="N123" s="24" t="s">
        <v>2501</v>
      </c>
      <c r="O123" s="382"/>
      <c r="P123" s="24" t="s">
        <v>2502</v>
      </c>
      <c r="Q123" s="408" t="s">
        <v>2503</v>
      </c>
      <c r="R123" s="24" t="s">
        <v>336</v>
      </c>
      <c r="S123" s="24" t="s">
        <v>600</v>
      </c>
      <c r="T123" s="42" t="s">
        <v>2504</v>
      </c>
      <c r="U123" s="411">
        <v>103813</v>
      </c>
    </row>
    <row r="124" spans="1:21" s="25" customFormat="1" ht="39.6" x14ac:dyDescent="0.3">
      <c r="A124" s="41" t="s">
        <v>2505</v>
      </c>
      <c r="B124" s="24" t="s">
        <v>1437</v>
      </c>
      <c r="C124" s="24" t="s">
        <v>838</v>
      </c>
      <c r="D124" s="24" t="s">
        <v>4172</v>
      </c>
      <c r="E124" s="24" t="s">
        <v>1438</v>
      </c>
      <c r="F124" s="24" t="s">
        <v>1438</v>
      </c>
      <c r="G124" s="24" t="s">
        <v>1439</v>
      </c>
      <c r="H124" s="24" t="s">
        <v>1440</v>
      </c>
      <c r="I124" s="407" t="s">
        <v>16</v>
      </c>
      <c r="J124" s="24" t="s">
        <v>1064</v>
      </c>
      <c r="K124" s="24" t="s">
        <v>601</v>
      </c>
      <c r="L124" s="24" t="s">
        <v>1441</v>
      </c>
      <c r="M124" s="24" t="s">
        <v>328</v>
      </c>
      <c r="N124" s="24" t="s">
        <v>1442</v>
      </c>
      <c r="O124" s="412"/>
      <c r="P124" s="24" t="s">
        <v>1443</v>
      </c>
      <c r="Q124" s="408" t="s">
        <v>2174</v>
      </c>
      <c r="R124" s="24" t="s">
        <v>332</v>
      </c>
      <c r="S124" s="24" t="s">
        <v>1444</v>
      </c>
      <c r="T124" s="42" t="s">
        <v>1445</v>
      </c>
      <c r="U124" s="411">
        <v>110718</v>
      </c>
    </row>
    <row r="125" spans="1:21" s="21" customFormat="1" ht="66" x14ac:dyDescent="0.3">
      <c r="A125" s="28" t="s">
        <v>434</v>
      </c>
      <c r="B125" s="402" t="s">
        <v>839</v>
      </c>
      <c r="C125" s="402" t="s">
        <v>840</v>
      </c>
      <c r="D125" s="402" t="s">
        <v>2506</v>
      </c>
      <c r="E125" s="402" t="s">
        <v>1816</v>
      </c>
      <c r="F125" s="402" t="s">
        <v>1817</v>
      </c>
      <c r="G125" s="402" t="s">
        <v>440</v>
      </c>
      <c r="H125" s="403" t="s">
        <v>16</v>
      </c>
      <c r="I125" s="403" t="s">
        <v>16</v>
      </c>
      <c r="J125" s="402" t="s">
        <v>375</v>
      </c>
      <c r="K125" s="402" t="s">
        <v>433</v>
      </c>
      <c r="L125" s="402" t="s">
        <v>441</v>
      </c>
      <c r="M125" s="402" t="s">
        <v>328</v>
      </c>
      <c r="N125" s="402" t="s">
        <v>841</v>
      </c>
      <c r="O125" s="402" t="s">
        <v>443</v>
      </c>
      <c r="P125" s="402" t="s">
        <v>842</v>
      </c>
      <c r="Q125" s="422" t="s">
        <v>2035</v>
      </c>
      <c r="R125" s="402" t="s">
        <v>332</v>
      </c>
      <c r="S125" s="402" t="s">
        <v>1823</v>
      </c>
      <c r="T125" s="405" t="s">
        <v>1819</v>
      </c>
      <c r="U125" s="406">
        <v>102886</v>
      </c>
    </row>
    <row r="126" spans="1:21" s="21" customFormat="1" ht="52.8" x14ac:dyDescent="0.3">
      <c r="A126" s="139" t="s">
        <v>2507</v>
      </c>
      <c r="B126" s="52" t="s">
        <v>356</v>
      </c>
      <c r="C126" s="24" t="s">
        <v>840</v>
      </c>
      <c r="D126" s="24" t="s">
        <v>4173</v>
      </c>
      <c r="E126" s="24" t="s">
        <v>1459</v>
      </c>
      <c r="F126" s="24" t="s">
        <v>1460</v>
      </c>
      <c r="G126" s="24" t="s">
        <v>538</v>
      </c>
      <c r="H126" s="24" t="s">
        <v>1468</v>
      </c>
      <c r="I126" s="407" t="s">
        <v>16</v>
      </c>
      <c r="J126" s="24" t="s">
        <v>333</v>
      </c>
      <c r="K126" s="24" t="s">
        <v>433</v>
      </c>
      <c r="L126" s="24" t="s">
        <v>539</v>
      </c>
      <c r="M126" s="24" t="s">
        <v>328</v>
      </c>
      <c r="N126" s="52" t="s">
        <v>843</v>
      </c>
      <c r="O126" s="24" t="s">
        <v>644</v>
      </c>
      <c r="P126" s="24" t="s">
        <v>1469</v>
      </c>
      <c r="Q126" s="408" t="s">
        <v>2175</v>
      </c>
      <c r="R126" s="24" t="s">
        <v>329</v>
      </c>
      <c r="S126" s="24" t="s">
        <v>821</v>
      </c>
      <c r="T126" s="42" t="s">
        <v>1470</v>
      </c>
      <c r="U126" s="411">
        <v>103161</v>
      </c>
    </row>
    <row r="127" spans="1:21" s="25" customFormat="1" ht="66" x14ac:dyDescent="0.3">
      <c r="A127" s="28" t="s">
        <v>434</v>
      </c>
      <c r="B127" s="24" t="s">
        <v>2176</v>
      </c>
      <c r="C127" s="24" t="s">
        <v>844</v>
      </c>
      <c r="D127" s="24" t="s">
        <v>2508</v>
      </c>
      <c r="E127" s="24" t="s">
        <v>2420</v>
      </c>
      <c r="F127" s="24" t="s">
        <v>2421</v>
      </c>
      <c r="G127" s="24" t="s">
        <v>534</v>
      </c>
      <c r="H127" s="431" t="s">
        <v>16</v>
      </c>
      <c r="I127" s="407" t="s">
        <v>16</v>
      </c>
      <c r="J127" s="24" t="s">
        <v>312</v>
      </c>
      <c r="K127" s="24" t="s">
        <v>455</v>
      </c>
      <c r="L127" s="24" t="s">
        <v>535</v>
      </c>
      <c r="M127" s="24" t="s">
        <v>328</v>
      </c>
      <c r="N127" s="407" t="s">
        <v>1607</v>
      </c>
      <c r="O127" s="382"/>
      <c r="P127" s="24" t="s">
        <v>1608</v>
      </c>
      <c r="Q127" s="408" t="s">
        <v>2509</v>
      </c>
      <c r="R127" s="24" t="s">
        <v>336</v>
      </c>
      <c r="S127" s="24" t="s">
        <v>1603</v>
      </c>
      <c r="T127" s="42" t="s">
        <v>2027</v>
      </c>
      <c r="U127" s="47">
        <v>104897</v>
      </c>
    </row>
    <row r="128" spans="1:21" s="25" customFormat="1" ht="39.6" x14ac:dyDescent="0.3">
      <c r="A128" s="41" t="s">
        <v>2510</v>
      </c>
      <c r="B128" s="24" t="s">
        <v>1809</v>
      </c>
      <c r="C128" s="24" t="s">
        <v>1810</v>
      </c>
      <c r="D128" s="24" t="s">
        <v>4174</v>
      </c>
      <c r="E128" s="24" t="s">
        <v>1804</v>
      </c>
      <c r="F128" s="24" t="s">
        <v>1805</v>
      </c>
      <c r="G128" s="24" t="s">
        <v>621</v>
      </c>
      <c r="H128" s="407" t="s">
        <v>16</v>
      </c>
      <c r="I128" s="407" t="s">
        <v>16</v>
      </c>
      <c r="J128" s="24" t="s">
        <v>305</v>
      </c>
      <c r="K128" s="24" t="s">
        <v>495</v>
      </c>
      <c r="L128" s="24" t="s">
        <v>622</v>
      </c>
      <c r="M128" s="24" t="s">
        <v>328</v>
      </c>
      <c r="N128" s="24" t="s">
        <v>623</v>
      </c>
      <c r="O128" s="24" t="s">
        <v>624</v>
      </c>
      <c r="P128" s="24" t="s">
        <v>1811</v>
      </c>
      <c r="Q128" s="410" t="s">
        <v>1806</v>
      </c>
      <c r="R128" s="24" t="s">
        <v>332</v>
      </c>
      <c r="S128" s="24" t="s">
        <v>1807</v>
      </c>
      <c r="T128" s="42" t="s">
        <v>1808</v>
      </c>
      <c r="U128" s="47">
        <v>103485</v>
      </c>
    </row>
    <row r="129" spans="1:21" s="21" customFormat="1" ht="39.6" x14ac:dyDescent="0.3">
      <c r="A129" s="347" t="s">
        <v>1032</v>
      </c>
      <c r="B129" s="402" t="s">
        <v>2308</v>
      </c>
      <c r="C129" s="402" t="s">
        <v>851</v>
      </c>
      <c r="D129" s="402" t="s">
        <v>2511</v>
      </c>
      <c r="E129" s="402" t="s">
        <v>3955</v>
      </c>
      <c r="F129" s="402" t="s">
        <v>4175</v>
      </c>
      <c r="G129" s="402" t="s">
        <v>466</v>
      </c>
      <c r="H129" s="403" t="s">
        <v>16</v>
      </c>
      <c r="I129" s="403" t="s">
        <v>16</v>
      </c>
      <c r="J129" s="402" t="s">
        <v>374</v>
      </c>
      <c r="K129" s="402" t="s">
        <v>467</v>
      </c>
      <c r="L129" s="403" t="s">
        <v>852</v>
      </c>
      <c r="M129" s="402" t="s">
        <v>341</v>
      </c>
      <c r="N129" s="402" t="s">
        <v>853</v>
      </c>
      <c r="O129" s="414"/>
      <c r="P129" s="402" t="s">
        <v>854</v>
      </c>
      <c r="Q129" s="441" t="s">
        <v>2512</v>
      </c>
      <c r="R129" s="402" t="s">
        <v>347</v>
      </c>
      <c r="S129" s="402" t="s">
        <v>468</v>
      </c>
      <c r="T129" s="419" t="s">
        <v>469</v>
      </c>
      <c r="U129" s="442">
        <v>103127</v>
      </c>
    </row>
    <row r="130" spans="1:21" s="25" customFormat="1" ht="39.6" x14ac:dyDescent="0.3">
      <c r="A130" s="347" t="s">
        <v>1055</v>
      </c>
      <c r="B130" s="402" t="s">
        <v>2316</v>
      </c>
      <c r="C130" s="402" t="s">
        <v>851</v>
      </c>
      <c r="D130" s="402" t="s">
        <v>2430</v>
      </c>
      <c r="E130" s="402" t="s">
        <v>448</v>
      </c>
      <c r="F130" s="402" t="s">
        <v>449</v>
      </c>
      <c r="G130" s="402" t="s">
        <v>1548</v>
      </c>
      <c r="H130" s="402" t="s">
        <v>1551</v>
      </c>
      <c r="I130" s="403" t="s">
        <v>16</v>
      </c>
      <c r="J130" s="402" t="s">
        <v>432</v>
      </c>
      <c r="K130" s="402" t="s">
        <v>433</v>
      </c>
      <c r="L130" s="402" t="s">
        <v>450</v>
      </c>
      <c r="M130" s="402" t="s">
        <v>328</v>
      </c>
      <c r="N130" s="402" t="s">
        <v>1552</v>
      </c>
      <c r="O130" s="414"/>
      <c r="P130" s="402" t="s">
        <v>1553</v>
      </c>
      <c r="Q130" s="404" t="s">
        <v>2056</v>
      </c>
      <c r="R130" s="402" t="s">
        <v>336</v>
      </c>
      <c r="S130" s="402" t="s">
        <v>2057</v>
      </c>
      <c r="T130" s="405" t="s">
        <v>1289</v>
      </c>
      <c r="U130" s="416">
        <v>103831</v>
      </c>
    </row>
    <row r="131" spans="1:21" s="25" customFormat="1" ht="92.4" x14ac:dyDescent="0.3">
      <c r="A131" s="347" t="s">
        <v>1047</v>
      </c>
      <c r="B131" s="402" t="s">
        <v>2314</v>
      </c>
      <c r="C131" s="402" t="s">
        <v>851</v>
      </c>
      <c r="D131" s="402" t="s">
        <v>4176</v>
      </c>
      <c r="E131" s="402" t="s">
        <v>610</v>
      </c>
      <c r="F131" s="402" t="s">
        <v>610</v>
      </c>
      <c r="G131" s="443" t="s">
        <v>855</v>
      </c>
      <c r="H131" s="443" t="s">
        <v>856</v>
      </c>
      <c r="I131" s="444" t="s">
        <v>16</v>
      </c>
      <c r="J131" s="443" t="s">
        <v>365</v>
      </c>
      <c r="K131" s="443" t="s">
        <v>495</v>
      </c>
      <c r="L131" s="443" t="s">
        <v>857</v>
      </c>
      <c r="M131" s="443" t="s">
        <v>328</v>
      </c>
      <c r="N131" s="402" t="s">
        <v>858</v>
      </c>
      <c r="O131" s="414"/>
      <c r="P131" s="402" t="s">
        <v>859</v>
      </c>
      <c r="Q131" s="404" t="s">
        <v>2038</v>
      </c>
      <c r="R131" s="402" t="s">
        <v>336</v>
      </c>
      <c r="S131" s="402" t="s">
        <v>611</v>
      </c>
      <c r="T131" s="405" t="s">
        <v>860</v>
      </c>
      <c r="U131" s="416">
        <v>105342</v>
      </c>
    </row>
    <row r="132" spans="1:21" s="25" customFormat="1" ht="39.6" x14ac:dyDescent="0.3">
      <c r="A132" s="41" t="s">
        <v>2271</v>
      </c>
      <c r="B132" s="24" t="s">
        <v>2322</v>
      </c>
      <c r="C132" s="24" t="s">
        <v>850</v>
      </c>
      <c r="D132" s="24" t="s">
        <v>4177</v>
      </c>
      <c r="E132" s="24" t="s">
        <v>1561</v>
      </c>
      <c r="F132" s="24" t="s">
        <v>1562</v>
      </c>
      <c r="G132" s="24" t="s">
        <v>1563</v>
      </c>
      <c r="H132" s="24" t="s">
        <v>1564</v>
      </c>
      <c r="I132" s="407" t="s">
        <v>16</v>
      </c>
      <c r="J132" s="24" t="s">
        <v>321</v>
      </c>
      <c r="K132" s="24" t="s">
        <v>568</v>
      </c>
      <c r="L132" s="24" t="s">
        <v>1565</v>
      </c>
      <c r="M132" s="24" t="s">
        <v>328</v>
      </c>
      <c r="N132" s="24" t="s">
        <v>1566</v>
      </c>
      <c r="O132" s="412"/>
      <c r="P132" s="24" t="s">
        <v>1567</v>
      </c>
      <c r="Q132" s="408" t="s">
        <v>2197</v>
      </c>
      <c r="R132" s="24" t="s">
        <v>336</v>
      </c>
      <c r="S132" s="24" t="s">
        <v>1568</v>
      </c>
      <c r="T132" s="42" t="s">
        <v>1569</v>
      </c>
      <c r="U132" s="47">
        <v>106668</v>
      </c>
    </row>
    <row r="133" spans="1:21" s="25" customFormat="1" ht="52.8" x14ac:dyDescent="0.3">
      <c r="A133" s="347" t="s">
        <v>1050</v>
      </c>
      <c r="B133" s="402" t="s">
        <v>411</v>
      </c>
      <c r="C133" s="402" t="s">
        <v>861</v>
      </c>
      <c r="D133" s="402" t="s">
        <v>2589</v>
      </c>
      <c r="E133" s="402" t="s">
        <v>502</v>
      </c>
      <c r="F133" s="402" t="s">
        <v>1929</v>
      </c>
      <c r="G133" s="402" t="s">
        <v>1063</v>
      </c>
      <c r="H133" s="402" t="s">
        <v>1588</v>
      </c>
      <c r="I133" s="402" t="s">
        <v>2041</v>
      </c>
      <c r="J133" s="402" t="s">
        <v>503</v>
      </c>
      <c r="K133" s="402" t="s">
        <v>504</v>
      </c>
      <c r="L133" s="402" t="s">
        <v>505</v>
      </c>
      <c r="M133" s="402" t="s">
        <v>328</v>
      </c>
      <c r="N133" s="402" t="s">
        <v>862</v>
      </c>
      <c r="O133" s="417" t="s">
        <v>1930</v>
      </c>
      <c r="P133" s="402" t="s">
        <v>863</v>
      </c>
      <c r="Q133" s="422" t="s">
        <v>2042</v>
      </c>
      <c r="R133" s="402" t="s">
        <v>336</v>
      </c>
      <c r="S133" s="402" t="s">
        <v>864</v>
      </c>
      <c r="T133" s="33" t="s">
        <v>4068</v>
      </c>
      <c r="U133" s="416">
        <v>104982</v>
      </c>
    </row>
    <row r="134" spans="1:21" s="25" customFormat="1" ht="79.2" x14ac:dyDescent="0.3">
      <c r="A134" s="41" t="s">
        <v>2513</v>
      </c>
      <c r="B134" s="24" t="s">
        <v>2254</v>
      </c>
      <c r="C134" s="24" t="s">
        <v>2514</v>
      </c>
      <c r="D134" s="24" t="s">
        <v>2515</v>
      </c>
      <c r="E134" s="24" t="s">
        <v>606</v>
      </c>
      <c r="F134" s="24" t="s">
        <v>869</v>
      </c>
      <c r="G134" s="24" t="s">
        <v>870</v>
      </c>
      <c r="H134" s="24" t="s">
        <v>1403</v>
      </c>
      <c r="I134" s="24" t="s">
        <v>2516</v>
      </c>
      <c r="J134" s="24" t="s">
        <v>312</v>
      </c>
      <c r="K134" s="24" t="s">
        <v>455</v>
      </c>
      <c r="L134" s="24" t="s">
        <v>871</v>
      </c>
      <c r="M134" s="24" t="s">
        <v>328</v>
      </c>
      <c r="N134" s="24" t="s">
        <v>701</v>
      </c>
      <c r="O134" s="382" t="s">
        <v>2517</v>
      </c>
      <c r="P134" s="24" t="s">
        <v>2518</v>
      </c>
      <c r="Q134" s="408" t="s">
        <v>2519</v>
      </c>
      <c r="R134" s="24" t="s">
        <v>329</v>
      </c>
      <c r="S134" s="215" t="s">
        <v>2520</v>
      </c>
      <c r="T134" s="42" t="s">
        <v>2521</v>
      </c>
      <c r="U134" s="411">
        <v>100033</v>
      </c>
    </row>
    <row r="135" spans="1:21" s="25" customFormat="1" ht="118.8" x14ac:dyDescent="0.3">
      <c r="A135" s="41" t="s">
        <v>2522</v>
      </c>
      <c r="B135" s="24" t="s">
        <v>1849</v>
      </c>
      <c r="C135" s="24" t="s">
        <v>1850</v>
      </c>
      <c r="D135" s="24" t="s">
        <v>4178</v>
      </c>
      <c r="E135" s="24" t="s">
        <v>695</v>
      </c>
      <c r="F135" s="24" t="s">
        <v>1843</v>
      </c>
      <c r="G135" s="24" t="s">
        <v>1844</v>
      </c>
      <c r="H135" s="24" t="s">
        <v>1845</v>
      </c>
      <c r="I135" s="407" t="s">
        <v>16</v>
      </c>
      <c r="J135" s="24" t="s">
        <v>1846</v>
      </c>
      <c r="K135" s="24" t="s">
        <v>458</v>
      </c>
      <c r="L135" s="24" t="s">
        <v>1847</v>
      </c>
      <c r="M135" s="24" t="s">
        <v>328</v>
      </c>
      <c r="N135" s="24" t="s">
        <v>1851</v>
      </c>
      <c r="O135" s="24" t="s">
        <v>1852</v>
      </c>
      <c r="P135" s="24" t="s">
        <v>1853</v>
      </c>
      <c r="Q135" s="410" t="s">
        <v>2177</v>
      </c>
      <c r="R135" s="24" t="s">
        <v>336</v>
      </c>
      <c r="S135" s="24" t="s">
        <v>1848</v>
      </c>
      <c r="T135" s="42" t="s">
        <v>696</v>
      </c>
      <c r="U135" s="430">
        <v>108197</v>
      </c>
    </row>
    <row r="136" spans="1:21" s="25" customFormat="1" ht="39.6" x14ac:dyDescent="0.3">
      <c r="A136" s="41" t="s">
        <v>2523</v>
      </c>
      <c r="B136" s="24" t="s">
        <v>1674</v>
      </c>
      <c r="C136" s="24" t="s">
        <v>1675</v>
      </c>
      <c r="D136" s="24" t="s">
        <v>2430</v>
      </c>
      <c r="E136" s="24" t="s">
        <v>460</v>
      </c>
      <c r="F136" s="24" t="s">
        <v>461</v>
      </c>
      <c r="G136" s="24" t="s">
        <v>812</v>
      </c>
      <c r="H136" s="24" t="s">
        <v>1676</v>
      </c>
      <c r="I136" s="24" t="s">
        <v>16</v>
      </c>
      <c r="J136" s="24" t="s">
        <v>317</v>
      </c>
      <c r="K136" s="24" t="s">
        <v>433</v>
      </c>
      <c r="L136" s="24" t="s">
        <v>463</v>
      </c>
      <c r="M136" s="24" t="s">
        <v>328</v>
      </c>
      <c r="N136" s="24" t="s">
        <v>1677</v>
      </c>
      <c r="O136" s="382"/>
      <c r="P136" s="24" t="s">
        <v>1678</v>
      </c>
      <c r="Q136" s="404" t="s">
        <v>2178</v>
      </c>
      <c r="R136" s="24" t="s">
        <v>336</v>
      </c>
      <c r="S136" s="24" t="s">
        <v>1679</v>
      </c>
      <c r="T136" s="42" t="s">
        <v>4108</v>
      </c>
      <c r="U136" s="41" t="s">
        <v>434</v>
      </c>
    </row>
    <row r="137" spans="1:21" s="25" customFormat="1" ht="52.8" x14ac:dyDescent="0.3">
      <c r="A137" s="28" t="s">
        <v>434</v>
      </c>
      <c r="B137" s="25" t="s">
        <v>4179</v>
      </c>
      <c r="C137" s="25" t="s">
        <v>4180</v>
      </c>
      <c r="D137" s="25" t="s">
        <v>2225</v>
      </c>
      <c r="E137" s="25" t="s">
        <v>488</v>
      </c>
      <c r="F137" s="25" t="s">
        <v>489</v>
      </c>
      <c r="G137" s="25" t="s">
        <v>490</v>
      </c>
      <c r="H137" s="25" t="s">
        <v>1377</v>
      </c>
      <c r="I137" s="25" t="s">
        <v>16</v>
      </c>
      <c r="J137" s="25" t="s">
        <v>2542</v>
      </c>
      <c r="K137" s="25" t="s">
        <v>433</v>
      </c>
      <c r="L137" s="24" t="s">
        <v>491</v>
      </c>
      <c r="M137" s="25" t="s">
        <v>328</v>
      </c>
      <c r="N137" s="639"/>
      <c r="O137" s="639" t="s">
        <v>2490</v>
      </c>
      <c r="P137" s="25" t="s">
        <v>4181</v>
      </c>
      <c r="Q137" s="441" t="s">
        <v>4182</v>
      </c>
      <c r="R137" s="25" t="s">
        <v>336</v>
      </c>
      <c r="S137" s="25" t="s">
        <v>2165</v>
      </c>
      <c r="T137" s="33" t="s">
        <v>2227</v>
      </c>
      <c r="U137" s="47">
        <v>107313</v>
      </c>
    </row>
    <row r="138" spans="1:21" s="25" customFormat="1" ht="39.6" x14ac:dyDescent="0.3">
      <c r="A138" s="28" t="s">
        <v>434</v>
      </c>
      <c r="B138" s="402" t="s">
        <v>2047</v>
      </c>
      <c r="C138" s="402" t="s">
        <v>1936</v>
      </c>
      <c r="D138" s="402" t="s">
        <v>2048</v>
      </c>
      <c r="E138" s="402" t="s">
        <v>451</v>
      </c>
      <c r="F138" s="402" t="s">
        <v>452</v>
      </c>
      <c r="G138" s="402" t="s">
        <v>1931</v>
      </c>
      <c r="H138" s="402" t="s">
        <v>1937</v>
      </c>
      <c r="I138" s="403" t="s">
        <v>16</v>
      </c>
      <c r="J138" s="402" t="s">
        <v>368</v>
      </c>
      <c r="K138" s="402" t="s">
        <v>433</v>
      </c>
      <c r="L138" s="402" t="s">
        <v>508</v>
      </c>
      <c r="M138" s="402" t="s">
        <v>328</v>
      </c>
      <c r="N138" s="402" t="s">
        <v>1938</v>
      </c>
      <c r="O138" s="417"/>
      <c r="P138" s="402" t="s">
        <v>1939</v>
      </c>
      <c r="Q138" s="422" t="s">
        <v>2049</v>
      </c>
      <c r="R138" s="402" t="s">
        <v>336</v>
      </c>
      <c r="S138" s="402" t="s">
        <v>887</v>
      </c>
      <c r="T138" s="415" t="s">
        <v>453</v>
      </c>
      <c r="U138" s="406">
        <v>103794</v>
      </c>
    </row>
    <row r="139" spans="1:21" s="25" customFormat="1" ht="39.6" x14ac:dyDescent="0.3">
      <c r="A139" s="347" t="s">
        <v>2524</v>
      </c>
      <c r="B139" s="402" t="s">
        <v>865</v>
      </c>
      <c r="C139" s="402" t="s">
        <v>866</v>
      </c>
      <c r="D139" s="402" t="s">
        <v>2430</v>
      </c>
      <c r="E139" s="402" t="s">
        <v>460</v>
      </c>
      <c r="F139" s="402" t="s">
        <v>461</v>
      </c>
      <c r="G139" s="402" t="s">
        <v>462</v>
      </c>
      <c r="H139" s="402" t="s">
        <v>1680</v>
      </c>
      <c r="I139" s="403" t="s">
        <v>16</v>
      </c>
      <c r="J139" s="402" t="s">
        <v>317</v>
      </c>
      <c r="K139" s="402" t="s">
        <v>433</v>
      </c>
      <c r="L139" s="402" t="s">
        <v>463</v>
      </c>
      <c r="M139" s="402" t="s">
        <v>328</v>
      </c>
      <c r="N139" s="417" t="s">
        <v>406</v>
      </c>
      <c r="O139" s="417" t="s">
        <v>867</v>
      </c>
      <c r="P139" s="402" t="s">
        <v>868</v>
      </c>
      <c r="Q139" s="404" t="s">
        <v>2066</v>
      </c>
      <c r="R139" s="402" t="s">
        <v>336</v>
      </c>
      <c r="S139" s="402" t="s">
        <v>530</v>
      </c>
      <c r="T139" s="405" t="s">
        <v>4121</v>
      </c>
      <c r="U139" s="398" t="s">
        <v>434</v>
      </c>
    </row>
    <row r="140" spans="1:21" s="25" customFormat="1" ht="66" x14ac:dyDescent="0.3">
      <c r="A140" s="41" t="s">
        <v>2525</v>
      </c>
      <c r="B140" s="24" t="s">
        <v>2179</v>
      </c>
      <c r="C140" s="24" t="s">
        <v>1372</v>
      </c>
      <c r="D140" s="24" t="s">
        <v>2180</v>
      </c>
      <c r="E140" s="24" t="s">
        <v>1373</v>
      </c>
      <c r="F140" s="24" t="s">
        <v>1365</v>
      </c>
      <c r="G140" s="24" t="s">
        <v>1366</v>
      </c>
      <c r="H140" s="407" t="s">
        <v>16</v>
      </c>
      <c r="I140" s="407" t="s">
        <v>16</v>
      </c>
      <c r="J140" s="24" t="s">
        <v>326</v>
      </c>
      <c r="K140" s="24" t="s">
        <v>433</v>
      </c>
      <c r="L140" s="24" t="s">
        <v>1367</v>
      </c>
      <c r="M140" s="24" t="s">
        <v>328</v>
      </c>
      <c r="N140" s="24" t="s">
        <v>1374</v>
      </c>
      <c r="O140" s="382"/>
      <c r="P140" s="24" t="s">
        <v>1375</v>
      </c>
      <c r="Q140" s="404" t="s">
        <v>2080</v>
      </c>
      <c r="R140" s="24" t="s">
        <v>336</v>
      </c>
      <c r="S140" s="24" t="s">
        <v>1370</v>
      </c>
      <c r="T140" s="42" t="s">
        <v>1371</v>
      </c>
      <c r="U140" s="47">
        <v>111255</v>
      </c>
    </row>
    <row r="141" spans="1:21" s="25" customFormat="1" ht="52.8" x14ac:dyDescent="0.3">
      <c r="A141" s="28" t="s">
        <v>434</v>
      </c>
      <c r="B141" s="24" t="s">
        <v>2181</v>
      </c>
      <c r="C141" s="24" t="s">
        <v>1940</v>
      </c>
      <c r="D141" s="24" t="s">
        <v>2182</v>
      </c>
      <c r="E141" s="24" t="s">
        <v>451</v>
      </c>
      <c r="F141" s="24" t="s">
        <v>452</v>
      </c>
      <c r="G141" s="24" t="s">
        <v>1931</v>
      </c>
      <c r="H141" s="24" t="s">
        <v>1941</v>
      </c>
      <c r="I141" s="407" t="s">
        <v>16</v>
      </c>
      <c r="J141" s="24" t="s">
        <v>368</v>
      </c>
      <c r="K141" s="24" t="s">
        <v>433</v>
      </c>
      <c r="L141" s="24" t="s">
        <v>508</v>
      </c>
      <c r="M141" s="24" t="s">
        <v>328</v>
      </c>
      <c r="N141" s="382"/>
      <c r="O141" s="382"/>
      <c r="P141" s="24" t="s">
        <v>1942</v>
      </c>
      <c r="Q141" s="408" t="s">
        <v>2183</v>
      </c>
      <c r="R141" s="24" t="s">
        <v>336</v>
      </c>
      <c r="S141" s="24" t="s">
        <v>1943</v>
      </c>
      <c r="T141" s="42" t="s">
        <v>1888</v>
      </c>
      <c r="U141" s="47">
        <v>110688</v>
      </c>
    </row>
    <row r="142" spans="1:21" s="25" customFormat="1" ht="79.2" x14ac:dyDescent="0.3">
      <c r="A142" s="28" t="s">
        <v>434</v>
      </c>
      <c r="B142" s="24" t="s">
        <v>2184</v>
      </c>
      <c r="C142" s="24" t="s">
        <v>1609</v>
      </c>
      <c r="D142" s="24" t="s">
        <v>2185</v>
      </c>
      <c r="E142" s="24" t="s">
        <v>2420</v>
      </c>
      <c r="F142" s="24" t="s">
        <v>2421</v>
      </c>
      <c r="G142" s="24" t="s">
        <v>534</v>
      </c>
      <c r="H142" s="431" t="s">
        <v>16</v>
      </c>
      <c r="I142" s="407" t="s">
        <v>16</v>
      </c>
      <c r="J142" s="24" t="s">
        <v>312</v>
      </c>
      <c r="K142" s="24" t="s">
        <v>455</v>
      </c>
      <c r="L142" s="24" t="s">
        <v>535</v>
      </c>
      <c r="M142" s="24" t="s">
        <v>328</v>
      </c>
      <c r="N142" s="407" t="s">
        <v>1610</v>
      </c>
      <c r="O142" s="382"/>
      <c r="P142" s="24" t="s">
        <v>1611</v>
      </c>
      <c r="Q142" s="408" t="s">
        <v>2526</v>
      </c>
      <c r="R142" s="24" t="s">
        <v>336</v>
      </c>
      <c r="S142" s="24" t="s">
        <v>1603</v>
      </c>
      <c r="T142" s="42" t="s">
        <v>2027</v>
      </c>
      <c r="U142" s="47">
        <v>104897</v>
      </c>
    </row>
    <row r="143" spans="1:21" s="25" customFormat="1" ht="79.2" x14ac:dyDescent="0.3">
      <c r="A143" s="41" t="s">
        <v>434</v>
      </c>
      <c r="B143" s="25" t="s">
        <v>2184</v>
      </c>
      <c r="C143" s="25" t="s">
        <v>1609</v>
      </c>
      <c r="D143" s="25" t="s">
        <v>4183</v>
      </c>
      <c r="E143" s="25" t="s">
        <v>964</v>
      </c>
      <c r="F143" s="25" t="s">
        <v>1905</v>
      </c>
      <c r="G143" s="25" t="s">
        <v>1917</v>
      </c>
      <c r="H143" s="25" t="s">
        <v>1918</v>
      </c>
      <c r="I143" s="433" t="s">
        <v>1919</v>
      </c>
      <c r="J143" s="25" t="s">
        <v>3958</v>
      </c>
      <c r="K143" s="25" t="s">
        <v>455</v>
      </c>
      <c r="L143" s="24" t="s">
        <v>1909</v>
      </c>
      <c r="M143" s="25" t="s">
        <v>328</v>
      </c>
      <c r="N143" s="433" t="s">
        <v>1610</v>
      </c>
      <c r="O143" s="434"/>
      <c r="P143" s="25" t="s">
        <v>4184</v>
      </c>
      <c r="Q143" s="435" t="s">
        <v>4185</v>
      </c>
      <c r="R143" s="25" t="s">
        <v>336</v>
      </c>
      <c r="S143" s="25" t="s">
        <v>4186</v>
      </c>
      <c r="T143" s="33" t="s">
        <v>4187</v>
      </c>
      <c r="U143" s="47" t="s">
        <v>4035</v>
      </c>
    </row>
    <row r="144" spans="1:21" s="25" customFormat="1" ht="26.4" x14ac:dyDescent="0.3">
      <c r="A144" s="23" t="s">
        <v>2527</v>
      </c>
      <c r="B144" s="424" t="s">
        <v>1812</v>
      </c>
      <c r="C144" s="424" t="s">
        <v>1813</v>
      </c>
      <c r="D144" s="215" t="s">
        <v>4188</v>
      </c>
      <c r="E144" s="424" t="s">
        <v>1804</v>
      </c>
      <c r="F144" s="424" t="s">
        <v>1805</v>
      </c>
      <c r="G144" s="424" t="s">
        <v>621</v>
      </c>
      <c r="H144" s="424" t="s">
        <v>16</v>
      </c>
      <c r="I144" s="424" t="s">
        <v>16</v>
      </c>
      <c r="J144" s="424" t="s">
        <v>305</v>
      </c>
      <c r="K144" s="424" t="s">
        <v>495</v>
      </c>
      <c r="L144" s="424" t="s">
        <v>622</v>
      </c>
      <c r="M144" s="424" t="s">
        <v>328</v>
      </c>
      <c r="N144" s="424" t="s">
        <v>623</v>
      </c>
      <c r="O144" s="424" t="s">
        <v>624</v>
      </c>
      <c r="P144" s="424" t="s">
        <v>1814</v>
      </c>
      <c r="Q144" s="424" t="s">
        <v>2186</v>
      </c>
      <c r="R144" s="424" t="s">
        <v>332</v>
      </c>
      <c r="S144" s="215" t="s">
        <v>1815</v>
      </c>
      <c r="T144" s="445" t="s">
        <v>1795</v>
      </c>
      <c r="U144" s="425">
        <v>103485</v>
      </c>
    </row>
    <row r="145" spans="1:21" s="25" customFormat="1" ht="26.4" x14ac:dyDescent="0.3">
      <c r="A145" s="41" t="s">
        <v>2528</v>
      </c>
      <c r="B145" s="24" t="s">
        <v>1745</v>
      </c>
      <c r="C145" s="24" t="s">
        <v>1746</v>
      </c>
      <c r="D145" s="24" t="s">
        <v>4189</v>
      </c>
      <c r="E145" s="24" t="s">
        <v>523</v>
      </c>
      <c r="F145" s="24" t="s">
        <v>524</v>
      </c>
      <c r="G145" s="24" t="s">
        <v>1747</v>
      </c>
      <c r="H145" s="24" t="s">
        <v>1748</v>
      </c>
      <c r="I145" s="407" t="s">
        <v>16</v>
      </c>
      <c r="J145" s="24" t="s">
        <v>383</v>
      </c>
      <c r="K145" s="24" t="s">
        <v>455</v>
      </c>
      <c r="L145" s="24" t="s">
        <v>1749</v>
      </c>
      <c r="M145" s="24" t="s">
        <v>328</v>
      </c>
      <c r="N145" s="382"/>
      <c r="O145" s="412"/>
      <c r="P145" s="24" t="s">
        <v>1750</v>
      </c>
      <c r="Q145" s="408" t="s">
        <v>1751</v>
      </c>
      <c r="R145" s="24" t="s">
        <v>336</v>
      </c>
      <c r="S145" s="24" t="s">
        <v>526</v>
      </c>
      <c r="T145" s="42" t="s">
        <v>558</v>
      </c>
      <c r="U145" s="47">
        <v>103381</v>
      </c>
    </row>
    <row r="146" spans="1:21" s="25" customFormat="1" ht="39.6" x14ac:dyDescent="0.3">
      <c r="A146" s="41" t="s">
        <v>2429</v>
      </c>
      <c r="B146" s="24" t="s">
        <v>1961</v>
      </c>
      <c r="C146" s="24" t="s">
        <v>875</v>
      </c>
      <c r="D146" s="24" t="s">
        <v>2589</v>
      </c>
      <c r="E146" s="24" t="s">
        <v>573</v>
      </c>
      <c r="F146" s="24" t="s">
        <v>574</v>
      </c>
      <c r="G146" s="24" t="s">
        <v>1962</v>
      </c>
      <c r="H146" s="24" t="s">
        <v>2187</v>
      </c>
      <c r="I146" s="407" t="s">
        <v>1659</v>
      </c>
      <c r="J146" s="24" t="s">
        <v>316</v>
      </c>
      <c r="K146" s="24" t="s">
        <v>575</v>
      </c>
      <c r="L146" s="24" t="s">
        <v>1963</v>
      </c>
      <c r="M146" s="24" t="s">
        <v>328</v>
      </c>
      <c r="N146" s="24" t="s">
        <v>1964</v>
      </c>
      <c r="O146" s="382"/>
      <c r="P146" s="24" t="s">
        <v>1965</v>
      </c>
      <c r="Q146" s="404" t="s">
        <v>2188</v>
      </c>
      <c r="R146" s="24" t="s">
        <v>336</v>
      </c>
      <c r="S146" s="24" t="s">
        <v>600</v>
      </c>
      <c r="T146" s="42" t="s">
        <v>1966</v>
      </c>
      <c r="U146" s="411">
        <v>103813</v>
      </c>
    </row>
    <row r="147" spans="1:21" s="25" customFormat="1" ht="66" x14ac:dyDescent="0.3">
      <c r="A147" s="28" t="s">
        <v>434</v>
      </c>
      <c r="B147" s="24" t="s">
        <v>2189</v>
      </c>
      <c r="C147" s="24" t="s">
        <v>1649</v>
      </c>
      <c r="D147" s="24" t="s">
        <v>2190</v>
      </c>
      <c r="E147" s="24" t="s">
        <v>927</v>
      </c>
      <c r="F147" s="24" t="s">
        <v>1650</v>
      </c>
      <c r="G147" s="24" t="s">
        <v>1651</v>
      </c>
      <c r="H147" s="24" t="s">
        <v>1652</v>
      </c>
      <c r="I147" s="407" t="s">
        <v>16</v>
      </c>
      <c r="J147" s="24" t="s">
        <v>1653</v>
      </c>
      <c r="K147" s="24" t="s">
        <v>4190</v>
      </c>
      <c r="L147" s="24">
        <v>64053</v>
      </c>
      <c r="M147" s="24" t="s">
        <v>350</v>
      </c>
      <c r="N147" s="409"/>
      <c r="O147" s="412"/>
      <c r="P147" s="24" t="s">
        <v>1654</v>
      </c>
      <c r="Q147" s="408" t="s">
        <v>2191</v>
      </c>
      <c r="R147" s="24" t="s">
        <v>342</v>
      </c>
      <c r="S147" s="24" t="s">
        <v>1655</v>
      </c>
      <c r="T147" s="42" t="s">
        <v>1656</v>
      </c>
      <c r="U147" s="47">
        <v>111256</v>
      </c>
    </row>
    <row r="148" spans="1:21" s="25" customFormat="1" ht="39.6" x14ac:dyDescent="0.3">
      <c r="A148" s="28" t="s">
        <v>434</v>
      </c>
      <c r="B148" s="39" t="s">
        <v>2529</v>
      </c>
      <c r="C148" s="39" t="s">
        <v>1624</v>
      </c>
      <c r="D148" s="24" t="s">
        <v>2192</v>
      </c>
      <c r="E148" s="39" t="s">
        <v>966</v>
      </c>
      <c r="F148" s="24" t="s">
        <v>2154</v>
      </c>
      <c r="G148" s="438" t="s">
        <v>1625</v>
      </c>
      <c r="H148" s="438" t="s">
        <v>1588</v>
      </c>
      <c r="I148" s="438" t="s">
        <v>1626</v>
      </c>
      <c r="J148" s="438" t="s">
        <v>305</v>
      </c>
      <c r="K148" s="438" t="s">
        <v>495</v>
      </c>
      <c r="L148" s="438" t="s">
        <v>1627</v>
      </c>
      <c r="M148" s="438" t="s">
        <v>328</v>
      </c>
      <c r="N148" s="24" t="s">
        <v>1628</v>
      </c>
      <c r="O148" s="382"/>
      <c r="P148" s="39" t="s">
        <v>1629</v>
      </c>
      <c r="Q148" s="408" t="s">
        <v>2193</v>
      </c>
      <c r="R148" s="39" t="s">
        <v>336</v>
      </c>
      <c r="S148" s="24" t="s">
        <v>1630</v>
      </c>
      <c r="T148" s="42" t="s">
        <v>2492</v>
      </c>
      <c r="U148" s="446">
        <v>103791</v>
      </c>
    </row>
    <row r="149" spans="1:21" s="25" customFormat="1" ht="66" x14ac:dyDescent="0.3">
      <c r="A149" s="398" t="s">
        <v>1022</v>
      </c>
      <c r="B149" s="402" t="s">
        <v>876</v>
      </c>
      <c r="C149" s="402" t="s">
        <v>877</v>
      </c>
      <c r="D149" s="402" t="s">
        <v>1995</v>
      </c>
      <c r="E149" s="402" t="s">
        <v>1992</v>
      </c>
      <c r="F149" s="402" t="s">
        <v>1387</v>
      </c>
      <c r="G149" s="402" t="s">
        <v>673</v>
      </c>
      <c r="H149" s="403" t="s">
        <v>16</v>
      </c>
      <c r="I149" s="403" t="s">
        <v>16</v>
      </c>
      <c r="J149" s="402" t="s">
        <v>367</v>
      </c>
      <c r="K149" s="402" t="s">
        <v>504</v>
      </c>
      <c r="L149" s="402" t="s">
        <v>674</v>
      </c>
      <c r="M149" s="402" t="s">
        <v>328</v>
      </c>
      <c r="N149" s="402" t="s">
        <v>878</v>
      </c>
      <c r="O149" s="417"/>
      <c r="P149" s="402" t="s">
        <v>879</v>
      </c>
      <c r="Q149" s="422" t="s">
        <v>1996</v>
      </c>
      <c r="R149" s="402" t="s">
        <v>332</v>
      </c>
      <c r="S149" s="402" t="s">
        <v>457</v>
      </c>
      <c r="T149" s="405" t="s">
        <v>1994</v>
      </c>
      <c r="U149" s="406">
        <v>103380</v>
      </c>
    </row>
    <row r="150" spans="1:21" s="25" customFormat="1" ht="39.6" x14ac:dyDescent="0.3">
      <c r="A150" s="41" t="s">
        <v>2530</v>
      </c>
      <c r="B150" s="24" t="s">
        <v>1830</v>
      </c>
      <c r="C150" s="24" t="s">
        <v>882</v>
      </c>
      <c r="D150" s="24" t="s">
        <v>4191</v>
      </c>
      <c r="E150" s="24" t="s">
        <v>1831</v>
      </c>
      <c r="F150" s="24" t="s">
        <v>1832</v>
      </c>
      <c r="G150" s="24" t="s">
        <v>1833</v>
      </c>
      <c r="H150" s="407" t="s">
        <v>1834</v>
      </c>
      <c r="I150" s="407" t="s">
        <v>16</v>
      </c>
      <c r="J150" s="24" t="s">
        <v>1835</v>
      </c>
      <c r="K150" s="24" t="s">
        <v>458</v>
      </c>
      <c r="L150" s="24" t="s">
        <v>1836</v>
      </c>
      <c r="M150" s="24" t="s">
        <v>328</v>
      </c>
      <c r="N150" s="407" t="s">
        <v>1837</v>
      </c>
      <c r="O150" s="412"/>
      <c r="P150" s="24" t="s">
        <v>1838</v>
      </c>
      <c r="Q150" s="408" t="s">
        <v>2194</v>
      </c>
      <c r="R150" s="24" t="s">
        <v>329</v>
      </c>
      <c r="S150" s="24" t="s">
        <v>694</v>
      </c>
      <c r="T150" s="42" t="s">
        <v>1839</v>
      </c>
      <c r="U150" s="411">
        <v>103482</v>
      </c>
    </row>
    <row r="151" spans="1:21" s="25" customFormat="1" ht="39.6" x14ac:dyDescent="0.3">
      <c r="A151" s="28" t="s">
        <v>434</v>
      </c>
      <c r="B151" s="24" t="s">
        <v>2195</v>
      </c>
      <c r="C151" s="24" t="s">
        <v>1560</v>
      </c>
      <c r="D151" s="24" t="s">
        <v>2196</v>
      </c>
      <c r="E151" s="24" t="s">
        <v>1561</v>
      </c>
      <c r="F151" s="24" t="s">
        <v>1562</v>
      </c>
      <c r="G151" s="24" t="s">
        <v>1563</v>
      </c>
      <c r="H151" s="24" t="s">
        <v>1564</v>
      </c>
      <c r="I151" s="407" t="s">
        <v>16</v>
      </c>
      <c r="J151" s="24" t="s">
        <v>321</v>
      </c>
      <c r="K151" s="24" t="s">
        <v>568</v>
      </c>
      <c r="L151" s="24" t="s">
        <v>1565</v>
      </c>
      <c r="M151" s="24" t="s">
        <v>328</v>
      </c>
      <c r="N151" s="24" t="s">
        <v>1566</v>
      </c>
      <c r="O151" s="412"/>
      <c r="P151" s="24" t="s">
        <v>1567</v>
      </c>
      <c r="Q151" s="408" t="s">
        <v>2197</v>
      </c>
      <c r="R151" s="24" t="s">
        <v>336</v>
      </c>
      <c r="S151" s="24" t="s">
        <v>1568</v>
      </c>
      <c r="T151" s="42" t="s">
        <v>1569</v>
      </c>
      <c r="U151" s="47">
        <v>106668</v>
      </c>
    </row>
    <row r="152" spans="1:21" s="25" customFormat="1" ht="79.2" x14ac:dyDescent="0.3">
      <c r="A152" s="41" t="s">
        <v>2531</v>
      </c>
      <c r="B152" s="24" t="s">
        <v>884</v>
      </c>
      <c r="C152" s="24" t="s">
        <v>883</v>
      </c>
      <c r="D152" s="24" t="s">
        <v>2430</v>
      </c>
      <c r="E152" s="24" t="s">
        <v>436</v>
      </c>
      <c r="F152" s="24" t="s">
        <v>437</v>
      </c>
      <c r="G152" s="24" t="s">
        <v>531</v>
      </c>
      <c r="H152" s="24" t="s">
        <v>1588</v>
      </c>
      <c r="I152" s="24" t="s">
        <v>1903</v>
      </c>
      <c r="J152" s="24" t="s">
        <v>438</v>
      </c>
      <c r="K152" s="24" t="s">
        <v>433</v>
      </c>
      <c r="L152" s="24" t="s">
        <v>532</v>
      </c>
      <c r="M152" s="24" t="s">
        <v>328</v>
      </c>
      <c r="N152" s="24" t="s">
        <v>885</v>
      </c>
      <c r="O152" s="382"/>
      <c r="P152" s="24" t="s">
        <v>886</v>
      </c>
      <c r="Q152" s="408" t="s">
        <v>2198</v>
      </c>
      <c r="R152" s="24" t="s">
        <v>336</v>
      </c>
      <c r="S152" s="24" t="s">
        <v>527</v>
      </c>
      <c r="T152" s="42" t="s">
        <v>1904</v>
      </c>
      <c r="U152" s="47">
        <v>103748</v>
      </c>
    </row>
    <row r="153" spans="1:21" s="25" customFormat="1" ht="52.8" x14ac:dyDescent="0.3">
      <c r="A153" s="28" t="s">
        <v>434</v>
      </c>
      <c r="B153" s="24" t="s">
        <v>1877</v>
      </c>
      <c r="C153" s="24" t="s">
        <v>1878</v>
      </c>
      <c r="D153" s="24" t="s">
        <v>4192</v>
      </c>
      <c r="E153" s="24" t="s">
        <v>1879</v>
      </c>
      <c r="F153" s="24" t="s">
        <v>1880</v>
      </c>
      <c r="G153" s="24" t="s">
        <v>1881</v>
      </c>
      <c r="H153" s="24" t="s">
        <v>1882</v>
      </c>
      <c r="I153" s="407" t="s">
        <v>16</v>
      </c>
      <c r="J153" s="24" t="s">
        <v>1883</v>
      </c>
      <c r="K153" s="24" t="s">
        <v>433</v>
      </c>
      <c r="L153" s="24" t="s">
        <v>1884</v>
      </c>
      <c r="M153" s="24" t="s">
        <v>328</v>
      </c>
      <c r="N153" s="24" t="s">
        <v>1885</v>
      </c>
      <c r="O153" s="382"/>
      <c r="P153" s="24" t="s">
        <v>1886</v>
      </c>
      <c r="Q153" s="408" t="s">
        <v>2199</v>
      </c>
      <c r="R153" s="24" t="s">
        <v>332</v>
      </c>
      <c r="S153" s="24" t="s">
        <v>1887</v>
      </c>
      <c r="T153" s="42" t="s">
        <v>1888</v>
      </c>
      <c r="U153" s="411">
        <v>110688</v>
      </c>
    </row>
    <row r="154" spans="1:21" s="25" customFormat="1" ht="79.2" x14ac:dyDescent="0.3">
      <c r="A154" s="28" t="s">
        <v>434</v>
      </c>
      <c r="B154" s="215" t="s">
        <v>2615</v>
      </c>
      <c r="C154" s="215" t="s">
        <v>2616</v>
      </c>
      <c r="D154" s="215" t="s">
        <v>2617</v>
      </c>
      <c r="E154" s="215" t="s">
        <v>1583</v>
      </c>
      <c r="F154" s="215" t="s">
        <v>1584</v>
      </c>
      <c r="G154" s="215" t="s">
        <v>1587</v>
      </c>
      <c r="H154" s="215" t="s">
        <v>1588</v>
      </c>
      <c r="I154" s="215" t="s">
        <v>2618</v>
      </c>
      <c r="J154" s="215" t="s">
        <v>390</v>
      </c>
      <c r="K154" s="215" t="s">
        <v>433</v>
      </c>
      <c r="L154" s="215" t="s">
        <v>1589</v>
      </c>
      <c r="M154" s="215" t="s">
        <v>328</v>
      </c>
      <c r="N154" s="453"/>
      <c r="O154" s="453"/>
      <c r="P154" s="215" t="s">
        <v>2619</v>
      </c>
      <c r="Q154" s="447" t="s">
        <v>2620</v>
      </c>
      <c r="R154" s="215" t="s">
        <v>336</v>
      </c>
      <c r="S154" s="215" t="s">
        <v>1585</v>
      </c>
      <c r="T154" s="42" t="s">
        <v>1307</v>
      </c>
      <c r="U154" s="448">
        <v>103839</v>
      </c>
    </row>
    <row r="155" spans="1:21" s="25" customFormat="1" ht="79.2" x14ac:dyDescent="0.3">
      <c r="A155" s="54" t="s">
        <v>2587</v>
      </c>
      <c r="B155" s="215" t="s">
        <v>2326</v>
      </c>
      <c r="C155" s="215" t="s">
        <v>2588</v>
      </c>
      <c r="D155" s="215" t="s">
        <v>2589</v>
      </c>
      <c r="E155" s="215" t="s">
        <v>2109</v>
      </c>
      <c r="F155" s="215" t="s">
        <v>2590</v>
      </c>
      <c r="G155" s="215" t="s">
        <v>2591</v>
      </c>
      <c r="H155" s="215" t="s">
        <v>2592</v>
      </c>
      <c r="I155" s="215" t="s">
        <v>16</v>
      </c>
      <c r="J155" s="215" t="s">
        <v>364</v>
      </c>
      <c r="K155" s="215" t="s">
        <v>455</v>
      </c>
      <c r="L155" s="215" t="s">
        <v>2593</v>
      </c>
      <c r="M155" s="215" t="s">
        <v>328</v>
      </c>
      <c r="N155" s="215" t="s">
        <v>2594</v>
      </c>
      <c r="O155" s="453"/>
      <c r="P155" s="215" t="s">
        <v>2595</v>
      </c>
      <c r="Q155" s="447" t="s">
        <v>2596</v>
      </c>
      <c r="R155" s="215" t="s">
        <v>336</v>
      </c>
      <c r="S155" s="215" t="s">
        <v>2597</v>
      </c>
      <c r="T155" s="33" t="s">
        <v>3576</v>
      </c>
      <c r="U155" s="448">
        <v>103057</v>
      </c>
    </row>
    <row r="156" spans="1:21" customFormat="1" ht="52.8" x14ac:dyDescent="0.3">
      <c r="A156" s="41" t="s">
        <v>2532</v>
      </c>
      <c r="B156" s="24" t="s">
        <v>892</v>
      </c>
      <c r="C156" s="24" t="s">
        <v>893</v>
      </c>
      <c r="D156" s="24" t="s">
        <v>2430</v>
      </c>
      <c r="E156" s="24" t="s">
        <v>889</v>
      </c>
      <c r="F156" s="24" t="s">
        <v>1733</v>
      </c>
      <c r="G156" s="24" t="s">
        <v>1734</v>
      </c>
      <c r="H156" s="24" t="s">
        <v>1735</v>
      </c>
      <c r="I156" s="407" t="s">
        <v>1659</v>
      </c>
      <c r="J156" s="24" t="s">
        <v>1736</v>
      </c>
      <c r="K156" s="24" t="s">
        <v>433</v>
      </c>
      <c r="L156" s="24" t="s">
        <v>1737</v>
      </c>
      <c r="M156" s="24" t="s">
        <v>328</v>
      </c>
      <c r="N156" s="24" t="s">
        <v>894</v>
      </c>
      <c r="O156" s="382"/>
      <c r="P156" s="24" t="s">
        <v>895</v>
      </c>
      <c r="Q156" s="408" t="s">
        <v>2201</v>
      </c>
      <c r="R156" s="24" t="s">
        <v>336</v>
      </c>
      <c r="S156" s="24" t="s">
        <v>890</v>
      </c>
      <c r="T156" s="42" t="s">
        <v>891</v>
      </c>
      <c r="U156" s="411">
        <v>110319</v>
      </c>
    </row>
    <row r="157" spans="1:21" s="25" customFormat="1" ht="39.6" x14ac:dyDescent="0.3">
      <c r="A157" s="41" t="s">
        <v>3799</v>
      </c>
      <c r="B157" s="25" t="s">
        <v>3894</v>
      </c>
      <c r="C157" s="25" t="s">
        <v>3895</v>
      </c>
      <c r="D157" s="25" t="s">
        <v>3896</v>
      </c>
      <c r="E157" s="25" t="s">
        <v>3897</v>
      </c>
      <c r="F157" s="25" t="s">
        <v>3898</v>
      </c>
      <c r="G157" s="25" t="s">
        <v>3899</v>
      </c>
      <c r="H157" s="433" t="s">
        <v>16</v>
      </c>
      <c r="I157" s="433" t="s">
        <v>16</v>
      </c>
      <c r="J157" s="25" t="s">
        <v>3900</v>
      </c>
      <c r="K157" s="25" t="s">
        <v>3901</v>
      </c>
      <c r="L157" s="407" t="s">
        <v>3902</v>
      </c>
      <c r="M157" s="25" t="s">
        <v>341</v>
      </c>
      <c r="N157" s="25" t="s">
        <v>3903</v>
      </c>
      <c r="O157" s="434"/>
      <c r="P157" s="25" t="s">
        <v>3904</v>
      </c>
      <c r="Q157" s="435" t="s">
        <v>3905</v>
      </c>
      <c r="R157" s="25" t="s">
        <v>347</v>
      </c>
      <c r="S157" s="25" t="s">
        <v>3906</v>
      </c>
      <c r="T157" s="33" t="s">
        <v>3805</v>
      </c>
      <c r="U157" s="411">
        <v>111841</v>
      </c>
    </row>
    <row r="158" spans="1:21" customFormat="1" ht="52.8" x14ac:dyDescent="0.3">
      <c r="A158" s="28" t="s">
        <v>434</v>
      </c>
      <c r="B158" s="24" t="s">
        <v>2202</v>
      </c>
      <c r="C158" s="24" t="s">
        <v>896</v>
      </c>
      <c r="D158" s="24" t="s">
        <v>2157</v>
      </c>
      <c r="E158" s="24" t="s">
        <v>444</v>
      </c>
      <c r="F158" s="24" t="s">
        <v>2395</v>
      </c>
      <c r="G158" s="24" t="s">
        <v>445</v>
      </c>
      <c r="H158" s="24" t="s">
        <v>1702</v>
      </c>
      <c r="I158" s="24" t="s">
        <v>1703</v>
      </c>
      <c r="J158" s="24" t="s">
        <v>363</v>
      </c>
      <c r="K158" s="24" t="s">
        <v>433</v>
      </c>
      <c r="L158" s="24" t="s">
        <v>446</v>
      </c>
      <c r="M158" s="24" t="s">
        <v>328</v>
      </c>
      <c r="N158" s="24" t="s">
        <v>897</v>
      </c>
      <c r="O158" s="382"/>
      <c r="P158" s="24" t="s">
        <v>898</v>
      </c>
      <c r="Q158" s="408" t="s">
        <v>2203</v>
      </c>
      <c r="R158" s="24" t="s">
        <v>336</v>
      </c>
      <c r="S158" s="24" t="s">
        <v>4106</v>
      </c>
      <c r="T158" s="42" t="s">
        <v>447</v>
      </c>
      <c r="U158" s="47">
        <v>103838</v>
      </c>
    </row>
    <row r="159" spans="1:21" customFormat="1" ht="39.6" x14ac:dyDescent="0.3">
      <c r="A159" s="347" t="s">
        <v>2268</v>
      </c>
      <c r="B159" s="24" t="s">
        <v>899</v>
      </c>
      <c r="C159" s="52" t="s">
        <v>900</v>
      </c>
      <c r="D159" s="52" t="s">
        <v>2430</v>
      </c>
      <c r="E159" s="24" t="s">
        <v>901</v>
      </c>
      <c r="F159" s="24" t="s">
        <v>1923</v>
      </c>
      <c r="G159" s="427" t="s">
        <v>1924</v>
      </c>
      <c r="H159" s="427" t="s">
        <v>1927</v>
      </c>
      <c r="I159" s="427" t="s">
        <v>1928</v>
      </c>
      <c r="J159" s="427" t="s">
        <v>312</v>
      </c>
      <c r="K159" s="427" t="s">
        <v>455</v>
      </c>
      <c r="L159" s="427" t="s">
        <v>1925</v>
      </c>
      <c r="M159" s="427" t="s">
        <v>328</v>
      </c>
      <c r="N159" s="439" t="s">
        <v>835</v>
      </c>
      <c r="O159" s="412"/>
      <c r="P159" s="24" t="s">
        <v>902</v>
      </c>
      <c r="Q159" s="408" t="s">
        <v>2204</v>
      </c>
      <c r="R159" s="24" t="s">
        <v>336</v>
      </c>
      <c r="S159" s="24" t="s">
        <v>837</v>
      </c>
      <c r="T159" s="42" t="s">
        <v>1926</v>
      </c>
      <c r="U159" s="411">
        <v>108411</v>
      </c>
    </row>
    <row r="160" spans="1:21" customFormat="1" ht="105.6" x14ac:dyDescent="0.3">
      <c r="A160" s="347" t="s">
        <v>2263</v>
      </c>
      <c r="B160" s="24" t="s">
        <v>1719</v>
      </c>
      <c r="C160" s="52" t="s">
        <v>1720</v>
      </c>
      <c r="D160" s="52" t="s">
        <v>4193</v>
      </c>
      <c r="E160" s="24" t="s">
        <v>1721</v>
      </c>
      <c r="F160" s="24" t="s">
        <v>1722</v>
      </c>
      <c r="G160" s="427" t="s">
        <v>1723</v>
      </c>
      <c r="H160" s="427" t="s">
        <v>1724</v>
      </c>
      <c r="I160" s="439" t="s">
        <v>16</v>
      </c>
      <c r="J160" s="427" t="s">
        <v>1725</v>
      </c>
      <c r="K160" s="427" t="s">
        <v>455</v>
      </c>
      <c r="L160" s="427" t="s">
        <v>1726</v>
      </c>
      <c r="M160" s="427" t="s">
        <v>328</v>
      </c>
      <c r="N160" s="439" t="s">
        <v>1727</v>
      </c>
      <c r="O160" s="412"/>
      <c r="P160" s="24" t="s">
        <v>1728</v>
      </c>
      <c r="Q160" s="408" t="s">
        <v>2205</v>
      </c>
      <c r="R160" s="24" t="s">
        <v>329</v>
      </c>
      <c r="S160" s="24" t="s">
        <v>1729</v>
      </c>
      <c r="T160" s="42" t="s">
        <v>1730</v>
      </c>
      <c r="U160" s="411" t="s">
        <v>1731</v>
      </c>
    </row>
    <row r="161" spans="1:21" customFormat="1" ht="39.6" x14ac:dyDescent="0.3">
      <c r="A161" s="28" t="s">
        <v>434</v>
      </c>
      <c r="B161" s="24" t="s">
        <v>1535</v>
      </c>
      <c r="C161" s="24" t="s">
        <v>1536</v>
      </c>
      <c r="D161" s="24" t="s">
        <v>4194</v>
      </c>
      <c r="E161" s="24" t="s">
        <v>571</v>
      </c>
      <c r="F161" s="24" t="s">
        <v>572</v>
      </c>
      <c r="G161" s="24" t="s">
        <v>679</v>
      </c>
      <c r="H161" s="24" t="s">
        <v>762</v>
      </c>
      <c r="I161" s="24" t="s">
        <v>1534</v>
      </c>
      <c r="J161" s="24" t="s">
        <v>325</v>
      </c>
      <c r="K161" s="24" t="s">
        <v>433</v>
      </c>
      <c r="L161" s="24" t="s">
        <v>681</v>
      </c>
      <c r="M161" s="24" t="s">
        <v>328</v>
      </c>
      <c r="N161" s="24" t="s">
        <v>1537</v>
      </c>
      <c r="O161" s="382"/>
      <c r="P161" s="24" t="s">
        <v>1538</v>
      </c>
      <c r="Q161" s="404" t="s">
        <v>4195</v>
      </c>
      <c r="R161" s="24" t="s">
        <v>336</v>
      </c>
      <c r="S161" s="24" t="s">
        <v>1521</v>
      </c>
      <c r="T161" s="42" t="s">
        <v>1539</v>
      </c>
      <c r="U161" s="411">
        <v>103819</v>
      </c>
    </row>
    <row r="162" spans="1:21" s="25" customFormat="1" ht="39.6" x14ac:dyDescent="0.3">
      <c r="A162" s="41" t="s">
        <v>4286</v>
      </c>
      <c r="B162" s="25" t="s">
        <v>4291</v>
      </c>
      <c r="C162" s="25" t="s">
        <v>4292</v>
      </c>
      <c r="D162" s="25" t="s">
        <v>2444</v>
      </c>
      <c r="E162" s="25" t="s">
        <v>4293</v>
      </c>
      <c r="F162" s="25" t="s">
        <v>4293</v>
      </c>
      <c r="G162" s="25" t="s">
        <v>4294</v>
      </c>
      <c r="H162" s="433" t="s">
        <v>16</v>
      </c>
      <c r="I162" s="433" t="s">
        <v>16</v>
      </c>
      <c r="J162" s="25" t="s">
        <v>326</v>
      </c>
      <c r="K162" s="25" t="s">
        <v>433</v>
      </c>
      <c r="L162" s="24" t="s">
        <v>4295</v>
      </c>
      <c r="M162" s="25" t="s">
        <v>328</v>
      </c>
      <c r="N162" s="25" t="s">
        <v>4296</v>
      </c>
      <c r="O162" s="25" t="s">
        <v>4297</v>
      </c>
      <c r="P162" s="25" t="s">
        <v>4298</v>
      </c>
      <c r="Q162" s="640" t="s">
        <v>4299</v>
      </c>
      <c r="R162" s="25" t="s">
        <v>336</v>
      </c>
      <c r="S162" s="25" t="s">
        <v>4300</v>
      </c>
      <c r="T162" s="33" t="s">
        <v>4301</v>
      </c>
      <c r="U162" s="411">
        <v>102078</v>
      </c>
    </row>
    <row r="163" spans="1:21" customFormat="1" ht="39.6" x14ac:dyDescent="0.3">
      <c r="A163" s="22" t="s">
        <v>2533</v>
      </c>
      <c r="B163" s="39" t="s">
        <v>2206</v>
      </c>
      <c r="C163" s="39" t="s">
        <v>903</v>
      </c>
      <c r="D163" s="24" t="s">
        <v>2430</v>
      </c>
      <c r="E163" s="24" t="s">
        <v>571</v>
      </c>
      <c r="F163" s="24" t="s">
        <v>572</v>
      </c>
      <c r="G163" s="24" t="s">
        <v>2534</v>
      </c>
      <c r="H163" s="24" t="s">
        <v>2535</v>
      </c>
      <c r="I163" s="24" t="s">
        <v>1529</v>
      </c>
      <c r="J163" s="24" t="s">
        <v>325</v>
      </c>
      <c r="K163" s="24" t="s">
        <v>433</v>
      </c>
      <c r="L163" s="24" t="s">
        <v>1532</v>
      </c>
      <c r="M163" s="24" t="s">
        <v>328</v>
      </c>
      <c r="N163" s="24" t="s">
        <v>2536</v>
      </c>
      <c r="O163" s="413"/>
      <c r="P163" s="24" t="s">
        <v>2207</v>
      </c>
      <c r="Q163" s="410" t="s">
        <v>2537</v>
      </c>
      <c r="R163" s="24" t="s">
        <v>336</v>
      </c>
      <c r="S163" s="24" t="s">
        <v>1521</v>
      </c>
      <c r="T163" s="42" t="s">
        <v>2538</v>
      </c>
      <c r="U163" s="47">
        <v>103819</v>
      </c>
    </row>
    <row r="164" spans="1:21" s="25" customFormat="1" ht="120" customHeight="1" x14ac:dyDescent="0.3">
      <c r="A164" s="28" t="s">
        <v>434</v>
      </c>
      <c r="B164" s="24" t="s">
        <v>2208</v>
      </c>
      <c r="C164" s="24" t="s">
        <v>904</v>
      </c>
      <c r="D164" s="24" t="s">
        <v>2209</v>
      </c>
      <c r="E164" s="24" t="s">
        <v>523</v>
      </c>
      <c r="F164" s="24" t="s">
        <v>524</v>
      </c>
      <c r="G164" s="24" t="s">
        <v>1752</v>
      </c>
      <c r="H164" s="24" t="s">
        <v>1753</v>
      </c>
      <c r="I164" s="407" t="s">
        <v>16</v>
      </c>
      <c r="J164" s="24" t="s">
        <v>1754</v>
      </c>
      <c r="K164" s="24" t="s">
        <v>455</v>
      </c>
      <c r="L164" s="24" t="s">
        <v>1755</v>
      </c>
      <c r="M164" s="24" t="s">
        <v>328</v>
      </c>
      <c r="N164" s="24" t="s">
        <v>905</v>
      </c>
      <c r="O164" s="382"/>
      <c r="P164" s="24" t="s">
        <v>906</v>
      </c>
      <c r="Q164" s="408" t="s">
        <v>2210</v>
      </c>
      <c r="R164" s="24" t="s">
        <v>336</v>
      </c>
      <c r="S164" s="24" t="s">
        <v>526</v>
      </c>
      <c r="T164" s="42" t="s">
        <v>1756</v>
      </c>
      <c r="U164" s="47">
        <v>103381</v>
      </c>
    </row>
    <row r="165" spans="1:21" s="25" customFormat="1" ht="39.6" x14ac:dyDescent="0.3">
      <c r="A165" s="28" t="s">
        <v>434</v>
      </c>
      <c r="B165" s="39" t="s">
        <v>2211</v>
      </c>
      <c r="C165" s="39" t="s">
        <v>1631</v>
      </c>
      <c r="D165" s="24" t="s">
        <v>2192</v>
      </c>
      <c r="E165" s="39" t="s">
        <v>966</v>
      </c>
      <c r="F165" s="24" t="s">
        <v>2154</v>
      </c>
      <c r="G165" s="438" t="s">
        <v>1625</v>
      </c>
      <c r="H165" s="438" t="s">
        <v>1588</v>
      </c>
      <c r="I165" s="438" t="s">
        <v>1626</v>
      </c>
      <c r="J165" s="438" t="s">
        <v>305</v>
      </c>
      <c r="K165" s="438" t="s">
        <v>495</v>
      </c>
      <c r="L165" s="438" t="s">
        <v>1627</v>
      </c>
      <c r="M165" s="438" t="s">
        <v>328</v>
      </c>
      <c r="N165" s="24" t="s">
        <v>1632</v>
      </c>
      <c r="O165" s="382"/>
      <c r="P165" s="39" t="s">
        <v>1633</v>
      </c>
      <c r="Q165" s="408" t="s">
        <v>2212</v>
      </c>
      <c r="R165" s="39" t="s">
        <v>336</v>
      </c>
      <c r="S165" s="24" t="s">
        <v>1630</v>
      </c>
      <c r="T165" s="42" t="s">
        <v>2492</v>
      </c>
      <c r="U165" s="450">
        <v>103791</v>
      </c>
    </row>
    <row r="166" spans="1:21" s="25" customFormat="1" ht="39.6" x14ac:dyDescent="0.3">
      <c r="A166" s="347" t="s">
        <v>1432</v>
      </c>
      <c r="B166" s="402" t="s">
        <v>392</v>
      </c>
      <c r="C166" s="402" t="s">
        <v>907</v>
      </c>
      <c r="D166" s="402" t="s">
        <v>3577</v>
      </c>
      <c r="E166" s="402" t="s">
        <v>451</v>
      </c>
      <c r="F166" s="402" t="s">
        <v>452</v>
      </c>
      <c r="G166" s="402" t="s">
        <v>1931</v>
      </c>
      <c r="H166" s="402" t="s">
        <v>1937</v>
      </c>
      <c r="I166" s="403" t="s">
        <v>16</v>
      </c>
      <c r="J166" s="402" t="s">
        <v>368</v>
      </c>
      <c r="K166" s="402" t="s">
        <v>433</v>
      </c>
      <c r="L166" s="402" t="s">
        <v>508</v>
      </c>
      <c r="M166" s="402" t="s">
        <v>328</v>
      </c>
      <c r="N166" s="402" t="s">
        <v>908</v>
      </c>
      <c r="O166" s="417"/>
      <c r="P166" s="402" t="s">
        <v>909</v>
      </c>
      <c r="Q166" s="422" t="s">
        <v>3578</v>
      </c>
      <c r="R166" s="402" t="s">
        <v>336</v>
      </c>
      <c r="S166" s="402" t="s">
        <v>887</v>
      </c>
      <c r="T166" s="415" t="s">
        <v>453</v>
      </c>
      <c r="U166" s="406">
        <v>103794</v>
      </c>
    </row>
    <row r="167" spans="1:21" s="25" customFormat="1" ht="79.2" x14ac:dyDescent="0.3">
      <c r="A167" s="347" t="s">
        <v>2539</v>
      </c>
      <c r="B167" s="402" t="s">
        <v>389</v>
      </c>
      <c r="C167" s="402" t="s">
        <v>910</v>
      </c>
      <c r="D167" s="402" t="s">
        <v>2017</v>
      </c>
      <c r="E167" s="402" t="s">
        <v>1416</v>
      </c>
      <c r="F167" s="402" t="s">
        <v>872</v>
      </c>
      <c r="G167" s="402" t="s">
        <v>873</v>
      </c>
      <c r="H167" s="402" t="s">
        <v>1417</v>
      </c>
      <c r="I167" s="402" t="s">
        <v>1418</v>
      </c>
      <c r="J167" s="402" t="s">
        <v>364</v>
      </c>
      <c r="K167" s="402" t="s">
        <v>455</v>
      </c>
      <c r="L167" s="402" t="s">
        <v>874</v>
      </c>
      <c r="M167" s="402" t="s">
        <v>328</v>
      </c>
      <c r="N167" s="402" t="s">
        <v>911</v>
      </c>
      <c r="O167" s="414"/>
      <c r="P167" s="402" t="s">
        <v>912</v>
      </c>
      <c r="Q167" s="422" t="s">
        <v>2018</v>
      </c>
      <c r="R167" s="402" t="s">
        <v>329</v>
      </c>
      <c r="S167" s="400" t="s">
        <v>804</v>
      </c>
      <c r="T167" s="405" t="s">
        <v>805</v>
      </c>
      <c r="U167" s="406" t="s">
        <v>806</v>
      </c>
    </row>
    <row r="168" spans="1:21" s="25" customFormat="1" ht="66" x14ac:dyDescent="0.3">
      <c r="A168" s="28" t="s">
        <v>434</v>
      </c>
      <c r="B168" s="24" t="s">
        <v>2213</v>
      </c>
      <c r="C168" s="24" t="s">
        <v>967</v>
      </c>
      <c r="D168" s="24" t="s">
        <v>2214</v>
      </c>
      <c r="E168" s="24" t="s">
        <v>523</v>
      </c>
      <c r="F168" s="24" t="s">
        <v>524</v>
      </c>
      <c r="G168" s="52" t="s">
        <v>1732</v>
      </c>
      <c r="H168" s="24" t="s">
        <v>1757</v>
      </c>
      <c r="I168" s="407" t="s">
        <v>16</v>
      </c>
      <c r="J168" s="24" t="s">
        <v>383</v>
      </c>
      <c r="K168" s="24" t="s">
        <v>455</v>
      </c>
      <c r="L168" s="24" t="s">
        <v>525</v>
      </c>
      <c r="M168" s="24" t="s">
        <v>328</v>
      </c>
      <c r="N168" s="24" t="s">
        <v>1758</v>
      </c>
      <c r="O168" s="412"/>
      <c r="P168" s="24" t="s">
        <v>1759</v>
      </c>
      <c r="Q168" s="408" t="s">
        <v>2215</v>
      </c>
      <c r="R168" s="24" t="s">
        <v>336</v>
      </c>
      <c r="S168" s="24" t="s">
        <v>526</v>
      </c>
      <c r="T168" s="42" t="s">
        <v>558</v>
      </c>
      <c r="U168" s="47">
        <v>103381</v>
      </c>
    </row>
    <row r="169" spans="1:21" s="25" customFormat="1" ht="39.6" x14ac:dyDescent="0.3">
      <c r="A169" s="41" t="s">
        <v>2540</v>
      </c>
      <c r="B169" s="24" t="s">
        <v>913</v>
      </c>
      <c r="C169" s="24" t="s">
        <v>914</v>
      </c>
      <c r="D169" s="24" t="s">
        <v>2430</v>
      </c>
      <c r="E169" s="24" t="s">
        <v>523</v>
      </c>
      <c r="F169" s="24" t="s">
        <v>524</v>
      </c>
      <c r="G169" s="24" t="s">
        <v>1110</v>
      </c>
      <c r="H169" s="24" t="s">
        <v>1760</v>
      </c>
      <c r="I169" s="24" t="s">
        <v>1761</v>
      </c>
      <c r="J169" s="24" t="s">
        <v>1111</v>
      </c>
      <c r="K169" s="24" t="s">
        <v>455</v>
      </c>
      <c r="L169" s="24" t="s">
        <v>1112</v>
      </c>
      <c r="M169" s="24" t="s">
        <v>328</v>
      </c>
      <c r="N169" s="24" t="s">
        <v>915</v>
      </c>
      <c r="O169" s="382"/>
      <c r="P169" s="24" t="s">
        <v>916</v>
      </c>
      <c r="Q169" s="408" t="s">
        <v>2216</v>
      </c>
      <c r="R169" s="24" t="s">
        <v>336</v>
      </c>
      <c r="S169" s="24" t="s">
        <v>526</v>
      </c>
      <c r="T169" s="42" t="s">
        <v>558</v>
      </c>
      <c r="U169" s="47">
        <v>103381</v>
      </c>
    </row>
    <row r="170" spans="1:21" s="25" customFormat="1" ht="79.2" x14ac:dyDescent="0.3">
      <c r="A170" s="347" t="s">
        <v>1048</v>
      </c>
      <c r="B170" s="402" t="s">
        <v>917</v>
      </c>
      <c r="C170" s="402" t="s">
        <v>918</v>
      </c>
      <c r="D170" s="402" t="s">
        <v>4196</v>
      </c>
      <c r="E170" s="402" t="s">
        <v>545</v>
      </c>
      <c r="F170" s="402" t="s">
        <v>545</v>
      </c>
      <c r="G170" s="402" t="s">
        <v>788</v>
      </c>
      <c r="H170" s="403" t="s">
        <v>16</v>
      </c>
      <c r="I170" s="403" t="s">
        <v>16</v>
      </c>
      <c r="J170" s="402" t="s">
        <v>314</v>
      </c>
      <c r="K170" s="402" t="s">
        <v>546</v>
      </c>
      <c r="L170" s="402" t="s">
        <v>789</v>
      </c>
      <c r="M170" s="402" t="s">
        <v>341</v>
      </c>
      <c r="N170" s="402" t="s">
        <v>547</v>
      </c>
      <c r="O170" s="402" t="s">
        <v>548</v>
      </c>
      <c r="P170" s="402" t="s">
        <v>919</v>
      </c>
      <c r="Q170" s="422" t="s">
        <v>2039</v>
      </c>
      <c r="R170" s="402" t="s">
        <v>347</v>
      </c>
      <c r="S170" s="402" t="s">
        <v>549</v>
      </c>
      <c r="T170" s="405" t="s">
        <v>550</v>
      </c>
      <c r="U170" s="442">
        <v>103645</v>
      </c>
    </row>
    <row r="171" spans="1:21" s="25" customFormat="1" ht="66" x14ac:dyDescent="0.3">
      <c r="A171" s="28" t="s">
        <v>434</v>
      </c>
      <c r="B171" s="24" t="s">
        <v>2626</v>
      </c>
      <c r="C171" s="24" t="s">
        <v>918</v>
      </c>
      <c r="D171" s="24" t="s">
        <v>2627</v>
      </c>
      <c r="E171" s="24" t="s">
        <v>1412</v>
      </c>
      <c r="F171" s="24" t="s">
        <v>1413</v>
      </c>
      <c r="G171" s="24" t="s">
        <v>950</v>
      </c>
      <c r="H171" s="407" t="s">
        <v>16</v>
      </c>
      <c r="I171" s="407" t="s">
        <v>16</v>
      </c>
      <c r="J171" s="24" t="s">
        <v>331</v>
      </c>
      <c r="K171" s="24" t="s">
        <v>455</v>
      </c>
      <c r="L171" s="24" t="s">
        <v>951</v>
      </c>
      <c r="M171" s="24" t="s">
        <v>328</v>
      </c>
      <c r="N171" s="24" t="s">
        <v>920</v>
      </c>
      <c r="O171" s="382"/>
      <c r="P171" s="24" t="s">
        <v>2628</v>
      </c>
      <c r="Q171" s="408" t="s">
        <v>4197</v>
      </c>
      <c r="R171" s="24" t="s">
        <v>332</v>
      </c>
      <c r="S171" s="24" t="s">
        <v>921</v>
      </c>
      <c r="T171" s="388" t="s">
        <v>2625</v>
      </c>
      <c r="U171" s="47">
        <v>103194</v>
      </c>
    </row>
    <row r="172" spans="1:21" s="25" customFormat="1" ht="66" x14ac:dyDescent="0.3">
      <c r="A172" s="347" t="s">
        <v>1026</v>
      </c>
      <c r="B172" s="402" t="s">
        <v>2007</v>
      </c>
      <c r="C172" s="402" t="s">
        <v>918</v>
      </c>
      <c r="D172" s="402" t="s">
        <v>2008</v>
      </c>
      <c r="E172" s="402" t="s">
        <v>1412</v>
      </c>
      <c r="F172" s="402" t="s">
        <v>1413</v>
      </c>
      <c r="G172" s="402" t="s">
        <v>950</v>
      </c>
      <c r="H172" s="403" t="s">
        <v>16</v>
      </c>
      <c r="I172" s="403" t="s">
        <v>16</v>
      </c>
      <c r="J172" s="402" t="s">
        <v>331</v>
      </c>
      <c r="K172" s="402" t="s">
        <v>455</v>
      </c>
      <c r="L172" s="402" t="s">
        <v>951</v>
      </c>
      <c r="M172" s="402" t="s">
        <v>328</v>
      </c>
      <c r="N172" s="402" t="s">
        <v>923</v>
      </c>
      <c r="O172" s="417"/>
      <c r="P172" s="402" t="s">
        <v>924</v>
      </c>
      <c r="Q172" s="422" t="s">
        <v>4198</v>
      </c>
      <c r="R172" s="402" t="s">
        <v>332</v>
      </c>
      <c r="S172" s="402" t="s">
        <v>921</v>
      </c>
      <c r="T172" s="405" t="s">
        <v>922</v>
      </c>
      <c r="U172" s="406">
        <v>103194</v>
      </c>
    </row>
    <row r="173" spans="1:21" s="25" customFormat="1" ht="39.6" x14ac:dyDescent="0.3">
      <c r="A173" s="22" t="s">
        <v>4222</v>
      </c>
      <c r="B173" s="402" t="s">
        <v>4086</v>
      </c>
      <c r="C173" s="402" t="s">
        <v>4094</v>
      </c>
      <c r="D173" s="402" t="s">
        <v>4223</v>
      </c>
      <c r="E173" s="402" t="s">
        <v>4221</v>
      </c>
      <c r="F173" s="402" t="s">
        <v>4225</v>
      </c>
      <c r="G173" s="402" t="s">
        <v>4226</v>
      </c>
      <c r="H173" s="403" t="s">
        <v>16</v>
      </c>
      <c r="I173" s="403" t="s">
        <v>16</v>
      </c>
      <c r="J173" s="402" t="s">
        <v>325</v>
      </c>
      <c r="K173" s="402" t="s">
        <v>433</v>
      </c>
      <c r="L173" s="402" t="s">
        <v>4227</v>
      </c>
      <c r="M173" s="402" t="s">
        <v>328</v>
      </c>
      <c r="N173" s="402" t="s">
        <v>4228</v>
      </c>
      <c r="O173" s="417"/>
      <c r="P173" s="402" t="s">
        <v>4224</v>
      </c>
      <c r="Q173" s="422" t="s">
        <v>4229</v>
      </c>
      <c r="R173" s="402" t="s">
        <v>332</v>
      </c>
      <c r="S173" s="417" t="s">
        <v>4229</v>
      </c>
      <c r="T173" s="42" t="s">
        <v>4231</v>
      </c>
      <c r="U173" s="774"/>
    </row>
    <row r="174" spans="1:21" s="25" customFormat="1" ht="52.8" x14ac:dyDescent="0.3">
      <c r="A174" s="28" t="s">
        <v>434</v>
      </c>
      <c r="B174" s="24" t="s">
        <v>2217</v>
      </c>
      <c r="C174" s="24" t="s">
        <v>1742</v>
      </c>
      <c r="D174" s="24" t="s">
        <v>2200</v>
      </c>
      <c r="E174" s="24" t="s">
        <v>889</v>
      </c>
      <c r="F174" s="24" t="s">
        <v>1733</v>
      </c>
      <c r="G174" s="24" t="s">
        <v>1734</v>
      </c>
      <c r="H174" s="24" t="s">
        <v>1735</v>
      </c>
      <c r="I174" s="24" t="s">
        <v>1659</v>
      </c>
      <c r="J174" s="407" t="s">
        <v>1736</v>
      </c>
      <c r="K174" s="24" t="s">
        <v>433</v>
      </c>
      <c r="L174" s="24" t="s">
        <v>1737</v>
      </c>
      <c r="M174" s="24" t="s">
        <v>328</v>
      </c>
      <c r="N174" s="382"/>
      <c r="O174" s="382"/>
      <c r="P174" s="24" t="s">
        <v>1743</v>
      </c>
      <c r="Q174" s="408" t="s">
        <v>2218</v>
      </c>
      <c r="R174" s="24" t="s">
        <v>336</v>
      </c>
      <c r="S174" s="24" t="s">
        <v>890</v>
      </c>
      <c r="T174" s="42" t="s">
        <v>891</v>
      </c>
      <c r="U174" s="411">
        <v>110319</v>
      </c>
    </row>
    <row r="175" spans="1:21" s="25" customFormat="1" ht="92.4" x14ac:dyDescent="0.3">
      <c r="A175" s="41" t="s">
        <v>2541</v>
      </c>
      <c r="B175" s="24" t="s">
        <v>925</v>
      </c>
      <c r="C175" s="24" t="s">
        <v>926</v>
      </c>
      <c r="D175" s="24" t="s">
        <v>2430</v>
      </c>
      <c r="E175" s="24" t="s">
        <v>927</v>
      </c>
      <c r="F175" s="24" t="s">
        <v>1650</v>
      </c>
      <c r="G175" s="24" t="s">
        <v>1651</v>
      </c>
      <c r="H175" s="24" t="s">
        <v>1652</v>
      </c>
      <c r="I175" s="407" t="s">
        <v>16</v>
      </c>
      <c r="J175" s="24" t="s">
        <v>1653</v>
      </c>
      <c r="K175" s="24" t="s">
        <v>4190</v>
      </c>
      <c r="L175" s="24">
        <v>64053</v>
      </c>
      <c r="M175" s="24" t="s">
        <v>350</v>
      </c>
      <c r="N175" s="407" t="s">
        <v>1657</v>
      </c>
      <c r="O175" s="412"/>
      <c r="P175" s="24" t="s">
        <v>928</v>
      </c>
      <c r="Q175" s="408" t="s">
        <v>2219</v>
      </c>
      <c r="R175" s="24" t="s">
        <v>342</v>
      </c>
      <c r="S175" s="24" t="s">
        <v>1655</v>
      </c>
      <c r="T175" s="42" t="s">
        <v>1656</v>
      </c>
      <c r="U175" s="47">
        <v>111256</v>
      </c>
    </row>
    <row r="176" spans="1:21" s="25" customFormat="1" ht="52.8" x14ac:dyDescent="0.3">
      <c r="A176" s="28" t="s">
        <v>434</v>
      </c>
      <c r="B176" s="24" t="s">
        <v>2220</v>
      </c>
      <c r="C176" s="24" t="s">
        <v>929</v>
      </c>
      <c r="D176" s="24" t="s">
        <v>2221</v>
      </c>
      <c r="E176" s="24" t="s">
        <v>1831</v>
      </c>
      <c r="F176" s="24" t="s">
        <v>1832</v>
      </c>
      <c r="G176" s="24" t="s">
        <v>1833</v>
      </c>
      <c r="H176" s="407" t="s">
        <v>1840</v>
      </c>
      <c r="I176" s="407" t="s">
        <v>16</v>
      </c>
      <c r="J176" s="24" t="s">
        <v>1835</v>
      </c>
      <c r="K176" s="24" t="s">
        <v>458</v>
      </c>
      <c r="L176" s="24" t="s">
        <v>1836</v>
      </c>
      <c r="M176" s="24" t="s">
        <v>328</v>
      </c>
      <c r="N176" s="407" t="s">
        <v>1841</v>
      </c>
      <c r="O176" s="412"/>
      <c r="P176" s="24" t="s">
        <v>1842</v>
      </c>
      <c r="Q176" s="408" t="s">
        <v>2222</v>
      </c>
      <c r="R176" s="24" t="s">
        <v>329</v>
      </c>
      <c r="S176" s="24" t="s">
        <v>694</v>
      </c>
      <c r="T176" s="42" t="s">
        <v>1829</v>
      </c>
      <c r="U176" s="411">
        <v>103482</v>
      </c>
    </row>
    <row r="177" spans="1:21" s="25" customFormat="1" ht="52.8" x14ac:dyDescent="0.3">
      <c r="A177" s="28" t="s">
        <v>434</v>
      </c>
      <c r="B177" s="24" t="s">
        <v>2223</v>
      </c>
      <c r="C177" s="24" t="s">
        <v>2224</v>
      </c>
      <c r="D177" s="24" t="s">
        <v>2225</v>
      </c>
      <c r="E177" s="24" t="s">
        <v>488</v>
      </c>
      <c r="F177" s="24" t="s">
        <v>489</v>
      </c>
      <c r="G177" s="24" t="s">
        <v>490</v>
      </c>
      <c r="H177" s="24" t="s">
        <v>1377</v>
      </c>
      <c r="I177" s="407" t="s">
        <v>16</v>
      </c>
      <c r="J177" s="24" t="s">
        <v>2542</v>
      </c>
      <c r="K177" s="24" t="s">
        <v>433</v>
      </c>
      <c r="L177" s="24" t="s">
        <v>491</v>
      </c>
      <c r="M177" s="24" t="s">
        <v>328</v>
      </c>
      <c r="N177" s="382"/>
      <c r="O177" s="382" t="s">
        <v>2490</v>
      </c>
      <c r="P177" s="24" t="s">
        <v>2226</v>
      </c>
      <c r="Q177" s="408" t="s">
        <v>2543</v>
      </c>
      <c r="R177" s="24" t="s">
        <v>336</v>
      </c>
      <c r="S177" s="24" t="s">
        <v>2165</v>
      </c>
      <c r="T177" s="42" t="s">
        <v>2227</v>
      </c>
      <c r="U177" s="411">
        <v>107313</v>
      </c>
    </row>
    <row r="178" spans="1:21" s="25" customFormat="1" ht="52.8" x14ac:dyDescent="0.3">
      <c r="A178" s="347" t="s">
        <v>2269</v>
      </c>
      <c r="B178" s="24" t="s">
        <v>2544</v>
      </c>
      <c r="C178" s="24" t="s">
        <v>2228</v>
      </c>
      <c r="D178" s="24" t="s">
        <v>2545</v>
      </c>
      <c r="E178" s="24" t="s">
        <v>2255</v>
      </c>
      <c r="F178" s="24" t="s">
        <v>2457</v>
      </c>
      <c r="G178" s="24" t="s">
        <v>2458</v>
      </c>
      <c r="H178" s="24" t="s">
        <v>2459</v>
      </c>
      <c r="I178" s="407" t="s">
        <v>16</v>
      </c>
      <c r="J178" s="24" t="s">
        <v>1846</v>
      </c>
      <c r="K178" s="24" t="s">
        <v>458</v>
      </c>
      <c r="L178" s="24" t="s">
        <v>2460</v>
      </c>
      <c r="M178" s="24" t="s">
        <v>328</v>
      </c>
      <c r="N178" s="24" t="s">
        <v>2546</v>
      </c>
      <c r="O178" s="382"/>
      <c r="P178" s="24" t="s">
        <v>2547</v>
      </c>
      <c r="Q178" s="408" t="s">
        <v>2463</v>
      </c>
      <c r="R178" s="24" t="s">
        <v>336</v>
      </c>
      <c r="S178" s="24" t="s">
        <v>2464</v>
      </c>
      <c r="T178" s="42" t="s">
        <v>1325</v>
      </c>
      <c r="U178" s="411">
        <v>107313</v>
      </c>
    </row>
    <row r="179" spans="1:21" s="25" customFormat="1" ht="66" x14ac:dyDescent="0.3">
      <c r="A179" s="41" t="s">
        <v>1410</v>
      </c>
      <c r="B179" s="24" t="s">
        <v>930</v>
      </c>
      <c r="C179" s="24" t="s">
        <v>931</v>
      </c>
      <c r="D179" s="24" t="s">
        <v>2229</v>
      </c>
      <c r="E179" s="24" t="s">
        <v>1816</v>
      </c>
      <c r="F179" s="24" t="s">
        <v>1817</v>
      </c>
      <c r="G179" s="24" t="s">
        <v>440</v>
      </c>
      <c r="H179" s="407" t="s">
        <v>16</v>
      </c>
      <c r="I179" s="407" t="s">
        <v>16</v>
      </c>
      <c r="J179" s="24" t="s">
        <v>375</v>
      </c>
      <c r="K179" s="24" t="s">
        <v>433</v>
      </c>
      <c r="L179" s="24" t="s">
        <v>441</v>
      </c>
      <c r="M179" s="24" t="s">
        <v>328</v>
      </c>
      <c r="N179" s="24" t="s">
        <v>932</v>
      </c>
      <c r="O179" s="24" t="s">
        <v>443</v>
      </c>
      <c r="P179" s="24" t="s">
        <v>933</v>
      </c>
      <c r="Q179" s="408" t="s">
        <v>2230</v>
      </c>
      <c r="R179" s="24" t="s">
        <v>332</v>
      </c>
      <c r="S179" s="24" t="s">
        <v>1818</v>
      </c>
      <c r="T179" s="42" t="s">
        <v>1824</v>
      </c>
      <c r="U179" s="411">
        <v>102886</v>
      </c>
    </row>
    <row r="180" spans="1:21" s="25" customFormat="1" ht="79.2" x14ac:dyDescent="0.3">
      <c r="A180" s="41" t="s">
        <v>2548</v>
      </c>
      <c r="B180" s="24" t="s">
        <v>934</v>
      </c>
      <c r="C180" s="24" t="s">
        <v>935</v>
      </c>
      <c r="D180" s="24" t="s">
        <v>2549</v>
      </c>
      <c r="E180" s="24" t="s">
        <v>444</v>
      </c>
      <c r="F180" s="24" t="s">
        <v>2395</v>
      </c>
      <c r="G180" s="24" t="s">
        <v>445</v>
      </c>
      <c r="H180" s="24" t="s">
        <v>2550</v>
      </c>
      <c r="I180" s="24" t="s">
        <v>2551</v>
      </c>
      <c r="J180" s="24" t="s">
        <v>363</v>
      </c>
      <c r="K180" s="24" t="s">
        <v>433</v>
      </c>
      <c r="L180" s="24" t="s">
        <v>1704</v>
      </c>
      <c r="M180" s="24" t="s">
        <v>328</v>
      </c>
      <c r="N180" s="24" t="s">
        <v>936</v>
      </c>
      <c r="O180" s="407" t="s">
        <v>2552</v>
      </c>
      <c r="P180" s="24" t="s">
        <v>937</v>
      </c>
      <c r="Q180" s="408" t="s">
        <v>2553</v>
      </c>
      <c r="R180" s="24" t="s">
        <v>336</v>
      </c>
      <c r="S180" s="24" t="s">
        <v>4199</v>
      </c>
      <c r="T180" s="42" t="s">
        <v>2554</v>
      </c>
      <c r="U180" s="411">
        <v>103838</v>
      </c>
    </row>
    <row r="181" spans="1:21" s="44" customFormat="1" ht="92.4" x14ac:dyDescent="0.3">
      <c r="A181" s="28" t="s">
        <v>434</v>
      </c>
      <c r="B181" s="24" t="s">
        <v>2555</v>
      </c>
      <c r="C181" s="24" t="s">
        <v>940</v>
      </c>
      <c r="D181" s="24" t="s">
        <v>2556</v>
      </c>
      <c r="E181" s="24" t="s">
        <v>444</v>
      </c>
      <c r="F181" s="24" t="s">
        <v>2395</v>
      </c>
      <c r="G181" s="24" t="s">
        <v>445</v>
      </c>
      <c r="H181" s="24" t="s">
        <v>2550</v>
      </c>
      <c r="I181" s="24" t="s">
        <v>2551</v>
      </c>
      <c r="J181" s="24" t="s">
        <v>363</v>
      </c>
      <c r="K181" s="24" t="s">
        <v>433</v>
      </c>
      <c r="L181" s="24" t="s">
        <v>1704</v>
      </c>
      <c r="M181" s="24" t="s">
        <v>328</v>
      </c>
      <c r="N181" s="24" t="s">
        <v>2557</v>
      </c>
      <c r="O181" s="409"/>
      <c r="P181" s="24" t="s">
        <v>2558</v>
      </c>
      <c r="Q181" s="408" t="s">
        <v>2559</v>
      </c>
      <c r="R181" s="24" t="s">
        <v>336</v>
      </c>
      <c r="S181" s="24" t="s">
        <v>4199</v>
      </c>
      <c r="T181" s="42" t="s">
        <v>2560</v>
      </c>
      <c r="U181" s="411">
        <v>103838</v>
      </c>
    </row>
    <row r="182" spans="1:21" s="25" customFormat="1" ht="39.6" x14ac:dyDescent="0.3">
      <c r="A182" s="41" t="s">
        <v>434</v>
      </c>
      <c r="B182" s="25" t="s">
        <v>3800</v>
      </c>
      <c r="C182" s="25" t="s">
        <v>4200</v>
      </c>
      <c r="D182" s="25" t="s">
        <v>4201</v>
      </c>
      <c r="E182" s="25" t="s">
        <v>4202</v>
      </c>
      <c r="F182" s="25" t="s">
        <v>3898</v>
      </c>
      <c r="G182" s="25" t="s">
        <v>3899</v>
      </c>
      <c r="H182" s="433" t="s">
        <v>16</v>
      </c>
      <c r="I182" s="433" t="s">
        <v>16</v>
      </c>
      <c r="J182" s="25" t="s">
        <v>3900</v>
      </c>
      <c r="K182" s="25" t="s">
        <v>3901</v>
      </c>
      <c r="L182" s="407" t="s">
        <v>3902</v>
      </c>
      <c r="M182" s="25" t="s">
        <v>341</v>
      </c>
      <c r="N182" s="434"/>
      <c r="O182" s="434"/>
      <c r="P182" s="434"/>
      <c r="Q182" s="435" t="s">
        <v>3905</v>
      </c>
      <c r="R182" s="25" t="s">
        <v>347</v>
      </c>
      <c r="S182" s="25" t="s">
        <v>3906</v>
      </c>
      <c r="T182" s="33" t="s">
        <v>3805</v>
      </c>
      <c r="U182" s="411">
        <v>111841</v>
      </c>
    </row>
    <row r="183" spans="1:21" s="44" customFormat="1" ht="39.6" x14ac:dyDescent="0.3">
      <c r="A183" s="28" t="s">
        <v>434</v>
      </c>
      <c r="B183" s="24" t="s">
        <v>2231</v>
      </c>
      <c r="C183" s="24" t="s">
        <v>1554</v>
      </c>
      <c r="D183" s="24" t="s">
        <v>2232</v>
      </c>
      <c r="E183" s="24" t="s">
        <v>448</v>
      </c>
      <c r="F183" s="24" t="s">
        <v>449</v>
      </c>
      <c r="G183" s="24" t="s">
        <v>1548</v>
      </c>
      <c r="H183" s="24" t="s">
        <v>1551</v>
      </c>
      <c r="I183" s="407" t="s">
        <v>16</v>
      </c>
      <c r="J183" s="24" t="s">
        <v>432</v>
      </c>
      <c r="K183" s="24" t="s">
        <v>433</v>
      </c>
      <c r="L183" s="24" t="s">
        <v>450</v>
      </c>
      <c r="M183" s="24" t="s">
        <v>328</v>
      </c>
      <c r="N183" s="382"/>
      <c r="O183" s="382"/>
      <c r="P183" s="24" t="s">
        <v>1555</v>
      </c>
      <c r="Q183" s="404" t="s">
        <v>1556</v>
      </c>
      <c r="R183" s="24" t="s">
        <v>336</v>
      </c>
      <c r="S183" s="24" t="s">
        <v>1549</v>
      </c>
      <c r="T183" s="42" t="s">
        <v>1550</v>
      </c>
      <c r="U183" s="411">
        <v>103831</v>
      </c>
    </row>
    <row r="184" spans="1:21" s="44" customFormat="1" ht="39.6" x14ac:dyDescent="0.3">
      <c r="A184" s="41" t="s">
        <v>2260</v>
      </c>
      <c r="B184" s="24" t="s">
        <v>1868</v>
      </c>
      <c r="C184" s="24" t="s">
        <v>1869</v>
      </c>
      <c r="D184" s="24"/>
      <c r="E184" s="24" t="s">
        <v>1870</v>
      </c>
      <c r="F184" s="24" t="s">
        <v>1870</v>
      </c>
      <c r="G184" s="24" t="s">
        <v>1871</v>
      </c>
      <c r="H184" s="407" t="s">
        <v>16</v>
      </c>
      <c r="I184" s="407" t="s">
        <v>16</v>
      </c>
      <c r="J184" s="24" t="s">
        <v>305</v>
      </c>
      <c r="K184" s="24" t="s">
        <v>495</v>
      </c>
      <c r="L184" s="24" t="s">
        <v>1872</v>
      </c>
      <c r="M184" s="24" t="s">
        <v>328</v>
      </c>
      <c r="N184" s="24" t="s">
        <v>1873</v>
      </c>
      <c r="O184" s="412" t="s">
        <v>1874</v>
      </c>
      <c r="P184" s="24" t="s">
        <v>1875</v>
      </c>
      <c r="Q184" s="408" t="s">
        <v>2234</v>
      </c>
      <c r="R184" s="24" t="s">
        <v>332</v>
      </c>
      <c r="S184" s="24" t="s">
        <v>1876</v>
      </c>
      <c r="T184" s="42" t="s">
        <v>1183</v>
      </c>
      <c r="U184" s="430">
        <v>111483</v>
      </c>
    </row>
    <row r="185" spans="1:21" s="44" customFormat="1" ht="26.4" x14ac:dyDescent="0.3">
      <c r="A185" s="28" t="s">
        <v>434</v>
      </c>
      <c r="B185" s="424" t="s">
        <v>2235</v>
      </c>
      <c r="C185" s="424" t="s">
        <v>941</v>
      </c>
      <c r="D185" s="215" t="s">
        <v>2100</v>
      </c>
      <c r="E185" s="424" t="s">
        <v>460</v>
      </c>
      <c r="F185" s="424" t="s">
        <v>461</v>
      </c>
      <c r="G185" s="424" t="s">
        <v>462</v>
      </c>
      <c r="H185" s="424" t="s">
        <v>1664</v>
      </c>
      <c r="I185" s="424" t="s">
        <v>16</v>
      </c>
      <c r="J185" s="424" t="s">
        <v>317</v>
      </c>
      <c r="K185" s="424" t="s">
        <v>433</v>
      </c>
      <c r="L185" s="424" t="s">
        <v>463</v>
      </c>
      <c r="M185" s="424" t="s">
        <v>328</v>
      </c>
      <c r="N185" s="715"/>
      <c r="O185" s="715"/>
      <c r="P185" s="424" t="s">
        <v>942</v>
      </c>
      <c r="Q185" s="424" t="s">
        <v>2236</v>
      </c>
      <c r="R185" s="424" t="s">
        <v>336</v>
      </c>
      <c r="S185" s="424" t="s">
        <v>530</v>
      </c>
      <c r="T185" s="42" t="s">
        <v>4203</v>
      </c>
      <c r="U185" s="23" t="s">
        <v>434</v>
      </c>
    </row>
    <row r="186" spans="1:21" s="44" customFormat="1" ht="92.4" x14ac:dyDescent="0.3">
      <c r="A186" s="41" t="s">
        <v>2561</v>
      </c>
      <c r="B186" s="24" t="s">
        <v>2320</v>
      </c>
      <c r="C186" s="24" t="s">
        <v>943</v>
      </c>
      <c r="D186" s="24" t="s">
        <v>4204</v>
      </c>
      <c r="E186" s="24" t="s">
        <v>881</v>
      </c>
      <c r="F186" s="24" t="s">
        <v>1893</v>
      </c>
      <c r="G186" s="24" t="s">
        <v>1062</v>
      </c>
      <c r="H186" s="24" t="s">
        <v>1895</v>
      </c>
      <c r="I186" s="407" t="s">
        <v>16</v>
      </c>
      <c r="J186" s="24" t="s">
        <v>316</v>
      </c>
      <c r="K186" s="24" t="s">
        <v>575</v>
      </c>
      <c r="L186" s="24" t="s">
        <v>948</v>
      </c>
      <c r="M186" s="24" t="s">
        <v>328</v>
      </c>
      <c r="N186" s="24" t="s">
        <v>944</v>
      </c>
      <c r="O186" s="382"/>
      <c r="P186" s="24" t="s">
        <v>945</v>
      </c>
      <c r="Q186" s="408" t="s">
        <v>2237</v>
      </c>
      <c r="R186" s="24" t="s">
        <v>329</v>
      </c>
      <c r="S186" s="24" t="s">
        <v>1894</v>
      </c>
      <c r="T186" s="45" t="s">
        <v>1896</v>
      </c>
      <c r="U186" s="411">
        <v>106158</v>
      </c>
    </row>
    <row r="187" spans="1:21" s="25" customFormat="1" ht="52.8" x14ac:dyDescent="0.3">
      <c r="A187" s="28" t="s">
        <v>434</v>
      </c>
      <c r="B187" s="24" t="s">
        <v>2238</v>
      </c>
      <c r="C187" s="24" t="s">
        <v>968</v>
      </c>
      <c r="D187" s="24" t="s">
        <v>2048</v>
      </c>
      <c r="E187" s="24" t="s">
        <v>451</v>
      </c>
      <c r="F187" s="24" t="s">
        <v>452</v>
      </c>
      <c r="G187" s="24" t="s">
        <v>1931</v>
      </c>
      <c r="H187" s="24" t="s">
        <v>1937</v>
      </c>
      <c r="I187" s="407" t="s">
        <v>16</v>
      </c>
      <c r="J187" s="24" t="s">
        <v>368</v>
      </c>
      <c r="K187" s="24" t="s">
        <v>433</v>
      </c>
      <c r="L187" s="24" t="s">
        <v>508</v>
      </c>
      <c r="M187" s="24" t="s">
        <v>328</v>
      </c>
      <c r="N187" s="382"/>
      <c r="O187" s="382"/>
      <c r="P187" s="24" t="s">
        <v>1944</v>
      </c>
      <c r="Q187" s="408" t="s">
        <v>3579</v>
      </c>
      <c r="R187" s="24" t="s">
        <v>336</v>
      </c>
      <c r="S187" s="24" t="s">
        <v>887</v>
      </c>
      <c r="T187" s="45" t="s">
        <v>453</v>
      </c>
      <c r="U187" s="411">
        <v>103794</v>
      </c>
    </row>
    <row r="188" spans="1:21" s="25" customFormat="1" ht="39.6" x14ac:dyDescent="0.3">
      <c r="A188" s="23" t="s">
        <v>2257</v>
      </c>
      <c r="B188" s="424" t="s">
        <v>2239</v>
      </c>
      <c r="C188" s="424" t="s">
        <v>1695</v>
      </c>
      <c r="D188" s="215" t="s">
        <v>2240</v>
      </c>
      <c r="E188" s="424" t="s">
        <v>482</v>
      </c>
      <c r="F188" s="424" t="s">
        <v>483</v>
      </c>
      <c r="G188" s="424" t="s">
        <v>484</v>
      </c>
      <c r="H188" s="424" t="s">
        <v>1696</v>
      </c>
      <c r="I188" s="424" t="s">
        <v>16</v>
      </c>
      <c r="J188" s="424" t="s">
        <v>485</v>
      </c>
      <c r="K188" s="424" t="s">
        <v>433</v>
      </c>
      <c r="L188" s="424" t="s">
        <v>486</v>
      </c>
      <c r="M188" s="424" t="s">
        <v>328</v>
      </c>
      <c r="N188" s="424" t="s">
        <v>1697</v>
      </c>
      <c r="O188" s="715"/>
      <c r="P188" s="424" t="s">
        <v>1698</v>
      </c>
      <c r="Q188" s="215" t="s">
        <v>2241</v>
      </c>
      <c r="R188" s="424" t="s">
        <v>336</v>
      </c>
      <c r="S188" s="424" t="s">
        <v>487</v>
      </c>
      <c r="T188" s="42" t="s">
        <v>1699</v>
      </c>
      <c r="U188" s="425">
        <v>103348</v>
      </c>
    </row>
    <row r="189" spans="1:21" s="25" customFormat="1" ht="39.6" x14ac:dyDescent="0.3">
      <c r="A189" s="41" t="s">
        <v>3816</v>
      </c>
      <c r="B189" s="25" t="s">
        <v>3907</v>
      </c>
      <c r="C189" s="25" t="s">
        <v>3908</v>
      </c>
      <c r="D189" s="25" t="s">
        <v>2397</v>
      </c>
      <c r="E189" s="25" t="s">
        <v>460</v>
      </c>
      <c r="F189" s="25" t="s">
        <v>461</v>
      </c>
      <c r="G189" s="25" t="s">
        <v>462</v>
      </c>
      <c r="H189" s="25" t="s">
        <v>3909</v>
      </c>
      <c r="I189" s="25" t="s">
        <v>16</v>
      </c>
      <c r="J189" s="25" t="s">
        <v>317</v>
      </c>
      <c r="K189" s="25" t="s">
        <v>433</v>
      </c>
      <c r="L189" s="24" t="s">
        <v>463</v>
      </c>
      <c r="M189" s="25" t="s">
        <v>328</v>
      </c>
      <c r="N189" s="25" t="s">
        <v>3910</v>
      </c>
      <c r="O189" s="639"/>
      <c r="P189" s="25" t="s">
        <v>3911</v>
      </c>
      <c r="Q189" s="441" t="s">
        <v>3912</v>
      </c>
      <c r="R189" s="25" t="s">
        <v>336</v>
      </c>
      <c r="S189" s="25" t="s">
        <v>530</v>
      </c>
      <c r="T189" s="33" t="s">
        <v>4040</v>
      </c>
      <c r="U189" s="41" t="s">
        <v>434</v>
      </c>
    </row>
    <row r="190" spans="1:21" s="25" customFormat="1" ht="26.4" x14ac:dyDescent="0.3">
      <c r="A190" s="41" t="s">
        <v>2562</v>
      </c>
      <c r="B190" s="24" t="s">
        <v>1382</v>
      </c>
      <c r="C190" s="24" t="s">
        <v>1383</v>
      </c>
      <c r="D190" s="25" t="s">
        <v>2589</v>
      </c>
      <c r="E190" s="24" t="s">
        <v>818</v>
      </c>
      <c r="F190" s="24" t="s">
        <v>1378</v>
      </c>
      <c r="G190" s="24" t="s">
        <v>1379</v>
      </c>
      <c r="H190" s="24" t="s">
        <v>1384</v>
      </c>
      <c r="I190" s="407" t="s">
        <v>16</v>
      </c>
      <c r="J190" s="24" t="s">
        <v>1380</v>
      </c>
      <c r="K190" s="24" t="s">
        <v>433</v>
      </c>
      <c r="L190" s="52" t="s">
        <v>1381</v>
      </c>
      <c r="M190" s="24" t="s">
        <v>328</v>
      </c>
      <c r="N190" s="24" t="s">
        <v>1385</v>
      </c>
      <c r="O190" s="412"/>
      <c r="P190" s="24" t="s">
        <v>1386</v>
      </c>
      <c r="Q190" s="408" t="s">
        <v>2242</v>
      </c>
      <c r="R190" s="24" t="s">
        <v>336</v>
      </c>
      <c r="S190" s="24" t="s">
        <v>819</v>
      </c>
      <c r="T190" s="42" t="s">
        <v>820</v>
      </c>
      <c r="U190" s="411">
        <v>102941</v>
      </c>
    </row>
    <row r="191" spans="1:21" s="21" customFormat="1" ht="105.6" x14ac:dyDescent="0.3">
      <c r="A191" s="41" t="s">
        <v>2563</v>
      </c>
      <c r="B191" s="24" t="s">
        <v>2317</v>
      </c>
      <c r="C191" s="24" t="s">
        <v>2564</v>
      </c>
      <c r="D191" s="24" t="s">
        <v>2565</v>
      </c>
      <c r="E191" s="24" t="s">
        <v>966</v>
      </c>
      <c r="F191" s="24" t="s">
        <v>2154</v>
      </c>
      <c r="G191" s="24" t="s">
        <v>2402</v>
      </c>
      <c r="H191" s="24" t="s">
        <v>1588</v>
      </c>
      <c r="I191" s="24" t="s">
        <v>2403</v>
      </c>
      <c r="J191" s="24" t="s">
        <v>305</v>
      </c>
      <c r="K191" s="24" t="s">
        <v>495</v>
      </c>
      <c r="L191" s="24" t="s">
        <v>1627</v>
      </c>
      <c r="M191" s="24" t="s">
        <v>328</v>
      </c>
      <c r="N191" s="24" t="s">
        <v>2566</v>
      </c>
      <c r="O191" s="382"/>
      <c r="P191" s="24" t="s">
        <v>2567</v>
      </c>
      <c r="Q191" s="408" t="s">
        <v>3580</v>
      </c>
      <c r="R191" s="24" t="s">
        <v>336</v>
      </c>
      <c r="S191" s="24" t="s">
        <v>1630</v>
      </c>
      <c r="T191" s="42" t="s">
        <v>3567</v>
      </c>
      <c r="U191" s="31">
        <v>103791</v>
      </c>
    </row>
    <row r="192" spans="1:21" s="25" customFormat="1" ht="122.25" customHeight="1" x14ac:dyDescent="0.3">
      <c r="A192" s="347" t="s">
        <v>1411</v>
      </c>
      <c r="B192" s="402" t="s">
        <v>2313</v>
      </c>
      <c r="C192" s="402" t="s">
        <v>1825</v>
      </c>
      <c r="D192" s="210" t="s">
        <v>4205</v>
      </c>
      <c r="E192" s="402" t="s">
        <v>1816</v>
      </c>
      <c r="F192" s="402" t="s">
        <v>1817</v>
      </c>
      <c r="G192" s="402" t="s">
        <v>440</v>
      </c>
      <c r="H192" s="403" t="s">
        <v>16</v>
      </c>
      <c r="I192" s="403" t="s">
        <v>16</v>
      </c>
      <c r="J192" s="402" t="s">
        <v>375</v>
      </c>
      <c r="K192" s="402" t="s">
        <v>433</v>
      </c>
      <c r="L192" s="402" t="s">
        <v>441</v>
      </c>
      <c r="M192" s="402" t="s">
        <v>328</v>
      </c>
      <c r="N192" s="402" t="s">
        <v>533</v>
      </c>
      <c r="O192" s="402" t="s">
        <v>443</v>
      </c>
      <c r="P192" s="402" t="s">
        <v>3581</v>
      </c>
      <c r="Q192" s="441" t="s">
        <v>4206</v>
      </c>
      <c r="R192" s="402" t="s">
        <v>332</v>
      </c>
      <c r="S192" s="402" t="s">
        <v>1822</v>
      </c>
      <c r="T192" s="42" t="s">
        <v>4207</v>
      </c>
      <c r="U192" s="406">
        <v>102886</v>
      </c>
    </row>
    <row r="193" spans="1:21" s="25" customFormat="1" ht="39.6" x14ac:dyDescent="0.3">
      <c r="A193" s="347" t="s">
        <v>2245</v>
      </c>
      <c r="B193" s="402" t="s">
        <v>394</v>
      </c>
      <c r="C193" s="402" t="s">
        <v>947</v>
      </c>
      <c r="D193" s="402" t="s">
        <v>4208</v>
      </c>
      <c r="E193" s="402" t="s">
        <v>594</v>
      </c>
      <c r="F193" s="402" t="s">
        <v>1342</v>
      </c>
      <c r="G193" s="402" t="s">
        <v>1058</v>
      </c>
      <c r="H193" s="402" t="s">
        <v>1343</v>
      </c>
      <c r="I193" s="403" t="s">
        <v>1344</v>
      </c>
      <c r="J193" s="402" t="s">
        <v>1345</v>
      </c>
      <c r="K193" s="402" t="s">
        <v>455</v>
      </c>
      <c r="L193" s="402" t="s">
        <v>1066</v>
      </c>
      <c r="M193" s="402" t="s">
        <v>328</v>
      </c>
      <c r="N193" s="402" t="s">
        <v>1346</v>
      </c>
      <c r="O193" s="420"/>
      <c r="P193" s="421" t="s">
        <v>595</v>
      </c>
      <c r="Q193" s="422" t="s">
        <v>1988</v>
      </c>
      <c r="R193" s="402" t="s">
        <v>332</v>
      </c>
      <c r="S193" s="402" t="s">
        <v>596</v>
      </c>
      <c r="T193" s="405" t="s">
        <v>395</v>
      </c>
      <c r="U193" s="423">
        <v>102856</v>
      </c>
    </row>
    <row r="194" spans="1:21" s="25" customFormat="1" ht="92.4" x14ac:dyDescent="0.3">
      <c r="A194" s="28" t="s">
        <v>434</v>
      </c>
      <c r="B194" s="24" t="s">
        <v>2568</v>
      </c>
      <c r="C194" s="24" t="s">
        <v>2569</v>
      </c>
      <c r="D194" s="24" t="s">
        <v>2570</v>
      </c>
      <c r="E194" s="24" t="s">
        <v>571</v>
      </c>
      <c r="F194" s="24" t="s">
        <v>572</v>
      </c>
      <c r="G194" s="24" t="s">
        <v>679</v>
      </c>
      <c r="H194" s="24" t="s">
        <v>1528</v>
      </c>
      <c r="I194" s="407" t="s">
        <v>1529</v>
      </c>
      <c r="J194" s="24" t="s">
        <v>325</v>
      </c>
      <c r="K194" s="24" t="s">
        <v>433</v>
      </c>
      <c r="L194" s="24" t="s">
        <v>681</v>
      </c>
      <c r="M194" s="24" t="s">
        <v>328</v>
      </c>
      <c r="N194" s="382"/>
      <c r="O194" s="382"/>
      <c r="P194" s="52" t="s">
        <v>2571</v>
      </c>
      <c r="Q194" s="404" t="s">
        <v>2572</v>
      </c>
      <c r="R194" s="24" t="s">
        <v>336</v>
      </c>
      <c r="S194" s="24" t="s">
        <v>1521</v>
      </c>
      <c r="T194" s="400" t="s">
        <v>2573</v>
      </c>
      <c r="U194" s="411">
        <v>103819</v>
      </c>
    </row>
    <row r="195" spans="1:21" s="25" customFormat="1" ht="92.4" x14ac:dyDescent="0.3">
      <c r="A195" s="41" t="s">
        <v>2574</v>
      </c>
      <c r="B195" s="24" t="s">
        <v>2323</v>
      </c>
      <c r="C195" s="24" t="s">
        <v>2243</v>
      </c>
      <c r="D195" s="24" t="s">
        <v>2397</v>
      </c>
      <c r="E195" s="24" t="s">
        <v>451</v>
      </c>
      <c r="F195" s="24" t="s">
        <v>452</v>
      </c>
      <c r="G195" s="24" t="s">
        <v>1931</v>
      </c>
      <c r="H195" s="24" t="s">
        <v>1941</v>
      </c>
      <c r="I195" s="407" t="s">
        <v>16</v>
      </c>
      <c r="J195" s="24" t="s">
        <v>368</v>
      </c>
      <c r="K195" s="24" t="s">
        <v>433</v>
      </c>
      <c r="L195" s="24" t="s">
        <v>508</v>
      </c>
      <c r="M195" s="24" t="s">
        <v>328</v>
      </c>
      <c r="N195" s="24" t="s">
        <v>2575</v>
      </c>
      <c r="O195" s="382"/>
      <c r="P195" s="24" t="s">
        <v>2576</v>
      </c>
      <c r="Q195" s="408" t="s">
        <v>2577</v>
      </c>
      <c r="R195" s="24" t="s">
        <v>336</v>
      </c>
      <c r="S195" s="24" t="s">
        <v>2578</v>
      </c>
      <c r="T195" s="42" t="s">
        <v>2579</v>
      </c>
      <c r="U195" s="47" t="s">
        <v>2580</v>
      </c>
    </row>
    <row r="196" spans="1:21" ht="118.8" x14ac:dyDescent="0.3">
      <c r="A196" s="41" t="s">
        <v>2581</v>
      </c>
      <c r="B196" s="24" t="s">
        <v>1637</v>
      </c>
      <c r="C196" s="24" t="s">
        <v>1638</v>
      </c>
      <c r="D196" s="24" t="s">
        <v>2589</v>
      </c>
      <c r="E196" s="24" t="s">
        <v>1639</v>
      </c>
      <c r="F196" s="24" t="s">
        <v>1639</v>
      </c>
      <c r="G196" s="24" t="s">
        <v>1640</v>
      </c>
      <c r="H196" s="24" t="s">
        <v>1384</v>
      </c>
      <c r="I196" s="407" t="s">
        <v>16</v>
      </c>
      <c r="J196" s="407" t="s">
        <v>1641</v>
      </c>
      <c r="K196" s="24" t="s">
        <v>1642</v>
      </c>
      <c r="L196" s="407" t="s">
        <v>1643</v>
      </c>
      <c r="M196" s="24" t="s">
        <v>1644</v>
      </c>
      <c r="N196" s="407" t="s">
        <v>1645</v>
      </c>
      <c r="O196" s="382"/>
      <c r="P196" s="24" t="s">
        <v>1646</v>
      </c>
      <c r="Q196" s="408" t="s">
        <v>2244</v>
      </c>
      <c r="R196" s="24" t="s">
        <v>342</v>
      </c>
      <c r="S196" s="24" t="s">
        <v>1647</v>
      </c>
      <c r="T196" s="42" t="s">
        <v>1648</v>
      </c>
      <c r="U196" s="411">
        <v>110719</v>
      </c>
    </row>
    <row r="197" spans="1:21" ht="39.6" x14ac:dyDescent="0.3">
      <c r="A197" s="347" t="s">
        <v>2267</v>
      </c>
      <c r="B197" s="24" t="s">
        <v>1591</v>
      </c>
      <c r="C197" s="24" t="s">
        <v>1592</v>
      </c>
      <c r="D197" s="24" t="s">
        <v>4209</v>
      </c>
      <c r="E197" s="24" t="s">
        <v>1583</v>
      </c>
      <c r="F197" s="24" t="s">
        <v>1584</v>
      </c>
      <c r="G197" s="24" t="s">
        <v>1587</v>
      </c>
      <c r="H197" s="24" t="s">
        <v>1588</v>
      </c>
      <c r="I197" s="24" t="s">
        <v>2484</v>
      </c>
      <c r="J197" s="24" t="s">
        <v>390</v>
      </c>
      <c r="K197" s="24" t="s">
        <v>433</v>
      </c>
      <c r="L197" s="24" t="s">
        <v>1589</v>
      </c>
      <c r="M197" s="24" t="s">
        <v>328</v>
      </c>
      <c r="N197" s="24" t="s">
        <v>1593</v>
      </c>
      <c r="O197" s="413"/>
      <c r="P197" s="24" t="s">
        <v>1594</v>
      </c>
      <c r="Q197" s="410" t="s">
        <v>2582</v>
      </c>
      <c r="R197" s="24" t="s">
        <v>336</v>
      </c>
      <c r="S197" s="24" t="s">
        <v>1585</v>
      </c>
      <c r="T197" s="42" t="s">
        <v>1307</v>
      </c>
      <c r="U197" s="47">
        <v>103839</v>
      </c>
    </row>
    <row r="198" spans="1:21" s="25" customFormat="1" ht="52.8" x14ac:dyDescent="0.3">
      <c r="A198" s="41" t="s">
        <v>3867</v>
      </c>
      <c r="B198" s="25" t="s">
        <v>3935</v>
      </c>
      <c r="C198" s="25" t="s">
        <v>3936</v>
      </c>
      <c r="D198" s="25" t="s">
        <v>3937</v>
      </c>
      <c r="E198" s="25" t="s">
        <v>451</v>
      </c>
      <c r="F198" s="25" t="s">
        <v>452</v>
      </c>
      <c r="G198" s="25" t="s">
        <v>1931</v>
      </c>
      <c r="H198" s="25" t="s">
        <v>3938</v>
      </c>
      <c r="I198" s="433" t="s">
        <v>16</v>
      </c>
      <c r="J198" s="25" t="s">
        <v>368</v>
      </c>
      <c r="K198" s="25" t="s">
        <v>433</v>
      </c>
      <c r="L198" s="24" t="s">
        <v>508</v>
      </c>
      <c r="M198" s="25" t="s">
        <v>328</v>
      </c>
      <c r="N198" s="25" t="s">
        <v>3939</v>
      </c>
      <c r="O198" s="434"/>
      <c r="P198" s="25" t="s">
        <v>3940</v>
      </c>
      <c r="Q198" s="435" t="s">
        <v>3941</v>
      </c>
      <c r="R198" s="25" t="s">
        <v>336</v>
      </c>
      <c r="S198" s="25" t="s">
        <v>3942</v>
      </c>
      <c r="T198" s="45" t="s">
        <v>453</v>
      </c>
      <c r="U198" s="411">
        <v>103794</v>
      </c>
    </row>
    <row r="199" spans="1:21" x14ac:dyDescent="0.3">
      <c r="A199" s="398"/>
      <c r="B199" s="402"/>
      <c r="C199" s="402"/>
      <c r="D199" s="402"/>
      <c r="E199" s="402"/>
      <c r="F199" s="24"/>
      <c r="G199" s="402"/>
      <c r="H199" s="402"/>
      <c r="I199" s="403"/>
      <c r="J199" s="402"/>
      <c r="K199" s="402"/>
      <c r="L199" s="402"/>
      <c r="M199" s="402"/>
      <c r="N199" s="402"/>
      <c r="O199" s="417"/>
      <c r="P199" s="402"/>
      <c r="Q199" s="408"/>
      <c r="R199" s="402"/>
      <c r="S199" s="451"/>
      <c r="T199" s="42"/>
      <c r="U199" s="398"/>
    </row>
    <row r="200" spans="1:21" s="716" customFormat="1" ht="13.8" thickBot="1" x14ac:dyDescent="0.35">
      <c r="A200" s="470"/>
      <c r="B200" s="469"/>
      <c r="C200" s="469"/>
      <c r="D200" s="469"/>
      <c r="E200" s="469"/>
      <c r="F200" s="358"/>
      <c r="G200" s="469"/>
      <c r="H200" s="469"/>
      <c r="I200" s="471"/>
      <c r="J200" s="469"/>
      <c r="K200" s="469"/>
      <c r="L200" s="469"/>
      <c r="M200" s="469"/>
      <c r="N200" s="469"/>
      <c r="O200" s="472"/>
      <c r="P200" s="469"/>
      <c r="Q200" s="473"/>
      <c r="R200" s="469"/>
      <c r="S200" s="474"/>
      <c r="T200" s="475"/>
      <c r="U200" s="470"/>
    </row>
    <row r="201" spans="1:21" s="25" customFormat="1" ht="15.6" x14ac:dyDescent="0.3">
      <c r="A201" s="717"/>
      <c r="B201" s="717" t="s">
        <v>3582</v>
      </c>
      <c r="C201" s="718"/>
      <c r="D201" s="718"/>
      <c r="E201" s="718"/>
      <c r="F201" s="718"/>
      <c r="G201" s="718"/>
      <c r="H201" s="718"/>
      <c r="I201" s="718"/>
      <c r="J201" s="718"/>
      <c r="K201" s="718"/>
      <c r="L201" s="718"/>
      <c r="M201" s="718"/>
      <c r="N201" s="718"/>
      <c r="O201" s="718"/>
      <c r="P201" s="718"/>
      <c r="Q201" s="718"/>
      <c r="R201" s="718"/>
      <c r="S201" s="718"/>
      <c r="T201" s="718"/>
      <c r="U201" s="719"/>
    </row>
    <row r="202" spans="1:21" ht="79.2" x14ac:dyDescent="0.3">
      <c r="A202" s="694" t="s">
        <v>2306</v>
      </c>
      <c r="B202" s="454" t="s">
        <v>361</v>
      </c>
      <c r="C202" s="454" t="s">
        <v>845</v>
      </c>
      <c r="D202" s="454" t="s">
        <v>2020</v>
      </c>
      <c r="E202" s="454" t="s">
        <v>1471</v>
      </c>
      <c r="F202" s="454" t="s">
        <v>1472</v>
      </c>
      <c r="G202" s="454" t="s">
        <v>846</v>
      </c>
      <c r="H202" s="454" t="s">
        <v>1473</v>
      </c>
      <c r="I202" s="454" t="s">
        <v>16</v>
      </c>
      <c r="J202" s="454" t="s">
        <v>362</v>
      </c>
      <c r="K202" s="454" t="s">
        <v>464</v>
      </c>
      <c r="L202" s="454" t="s">
        <v>847</v>
      </c>
      <c r="M202" s="454" t="s">
        <v>328</v>
      </c>
      <c r="N202" s="454" t="s">
        <v>848</v>
      </c>
      <c r="O202" s="454" t="s">
        <v>849</v>
      </c>
      <c r="P202" s="454" t="s">
        <v>1474</v>
      </c>
      <c r="Q202" s="454" t="s">
        <v>2021</v>
      </c>
      <c r="R202" s="454" t="s">
        <v>329</v>
      </c>
      <c r="S202" s="454" t="s">
        <v>1475</v>
      </c>
      <c r="T202" s="455" t="s">
        <v>3583</v>
      </c>
      <c r="U202" s="456">
        <v>103165</v>
      </c>
    </row>
    <row r="203" spans="1:21" ht="39.6" x14ac:dyDescent="0.3">
      <c r="A203" s="720" t="s">
        <v>2466</v>
      </c>
      <c r="B203" s="721" t="s">
        <v>1800</v>
      </c>
      <c r="C203" s="721" t="s">
        <v>1801</v>
      </c>
      <c r="D203" s="722" t="s">
        <v>2467</v>
      </c>
      <c r="E203" s="721" t="s">
        <v>1792</v>
      </c>
      <c r="F203" s="721" t="s">
        <v>1793</v>
      </c>
      <c r="G203" s="721" t="s">
        <v>957</v>
      </c>
      <c r="H203" s="721" t="s">
        <v>16</v>
      </c>
      <c r="I203" s="721" t="s">
        <v>16</v>
      </c>
      <c r="J203" s="721" t="s">
        <v>367</v>
      </c>
      <c r="K203" s="721" t="s">
        <v>504</v>
      </c>
      <c r="L203" s="721" t="s">
        <v>958</v>
      </c>
      <c r="M203" s="721" t="s">
        <v>328</v>
      </c>
      <c r="N203" s="721" t="s">
        <v>540</v>
      </c>
      <c r="O203" s="721" t="s">
        <v>541</v>
      </c>
      <c r="P203" s="721" t="s">
        <v>1802</v>
      </c>
      <c r="Q203" s="722" t="s">
        <v>2137</v>
      </c>
      <c r="R203" s="721" t="s">
        <v>332</v>
      </c>
      <c r="S203" s="721" t="s">
        <v>1803</v>
      </c>
      <c r="T203" s="723" t="s">
        <v>3565</v>
      </c>
      <c r="U203" s="720">
        <v>103484</v>
      </c>
    </row>
    <row r="204" spans="1:21" ht="52.8" x14ac:dyDescent="0.3">
      <c r="A204" s="720" t="s">
        <v>3563</v>
      </c>
      <c r="B204" s="724" t="s">
        <v>3564</v>
      </c>
      <c r="C204" s="724" t="s">
        <v>3569</v>
      </c>
      <c r="D204" s="724" t="s">
        <v>3570</v>
      </c>
      <c r="E204" s="724" t="s">
        <v>1792</v>
      </c>
      <c r="F204" s="724" t="s">
        <v>1793</v>
      </c>
      <c r="G204" s="724" t="s">
        <v>957</v>
      </c>
      <c r="H204" s="725" t="s">
        <v>16</v>
      </c>
      <c r="I204" s="725" t="s">
        <v>16</v>
      </c>
      <c r="J204" s="724" t="s">
        <v>367</v>
      </c>
      <c r="K204" s="724" t="s">
        <v>504</v>
      </c>
      <c r="L204" s="726" t="s">
        <v>958</v>
      </c>
      <c r="M204" s="724" t="s">
        <v>328</v>
      </c>
      <c r="N204" s="724" t="s">
        <v>3571</v>
      </c>
      <c r="O204" s="724"/>
      <c r="P204" s="724" t="s">
        <v>3572</v>
      </c>
      <c r="Q204" s="724" t="s">
        <v>3573</v>
      </c>
      <c r="R204" s="724" t="s">
        <v>332</v>
      </c>
      <c r="S204" s="724" t="s">
        <v>1794</v>
      </c>
      <c r="T204" s="723" t="s">
        <v>3568</v>
      </c>
      <c r="U204" s="727">
        <v>103484</v>
      </c>
    </row>
    <row r="205" spans="1:21" s="44" customFormat="1" ht="52.8" x14ac:dyDescent="0.3">
      <c r="A205" s="728" t="s">
        <v>1044</v>
      </c>
      <c r="B205" s="452" t="s">
        <v>366</v>
      </c>
      <c r="C205" s="452" t="s">
        <v>938</v>
      </c>
      <c r="D205" s="452" t="s">
        <v>2033</v>
      </c>
      <c r="E205" s="452" t="s">
        <v>1792</v>
      </c>
      <c r="F205" s="452" t="s">
        <v>1793</v>
      </c>
      <c r="G205" s="452" t="s">
        <v>957</v>
      </c>
      <c r="H205" s="729" t="s">
        <v>16</v>
      </c>
      <c r="I205" s="729" t="s">
        <v>16</v>
      </c>
      <c r="J205" s="452" t="s">
        <v>367</v>
      </c>
      <c r="K205" s="452" t="s">
        <v>504</v>
      </c>
      <c r="L205" s="452" t="s">
        <v>958</v>
      </c>
      <c r="M205" s="452" t="s">
        <v>328</v>
      </c>
      <c r="N205" s="452" t="s">
        <v>540</v>
      </c>
      <c r="O205" s="452" t="s">
        <v>541</v>
      </c>
      <c r="P205" s="452" t="s">
        <v>939</v>
      </c>
      <c r="Q205" s="452" t="s">
        <v>2034</v>
      </c>
      <c r="R205" s="452" t="s">
        <v>332</v>
      </c>
      <c r="S205" s="452" t="s">
        <v>1794</v>
      </c>
      <c r="T205" s="723" t="s">
        <v>3568</v>
      </c>
      <c r="U205" s="730">
        <v>103484</v>
      </c>
    </row>
    <row r="209" spans="1:21" x14ac:dyDescent="0.3"/>
    <row r="210" spans="1:21" ht="15.6" x14ac:dyDescent="0.3">
      <c r="A210" s="695" t="s">
        <v>3584</v>
      </c>
      <c r="B210" s="457"/>
      <c r="C210" s="457"/>
      <c r="D210" s="457"/>
      <c r="E210" s="457"/>
      <c r="F210" s="457"/>
      <c r="G210" s="457"/>
      <c r="H210" s="457"/>
      <c r="I210" s="457"/>
      <c r="J210" s="457"/>
      <c r="K210" s="457"/>
      <c r="L210" s="457"/>
      <c r="M210" s="457"/>
      <c r="N210" s="457"/>
      <c r="O210" s="457"/>
      <c r="P210" s="457"/>
      <c r="Q210" s="457"/>
      <c r="R210" s="457"/>
      <c r="S210" s="457"/>
      <c r="T210" s="457"/>
      <c r="U210" s="458"/>
    </row>
    <row r="211" spans="1:21" s="21" customFormat="1" ht="25.5" customHeight="1" x14ac:dyDescent="0.3">
      <c r="A211" s="459"/>
      <c r="B211" s="460" t="s">
        <v>3585</v>
      </c>
      <c r="C211" s="461" t="s">
        <v>3586</v>
      </c>
      <c r="D211" s="460"/>
      <c r="E211" s="460" t="s">
        <v>3587</v>
      </c>
      <c r="F211" s="462" t="s">
        <v>16</v>
      </c>
      <c r="G211" s="462" t="s">
        <v>16</v>
      </c>
      <c r="H211" s="462" t="s">
        <v>16</v>
      </c>
      <c r="I211" s="462" t="s">
        <v>16</v>
      </c>
      <c r="J211" s="462" t="s">
        <v>16</v>
      </c>
      <c r="K211" s="462" t="s">
        <v>16</v>
      </c>
      <c r="L211" s="467" t="s">
        <v>16</v>
      </c>
      <c r="M211" s="462" t="s">
        <v>16</v>
      </c>
      <c r="N211" s="462" t="s">
        <v>16</v>
      </c>
      <c r="O211" s="462" t="s">
        <v>16</v>
      </c>
      <c r="P211" s="462" t="s">
        <v>16</v>
      </c>
      <c r="Q211" s="462" t="s">
        <v>16</v>
      </c>
      <c r="R211" s="462" t="s">
        <v>16</v>
      </c>
      <c r="S211" s="462" t="s">
        <v>16</v>
      </c>
      <c r="T211" s="464" t="s">
        <v>16</v>
      </c>
      <c r="U211" s="731" t="s">
        <v>16</v>
      </c>
    </row>
    <row r="212" spans="1:21" s="21" customFormat="1" ht="26.4" x14ac:dyDescent="0.3">
      <c r="A212" s="459"/>
      <c r="B212" s="460" t="s">
        <v>3588</v>
      </c>
      <c r="C212" s="461" t="s">
        <v>3586</v>
      </c>
      <c r="D212" s="460"/>
      <c r="E212" s="460" t="s">
        <v>3589</v>
      </c>
      <c r="F212" s="463" t="s">
        <v>16</v>
      </c>
      <c r="G212" s="462" t="s">
        <v>16</v>
      </c>
      <c r="H212" s="462" t="s">
        <v>16</v>
      </c>
      <c r="I212" s="462" t="s">
        <v>16</v>
      </c>
      <c r="J212" s="462" t="s">
        <v>16</v>
      </c>
      <c r="K212" s="462" t="s">
        <v>16</v>
      </c>
      <c r="L212" s="467" t="s">
        <v>16</v>
      </c>
      <c r="M212" s="462" t="s">
        <v>16</v>
      </c>
      <c r="N212" s="462" t="s">
        <v>16</v>
      </c>
      <c r="O212" s="462" t="s">
        <v>16</v>
      </c>
      <c r="P212" s="462" t="s">
        <v>16</v>
      </c>
      <c r="Q212" s="462" t="s">
        <v>16</v>
      </c>
      <c r="R212" s="462" t="s">
        <v>16</v>
      </c>
      <c r="S212" s="468" t="s">
        <v>16</v>
      </c>
      <c r="T212" s="464" t="s">
        <v>16</v>
      </c>
      <c r="U212" s="731" t="s">
        <v>16</v>
      </c>
    </row>
    <row r="213" spans="1:21" s="21" customFormat="1" ht="26.4" x14ac:dyDescent="0.3">
      <c r="A213" s="459"/>
      <c r="B213" s="460" t="s">
        <v>3590</v>
      </c>
      <c r="C213" s="461" t="s">
        <v>3586</v>
      </c>
      <c r="D213" s="460"/>
      <c r="E213" s="460" t="s">
        <v>3591</v>
      </c>
      <c r="F213" s="463" t="s">
        <v>16</v>
      </c>
      <c r="G213" s="464" t="s">
        <v>16</v>
      </c>
      <c r="H213" s="464" t="s">
        <v>16</v>
      </c>
      <c r="I213" s="464" t="s">
        <v>16</v>
      </c>
      <c r="J213" s="464" t="s">
        <v>16</v>
      </c>
      <c r="K213" s="464" t="s">
        <v>16</v>
      </c>
      <c r="L213" s="465" t="s">
        <v>16</v>
      </c>
      <c r="M213" s="464" t="s">
        <v>16</v>
      </c>
      <c r="N213" s="464" t="s">
        <v>16</v>
      </c>
      <c r="O213" s="464" t="s">
        <v>16</v>
      </c>
      <c r="P213" s="464" t="s">
        <v>16</v>
      </c>
      <c r="Q213" s="464" t="s">
        <v>16</v>
      </c>
      <c r="R213" s="464" t="s">
        <v>16</v>
      </c>
      <c r="S213" s="463" t="s">
        <v>16</v>
      </c>
      <c r="T213" s="464" t="s">
        <v>16</v>
      </c>
      <c r="U213" s="731" t="s">
        <v>16</v>
      </c>
    </row>
    <row r="214" spans="1:21" s="25" customFormat="1" ht="26.4" x14ac:dyDescent="0.3">
      <c r="A214" s="459"/>
      <c r="B214" s="460" t="s">
        <v>3592</v>
      </c>
      <c r="C214" s="461" t="s">
        <v>3586</v>
      </c>
      <c r="D214" s="460"/>
      <c r="E214" s="460" t="s">
        <v>3593</v>
      </c>
      <c r="F214" s="463" t="s">
        <v>16</v>
      </c>
      <c r="G214" s="462" t="s">
        <v>16</v>
      </c>
      <c r="H214" s="462" t="s">
        <v>16</v>
      </c>
      <c r="I214" s="462" t="s">
        <v>16</v>
      </c>
      <c r="J214" s="462" t="s">
        <v>16</v>
      </c>
      <c r="K214" s="462" t="s">
        <v>16</v>
      </c>
      <c r="L214" s="467" t="s">
        <v>16</v>
      </c>
      <c r="M214" s="462" t="s">
        <v>16</v>
      </c>
      <c r="N214" s="462" t="s">
        <v>16</v>
      </c>
      <c r="O214" s="462" t="s">
        <v>16</v>
      </c>
      <c r="P214" s="462" t="s">
        <v>16</v>
      </c>
      <c r="Q214" s="462" t="s">
        <v>16</v>
      </c>
      <c r="R214" s="462" t="s">
        <v>16</v>
      </c>
      <c r="S214" s="462" t="s">
        <v>16</v>
      </c>
      <c r="T214" s="464" t="s">
        <v>16</v>
      </c>
      <c r="U214" s="731" t="s">
        <v>16</v>
      </c>
    </row>
    <row r="215" spans="1:21" s="25" customFormat="1" ht="26.4" x14ac:dyDescent="0.3">
      <c r="A215" s="459"/>
      <c r="B215" s="460" t="s">
        <v>3594</v>
      </c>
      <c r="C215" s="461" t="s">
        <v>3586</v>
      </c>
      <c r="D215" s="460"/>
      <c r="E215" s="466" t="s">
        <v>3595</v>
      </c>
      <c r="F215" s="464" t="s">
        <v>16</v>
      </c>
      <c r="G215" s="464" t="s">
        <v>16</v>
      </c>
      <c r="H215" s="464" t="s">
        <v>16</v>
      </c>
      <c r="I215" s="464" t="s">
        <v>16</v>
      </c>
      <c r="J215" s="464" t="s">
        <v>16</v>
      </c>
      <c r="K215" s="464" t="s">
        <v>16</v>
      </c>
      <c r="L215" s="465" t="s">
        <v>16</v>
      </c>
      <c r="M215" s="464" t="s">
        <v>16</v>
      </c>
      <c r="N215" s="464" t="s">
        <v>16</v>
      </c>
      <c r="O215" s="464" t="s">
        <v>16</v>
      </c>
      <c r="P215" s="464" t="s">
        <v>16</v>
      </c>
      <c r="Q215" s="464" t="s">
        <v>16</v>
      </c>
      <c r="R215" s="464" t="s">
        <v>16</v>
      </c>
      <c r="S215" s="464" t="s">
        <v>16</v>
      </c>
      <c r="T215" s="464" t="s">
        <v>16</v>
      </c>
      <c r="U215" s="731" t="s">
        <v>16</v>
      </c>
    </row>
    <row r="216" spans="1:21" s="25" customFormat="1" ht="26.4" x14ac:dyDescent="0.3">
      <c r="A216" s="459"/>
      <c r="B216" s="460" t="s">
        <v>3596</v>
      </c>
      <c r="C216" s="461" t="s">
        <v>3586</v>
      </c>
      <c r="D216" s="460"/>
      <c r="E216" s="460" t="s">
        <v>3597</v>
      </c>
      <c r="F216" s="464" t="s">
        <v>16</v>
      </c>
      <c r="G216" s="464" t="s">
        <v>16</v>
      </c>
      <c r="H216" s="464" t="s">
        <v>16</v>
      </c>
      <c r="I216" s="464" t="s">
        <v>16</v>
      </c>
      <c r="J216" s="464" t="s">
        <v>16</v>
      </c>
      <c r="K216" s="464" t="s">
        <v>16</v>
      </c>
      <c r="L216" s="465" t="s">
        <v>16</v>
      </c>
      <c r="M216" s="464" t="s">
        <v>16</v>
      </c>
      <c r="N216" s="464" t="s">
        <v>16</v>
      </c>
      <c r="O216" s="464" t="s">
        <v>16</v>
      </c>
      <c r="P216" s="464" t="s">
        <v>16</v>
      </c>
      <c r="Q216" s="464" t="s">
        <v>16</v>
      </c>
      <c r="R216" s="464" t="s">
        <v>16</v>
      </c>
      <c r="S216" s="464" t="s">
        <v>16</v>
      </c>
      <c r="T216" s="464" t="s">
        <v>16</v>
      </c>
      <c r="U216" s="731" t="s">
        <v>16</v>
      </c>
    </row>
    <row r="217" spans="1:21" s="25" customFormat="1" ht="26.4" x14ac:dyDescent="0.3">
      <c r="A217" s="459"/>
      <c r="B217" s="460" t="s">
        <v>3598</v>
      </c>
      <c r="C217" s="461" t="s">
        <v>3586</v>
      </c>
      <c r="D217" s="460"/>
      <c r="E217" s="460" t="s">
        <v>3599</v>
      </c>
      <c r="F217" s="464" t="s">
        <v>16</v>
      </c>
      <c r="G217" s="464" t="s">
        <v>16</v>
      </c>
      <c r="H217" s="464" t="s">
        <v>16</v>
      </c>
      <c r="I217" s="464" t="s">
        <v>16</v>
      </c>
      <c r="J217" s="464" t="s">
        <v>16</v>
      </c>
      <c r="K217" s="464" t="s">
        <v>16</v>
      </c>
      <c r="L217" s="465" t="s">
        <v>16</v>
      </c>
      <c r="M217" s="464" t="s">
        <v>16</v>
      </c>
      <c r="N217" s="464" t="s">
        <v>16</v>
      </c>
      <c r="O217" s="464" t="s">
        <v>16</v>
      </c>
      <c r="P217" s="464" t="s">
        <v>16</v>
      </c>
      <c r="Q217" s="464" t="s">
        <v>16</v>
      </c>
      <c r="R217" s="464" t="s">
        <v>16</v>
      </c>
      <c r="S217" s="463" t="s">
        <v>16</v>
      </c>
      <c r="T217" s="464" t="s">
        <v>16</v>
      </c>
      <c r="U217" s="731" t="s">
        <v>16</v>
      </c>
    </row>
    <row r="218" spans="1:21" s="25" customFormat="1" ht="26.4" x14ac:dyDescent="0.3">
      <c r="A218" s="459"/>
      <c r="B218" s="460" t="s">
        <v>3600</v>
      </c>
      <c r="C218" s="461" t="s">
        <v>3586</v>
      </c>
      <c r="D218" s="460"/>
      <c r="E218" s="460" t="s">
        <v>3591</v>
      </c>
      <c r="F218" s="464" t="s">
        <v>16</v>
      </c>
      <c r="G218" s="464" t="s">
        <v>16</v>
      </c>
      <c r="H218" s="464" t="s">
        <v>16</v>
      </c>
      <c r="I218" s="464" t="s">
        <v>16</v>
      </c>
      <c r="J218" s="464" t="s">
        <v>16</v>
      </c>
      <c r="K218" s="464" t="s">
        <v>16</v>
      </c>
      <c r="L218" s="465" t="s">
        <v>16</v>
      </c>
      <c r="M218" s="464" t="s">
        <v>16</v>
      </c>
      <c r="N218" s="464" t="s">
        <v>16</v>
      </c>
      <c r="O218" s="464" t="s">
        <v>16</v>
      </c>
      <c r="P218" s="464" t="s">
        <v>16</v>
      </c>
      <c r="Q218" s="464" t="s">
        <v>16</v>
      </c>
      <c r="R218" s="464" t="s">
        <v>16</v>
      </c>
      <c r="S218" s="463" t="s">
        <v>16</v>
      </c>
      <c r="T218" s="464" t="s">
        <v>16</v>
      </c>
      <c r="U218" s="731" t="s">
        <v>16</v>
      </c>
    </row>
    <row r="219" spans="1:21" s="25" customFormat="1" ht="26.4" x14ac:dyDescent="0.3">
      <c r="A219" s="459"/>
      <c r="B219" s="460" t="s">
        <v>3601</v>
      </c>
      <c r="C219" s="461" t="s">
        <v>3586</v>
      </c>
      <c r="D219" s="460"/>
      <c r="E219" s="460" t="s">
        <v>3602</v>
      </c>
      <c r="F219" s="462" t="s">
        <v>16</v>
      </c>
      <c r="G219" s="462" t="s">
        <v>16</v>
      </c>
      <c r="H219" s="462" t="s">
        <v>16</v>
      </c>
      <c r="I219" s="462" t="s">
        <v>16</v>
      </c>
      <c r="J219" s="462" t="s">
        <v>16</v>
      </c>
      <c r="K219" s="462" t="s">
        <v>16</v>
      </c>
      <c r="L219" s="467" t="s">
        <v>16</v>
      </c>
      <c r="M219" s="462" t="s">
        <v>16</v>
      </c>
      <c r="N219" s="462" t="s">
        <v>16</v>
      </c>
      <c r="O219" s="462" t="s">
        <v>16</v>
      </c>
      <c r="P219" s="462" t="s">
        <v>16</v>
      </c>
      <c r="Q219" s="462" t="s">
        <v>16</v>
      </c>
      <c r="R219" s="462" t="s">
        <v>16</v>
      </c>
      <c r="S219" s="460"/>
      <c r="T219" s="461" t="s">
        <v>16</v>
      </c>
      <c r="U219" s="731" t="s">
        <v>16</v>
      </c>
    </row>
    <row r="220" spans="1:21" s="25" customFormat="1" ht="26.4" x14ac:dyDescent="0.3">
      <c r="A220" s="459"/>
      <c r="B220" s="460" t="s">
        <v>3603</v>
      </c>
      <c r="C220" s="461" t="s">
        <v>3586</v>
      </c>
      <c r="D220" s="460"/>
      <c r="E220" s="460" t="s">
        <v>3589</v>
      </c>
      <c r="F220" s="463" t="s">
        <v>16</v>
      </c>
      <c r="G220" s="462" t="s">
        <v>16</v>
      </c>
      <c r="H220" s="462" t="s">
        <v>16</v>
      </c>
      <c r="I220" s="462" t="s">
        <v>16</v>
      </c>
      <c r="J220" s="462" t="s">
        <v>16</v>
      </c>
      <c r="K220" s="462" t="s">
        <v>16</v>
      </c>
      <c r="L220" s="467" t="s">
        <v>16</v>
      </c>
      <c r="M220" s="462" t="s">
        <v>16</v>
      </c>
      <c r="N220" s="462" t="s">
        <v>16</v>
      </c>
      <c r="O220" s="462" t="s">
        <v>16</v>
      </c>
      <c r="P220" s="462" t="s">
        <v>16</v>
      </c>
      <c r="Q220" s="462" t="s">
        <v>16</v>
      </c>
      <c r="R220" s="462" t="s">
        <v>16</v>
      </c>
      <c r="S220" s="468" t="s">
        <v>16</v>
      </c>
      <c r="T220" s="464" t="s">
        <v>16</v>
      </c>
      <c r="U220" s="731" t="s">
        <v>16</v>
      </c>
    </row>
  </sheetData>
  <autoFilter ref="A1:U191" xr:uid="{A61A73AB-1626-40EA-9F49-CD2FF31A8C5C}"/>
  <customSheetViews>
    <customSheetView guid="{5F8FD084-40FB-49AA-B447-CD935F604D55}" showAutoFilter="1" hiddenRows="1" topLeftCell="G1">
      <pane ySplit="1" topLeftCell="A5" activePane="bottomLeft" state="frozen"/>
      <selection pane="bottomLeft" activeCell="J7" sqref="J7"/>
      <pageMargins left="0.75" right="0.75" top="1" bottom="1" header="0.5" footer="0.5"/>
      <pageSetup orientation="landscape" verticalDpi="1200" r:id="rId1"/>
      <headerFooter alignWithMargins="0"/>
      <autoFilter ref="A1:U187" xr:uid="{9C589D95-7F19-4223-A7B5-A6E5FA9DBBEF}"/>
    </customSheetView>
    <customSheetView guid="{5FD7D287-AC38-49FE-8AA5-C4506E353DCC}" showPageBreaks="1" showAutoFilter="1" hiddenRows="1" topLeftCell="P1">
      <pane ySplit="1" topLeftCell="A71" activePane="bottomLeft" state="frozen"/>
      <selection pane="bottomLeft" activeCell="Q76" sqref="Q76"/>
      <pageMargins left="0.75" right="0.75" top="1" bottom="1" header="0.5" footer="0.5"/>
      <pageSetup orientation="landscape" verticalDpi="1200" r:id="rId2"/>
      <headerFooter alignWithMargins="0"/>
      <autoFilter ref="A1:U187" xr:uid="{FD220EE1-6C7A-4449-B7AC-B8BBE5085DBC}"/>
    </customSheetView>
  </customSheetViews>
  <pageMargins left="0.75" right="0.75" top="1" bottom="1" header="0.5" footer="0.5"/>
  <pageSetup orientation="landscape" verticalDpi="1200" r:id="rId3"/>
  <headerFooter alignWithMargins="0"/>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44D1E4-A05E-42E4-8BB4-8AA43E182990}">
  <sheetPr codeName="Sheet7">
    <tabColor theme="4" tint="-0.499984740745262"/>
  </sheetPr>
  <dimension ref="A1:D91"/>
  <sheetViews>
    <sheetView zoomScale="90" zoomScaleNormal="90" workbookViewId="0">
      <pane ySplit="1" topLeftCell="A74" activePane="bottomLeft" state="frozen"/>
      <selection pane="bottomLeft" activeCell="A92" sqref="A92"/>
    </sheetView>
  </sheetViews>
  <sheetFormatPr defaultColWidth="8.88671875" defaultRowHeight="14.4" x14ac:dyDescent="0.25"/>
  <cols>
    <col min="1" max="1" width="63.33203125" style="168" bestFit="1" customWidth="1"/>
    <col min="2" max="2" width="7.6640625" style="178" customWidth="1"/>
    <col min="3" max="3" width="11.109375" style="167" bestFit="1" customWidth="1"/>
    <col min="4" max="4" width="4.5546875" style="167" bestFit="1" customWidth="1"/>
    <col min="5" max="16384" width="8.88671875" style="167"/>
  </cols>
  <sheetData>
    <row r="1" spans="1:4" ht="13.8" thickBot="1" x14ac:dyDescent="0.3">
      <c r="A1" s="164" t="s">
        <v>1985</v>
      </c>
      <c r="B1" s="166" t="s">
        <v>2068</v>
      </c>
      <c r="C1" s="176" t="s">
        <v>2069</v>
      </c>
      <c r="D1" s="177">
        <f>MAX(B:B)+1</f>
        <v>91</v>
      </c>
    </row>
    <row r="2" spans="1:4" x14ac:dyDescent="0.25">
      <c r="A2" s="168" t="s">
        <v>594</v>
      </c>
      <c r="B2" s="178">
        <v>1</v>
      </c>
    </row>
    <row r="3" spans="1:4" x14ac:dyDescent="0.25">
      <c r="A3" s="168" t="s">
        <v>578</v>
      </c>
      <c r="B3" s="178">
        <v>2</v>
      </c>
    </row>
    <row r="4" spans="1:4" x14ac:dyDescent="0.25">
      <c r="A4" s="168" t="s">
        <v>562</v>
      </c>
      <c r="B4" s="178">
        <v>3</v>
      </c>
    </row>
    <row r="5" spans="1:4" x14ac:dyDescent="0.25">
      <c r="A5" s="168" t="s">
        <v>1992</v>
      </c>
      <c r="B5" s="178">
        <v>4</v>
      </c>
    </row>
    <row r="6" spans="1:4" x14ac:dyDescent="0.25">
      <c r="A6" s="168" t="s">
        <v>1999</v>
      </c>
      <c r="B6" s="178">
        <v>5</v>
      </c>
    </row>
    <row r="7" spans="1:4" x14ac:dyDescent="0.25">
      <c r="A7" s="168" t="s">
        <v>2004</v>
      </c>
      <c r="B7" s="178">
        <v>6</v>
      </c>
    </row>
    <row r="8" spans="1:4" x14ac:dyDescent="0.25">
      <c r="A8" s="168" t="s">
        <v>1412</v>
      </c>
      <c r="B8" s="178">
        <v>7</v>
      </c>
    </row>
    <row r="9" spans="1:4" x14ac:dyDescent="0.25">
      <c r="A9" s="168" t="s">
        <v>514</v>
      </c>
      <c r="B9" s="178">
        <v>8</v>
      </c>
    </row>
    <row r="10" spans="1:4" ht="12.75" customHeight="1" x14ac:dyDescent="0.25">
      <c r="A10" s="168" t="s">
        <v>606</v>
      </c>
      <c r="B10" s="178">
        <v>9</v>
      </c>
    </row>
    <row r="11" spans="1:4" x14ac:dyDescent="0.25">
      <c r="A11" s="168" t="s">
        <v>767</v>
      </c>
      <c r="B11" s="178">
        <v>10</v>
      </c>
    </row>
    <row r="12" spans="1:4" x14ac:dyDescent="0.25">
      <c r="A12" s="168" t="s">
        <v>665</v>
      </c>
      <c r="B12" s="178">
        <v>11</v>
      </c>
    </row>
    <row r="13" spans="1:4" x14ac:dyDescent="0.25">
      <c r="A13" s="168" t="s">
        <v>1416</v>
      </c>
      <c r="B13" s="178">
        <v>12</v>
      </c>
    </row>
    <row r="14" spans="1:4" x14ac:dyDescent="0.25">
      <c r="A14" s="168" t="s">
        <v>465</v>
      </c>
      <c r="B14" s="178">
        <v>13</v>
      </c>
    </row>
    <row r="15" spans="1:4" x14ac:dyDescent="0.25">
      <c r="A15" s="168" t="s">
        <v>751</v>
      </c>
      <c r="B15" s="178">
        <v>14</v>
      </c>
    </row>
    <row r="16" spans="1:4" ht="26.4" x14ac:dyDescent="0.25">
      <c r="A16" s="168" t="s">
        <v>1471</v>
      </c>
      <c r="B16" s="178">
        <v>15</v>
      </c>
    </row>
    <row r="17" spans="1:2" ht="26.4" x14ac:dyDescent="0.25">
      <c r="A17" s="168" t="s">
        <v>1476</v>
      </c>
      <c r="B17" s="178">
        <v>16</v>
      </c>
    </row>
    <row r="18" spans="1:2" ht="26.4" x14ac:dyDescent="0.25">
      <c r="A18" s="168" t="s">
        <v>1486</v>
      </c>
      <c r="B18" s="178">
        <v>17</v>
      </c>
    </row>
    <row r="19" spans="1:2" x14ac:dyDescent="0.25">
      <c r="A19" s="168" t="s">
        <v>639</v>
      </c>
      <c r="B19" s="178">
        <v>18</v>
      </c>
    </row>
    <row r="20" spans="1:2" x14ac:dyDescent="0.25">
      <c r="A20" s="168" t="s">
        <v>2310</v>
      </c>
      <c r="B20" s="178">
        <v>19</v>
      </c>
    </row>
    <row r="21" spans="1:2" x14ac:dyDescent="0.25">
      <c r="A21" s="168" t="s">
        <v>2311</v>
      </c>
      <c r="B21" s="178">
        <v>20</v>
      </c>
    </row>
    <row r="22" spans="1:2" ht="26.4" x14ac:dyDescent="0.25">
      <c r="A22" s="168" t="s">
        <v>2312</v>
      </c>
      <c r="B22" s="178">
        <v>21</v>
      </c>
    </row>
    <row r="23" spans="1:2" x14ac:dyDescent="0.25">
      <c r="A23" s="168" t="s">
        <v>376</v>
      </c>
      <c r="B23" s="178">
        <v>22</v>
      </c>
    </row>
    <row r="24" spans="1:2" x14ac:dyDescent="0.25">
      <c r="A24" s="168" t="s">
        <v>576</v>
      </c>
      <c r="B24" s="178">
        <v>23</v>
      </c>
    </row>
    <row r="25" spans="1:2" x14ac:dyDescent="0.25">
      <c r="A25" s="168" t="s">
        <v>1773</v>
      </c>
      <c r="B25" s="178">
        <v>24</v>
      </c>
    </row>
    <row r="26" spans="1:2" x14ac:dyDescent="0.25">
      <c r="A26" s="168" t="s">
        <v>1792</v>
      </c>
      <c r="B26" s="178">
        <v>25</v>
      </c>
    </row>
    <row r="27" spans="1:2" x14ac:dyDescent="0.25">
      <c r="A27" s="168" t="s">
        <v>1816</v>
      </c>
      <c r="B27" s="178">
        <v>26</v>
      </c>
    </row>
    <row r="28" spans="1:2" x14ac:dyDescent="0.25">
      <c r="A28" s="168" t="s">
        <v>1826</v>
      </c>
      <c r="B28" s="178">
        <v>27</v>
      </c>
    </row>
    <row r="29" spans="1:2" x14ac:dyDescent="0.25">
      <c r="A29" s="168" t="s">
        <v>610</v>
      </c>
      <c r="B29" s="178">
        <v>28</v>
      </c>
    </row>
    <row r="30" spans="1:2" x14ac:dyDescent="0.25">
      <c r="A30" s="168" t="s">
        <v>2143</v>
      </c>
      <c r="B30" s="178">
        <v>29</v>
      </c>
    </row>
    <row r="31" spans="1:2" x14ac:dyDescent="0.25">
      <c r="A31" s="168" t="s">
        <v>474</v>
      </c>
      <c r="B31" s="178">
        <v>30</v>
      </c>
    </row>
    <row r="32" spans="1:2" x14ac:dyDescent="0.25">
      <c r="A32" s="168" t="s">
        <v>436</v>
      </c>
      <c r="B32" s="178">
        <v>31</v>
      </c>
    </row>
    <row r="33" spans="1:2" x14ac:dyDescent="0.25">
      <c r="A33" s="168" t="s">
        <v>502</v>
      </c>
      <c r="B33" s="178">
        <v>32</v>
      </c>
    </row>
    <row r="34" spans="1:2" x14ac:dyDescent="0.25">
      <c r="A34" s="168" t="s">
        <v>451</v>
      </c>
      <c r="B34" s="178">
        <v>33</v>
      </c>
    </row>
    <row r="35" spans="1:2" x14ac:dyDescent="0.25">
      <c r="A35" s="168" t="s">
        <v>573</v>
      </c>
      <c r="B35" s="178">
        <v>34</v>
      </c>
    </row>
    <row r="36" spans="1:2" x14ac:dyDescent="0.25">
      <c r="A36" s="168" t="s">
        <v>571</v>
      </c>
      <c r="B36" s="178">
        <v>35</v>
      </c>
    </row>
    <row r="37" spans="1:2" x14ac:dyDescent="0.25">
      <c r="A37" s="168" t="s">
        <v>448</v>
      </c>
      <c r="B37" s="178">
        <v>36</v>
      </c>
    </row>
    <row r="38" spans="1:2" x14ac:dyDescent="0.25">
      <c r="A38" s="168" t="s">
        <v>460</v>
      </c>
      <c r="B38" s="178">
        <v>37</v>
      </c>
    </row>
    <row r="39" spans="1:2" x14ac:dyDescent="0.25">
      <c r="A39" s="168" t="s">
        <v>615</v>
      </c>
      <c r="B39" s="178">
        <v>38</v>
      </c>
    </row>
    <row r="40" spans="1:2" x14ac:dyDescent="0.25">
      <c r="A40" s="168" t="s">
        <v>536</v>
      </c>
      <c r="B40" s="178">
        <v>39</v>
      </c>
    </row>
    <row r="41" spans="1:2" x14ac:dyDescent="0.25">
      <c r="A41" s="168" t="s">
        <v>1870</v>
      </c>
      <c r="B41" s="178">
        <v>40</v>
      </c>
    </row>
    <row r="42" spans="1:2" x14ac:dyDescent="0.25">
      <c r="A42" s="168" t="s">
        <v>964</v>
      </c>
      <c r="B42" s="178">
        <v>41</v>
      </c>
    </row>
    <row r="43" spans="1:2" x14ac:dyDescent="0.25">
      <c r="A43" s="168" t="s">
        <v>966</v>
      </c>
      <c r="B43" s="178">
        <v>42</v>
      </c>
    </row>
    <row r="44" spans="1:2" ht="28.5" customHeight="1" x14ac:dyDescent="0.25">
      <c r="A44" s="168" t="s">
        <v>1721</v>
      </c>
      <c r="B44" s="178">
        <v>43</v>
      </c>
    </row>
    <row r="45" spans="1:2" x14ac:dyDescent="0.25">
      <c r="A45" s="168" t="s">
        <v>1421</v>
      </c>
      <c r="B45" s="178">
        <v>44</v>
      </c>
    </row>
    <row r="46" spans="1:2" x14ac:dyDescent="0.25">
      <c r="A46" s="168" t="s">
        <v>488</v>
      </c>
      <c r="B46" s="178">
        <v>45</v>
      </c>
    </row>
    <row r="47" spans="1:2" ht="26.4" x14ac:dyDescent="0.25">
      <c r="A47" s="168" t="s">
        <v>1583</v>
      </c>
      <c r="B47" s="178">
        <v>46</v>
      </c>
    </row>
    <row r="48" spans="1:2" x14ac:dyDescent="0.25">
      <c r="A48" s="168" t="s">
        <v>1922</v>
      </c>
      <c r="B48" s="178">
        <v>47</v>
      </c>
    </row>
    <row r="49" spans="1:2" x14ac:dyDescent="0.25">
      <c r="A49" s="168" t="s">
        <v>2255</v>
      </c>
      <c r="B49" s="178">
        <v>48</v>
      </c>
    </row>
    <row r="50" spans="1:2" x14ac:dyDescent="0.25">
      <c r="A50" s="175" t="s">
        <v>2331</v>
      </c>
      <c r="B50" s="178">
        <v>49</v>
      </c>
    </row>
    <row r="51" spans="1:2" x14ac:dyDescent="0.25">
      <c r="A51" s="175" t="s">
        <v>1356</v>
      </c>
      <c r="B51" s="178">
        <v>50</v>
      </c>
    </row>
    <row r="52" spans="1:2" x14ac:dyDescent="0.25">
      <c r="A52" s="175" t="s">
        <v>1561</v>
      </c>
      <c r="B52" s="178">
        <v>51</v>
      </c>
    </row>
    <row r="53" spans="1:2" x14ac:dyDescent="0.25">
      <c r="A53" s="175" t="s">
        <v>1684</v>
      </c>
      <c r="B53" s="178">
        <v>52</v>
      </c>
    </row>
    <row r="54" spans="1:2" x14ac:dyDescent="0.25">
      <c r="A54" s="175" t="s">
        <v>482</v>
      </c>
      <c r="B54" s="178">
        <v>53</v>
      </c>
    </row>
    <row r="55" spans="1:2" x14ac:dyDescent="0.25">
      <c r="A55" s="175" t="s">
        <v>523</v>
      </c>
      <c r="B55" s="178">
        <v>54</v>
      </c>
    </row>
    <row r="56" spans="1:2" x14ac:dyDescent="0.25">
      <c r="A56" s="175" t="s">
        <v>2332</v>
      </c>
      <c r="B56" s="178">
        <v>55</v>
      </c>
    </row>
    <row r="57" spans="1:2" x14ac:dyDescent="0.25">
      <c r="A57" s="175" t="s">
        <v>695</v>
      </c>
      <c r="B57" s="178">
        <v>56</v>
      </c>
    </row>
    <row r="58" spans="1:2" x14ac:dyDescent="0.25">
      <c r="A58" s="175" t="s">
        <v>1856</v>
      </c>
      <c r="B58" s="178">
        <v>57</v>
      </c>
    </row>
    <row r="59" spans="1:2" x14ac:dyDescent="0.25">
      <c r="A59" s="175" t="s">
        <v>635</v>
      </c>
      <c r="B59" s="178">
        <v>58</v>
      </c>
    </row>
    <row r="60" spans="1:2" x14ac:dyDescent="0.25">
      <c r="A60" s="175" t="s">
        <v>704</v>
      </c>
      <c r="B60" s="178">
        <f>SUM(B59+1)</f>
        <v>59</v>
      </c>
    </row>
    <row r="61" spans="1:2" x14ac:dyDescent="0.25">
      <c r="A61" s="175" t="s">
        <v>658</v>
      </c>
      <c r="B61" s="178">
        <f t="shared" ref="B61:B89" si="0">SUM(B60+1)</f>
        <v>60</v>
      </c>
    </row>
    <row r="62" spans="1:2" x14ac:dyDescent="0.25">
      <c r="A62" s="175" t="s">
        <v>889</v>
      </c>
      <c r="B62" s="178">
        <f t="shared" si="0"/>
        <v>61</v>
      </c>
    </row>
    <row r="63" spans="1:2" x14ac:dyDescent="0.25">
      <c r="A63" s="175" t="s">
        <v>1804</v>
      </c>
      <c r="B63" s="178">
        <f t="shared" si="0"/>
        <v>62</v>
      </c>
    </row>
    <row r="64" spans="1:2" ht="26.4" x14ac:dyDescent="0.25">
      <c r="A64" s="175" t="s">
        <v>1479</v>
      </c>
      <c r="B64" s="178">
        <f t="shared" si="0"/>
        <v>63</v>
      </c>
    </row>
    <row r="65" spans="1:2" x14ac:dyDescent="0.25">
      <c r="A65" s="175" t="s">
        <v>1447</v>
      </c>
      <c r="B65" s="178">
        <f t="shared" si="0"/>
        <v>64</v>
      </c>
    </row>
    <row r="66" spans="1:2" ht="26.4" x14ac:dyDescent="0.25">
      <c r="A66" s="175" t="s">
        <v>1459</v>
      </c>
      <c r="B66" s="178">
        <f t="shared" si="0"/>
        <v>65</v>
      </c>
    </row>
    <row r="67" spans="1:2" x14ac:dyDescent="0.25">
      <c r="A67" s="175" t="s">
        <v>2333</v>
      </c>
      <c r="B67" s="178">
        <f t="shared" si="0"/>
        <v>66</v>
      </c>
    </row>
    <row r="68" spans="1:2" x14ac:dyDescent="0.25">
      <c r="A68" s="175" t="s">
        <v>597</v>
      </c>
      <c r="B68" s="178">
        <f t="shared" si="0"/>
        <v>67</v>
      </c>
    </row>
    <row r="69" spans="1:2" x14ac:dyDescent="0.25">
      <c r="A69" s="175" t="s">
        <v>2334</v>
      </c>
      <c r="B69" s="178">
        <f t="shared" si="0"/>
        <v>68</v>
      </c>
    </row>
    <row r="70" spans="1:2" x14ac:dyDescent="0.25">
      <c r="A70" s="175" t="s">
        <v>2325</v>
      </c>
      <c r="B70" s="178">
        <f t="shared" si="0"/>
        <v>69</v>
      </c>
    </row>
    <row r="71" spans="1:2" x14ac:dyDescent="0.25">
      <c r="A71" s="175" t="s">
        <v>2335</v>
      </c>
      <c r="B71" s="178">
        <f t="shared" si="0"/>
        <v>70</v>
      </c>
    </row>
    <row r="72" spans="1:2" x14ac:dyDescent="0.25">
      <c r="A72" s="175" t="s">
        <v>1572</v>
      </c>
      <c r="B72" s="178">
        <f t="shared" si="0"/>
        <v>71</v>
      </c>
    </row>
    <row r="73" spans="1:2" x14ac:dyDescent="0.25">
      <c r="A73" s="175" t="s">
        <v>1614</v>
      </c>
      <c r="B73" s="178">
        <f t="shared" si="0"/>
        <v>72</v>
      </c>
    </row>
    <row r="74" spans="1:2" x14ac:dyDescent="0.25">
      <c r="A74" s="175" t="s">
        <v>444</v>
      </c>
      <c r="B74" s="178">
        <f t="shared" si="0"/>
        <v>73</v>
      </c>
    </row>
    <row r="75" spans="1:2" x14ac:dyDescent="0.25">
      <c r="A75" s="175" t="s">
        <v>742</v>
      </c>
      <c r="B75" s="178">
        <f t="shared" si="0"/>
        <v>74</v>
      </c>
    </row>
    <row r="76" spans="1:2" x14ac:dyDescent="0.25">
      <c r="A76" s="175" t="s">
        <v>881</v>
      </c>
      <c r="B76" s="178">
        <f t="shared" si="0"/>
        <v>75</v>
      </c>
    </row>
    <row r="77" spans="1:2" x14ac:dyDescent="0.25">
      <c r="A77" s="175" t="s">
        <v>818</v>
      </c>
      <c r="B77" s="178">
        <f t="shared" si="0"/>
        <v>76</v>
      </c>
    </row>
    <row r="78" spans="1:2" x14ac:dyDescent="0.25">
      <c r="A78" s="175" t="s">
        <v>1438</v>
      </c>
      <c r="B78" s="178">
        <f t="shared" si="0"/>
        <v>77</v>
      </c>
    </row>
    <row r="79" spans="1:2" x14ac:dyDescent="0.25">
      <c r="A79" s="175" t="s">
        <v>582</v>
      </c>
      <c r="B79" s="178">
        <f t="shared" si="0"/>
        <v>78</v>
      </c>
    </row>
    <row r="80" spans="1:2" x14ac:dyDescent="0.25">
      <c r="A80" s="175" t="s">
        <v>1639</v>
      </c>
      <c r="B80" s="178">
        <f t="shared" si="0"/>
        <v>79</v>
      </c>
    </row>
    <row r="81" spans="1:2" x14ac:dyDescent="0.25">
      <c r="A81" s="174" t="s">
        <v>1831</v>
      </c>
      <c r="B81" s="178">
        <f t="shared" si="0"/>
        <v>80</v>
      </c>
    </row>
    <row r="82" spans="1:2" ht="26.4" x14ac:dyDescent="0.25">
      <c r="A82" s="174" t="s">
        <v>1781</v>
      </c>
      <c r="B82" s="178">
        <f t="shared" si="0"/>
        <v>81</v>
      </c>
    </row>
    <row r="83" spans="1:2" x14ac:dyDescent="0.25">
      <c r="A83" s="175" t="s">
        <v>1365</v>
      </c>
      <c r="B83" s="178">
        <f t="shared" si="0"/>
        <v>82</v>
      </c>
    </row>
    <row r="84" spans="1:2" x14ac:dyDescent="0.25">
      <c r="A84" s="174" t="s">
        <v>1504</v>
      </c>
      <c r="B84" s="178">
        <f t="shared" si="0"/>
        <v>83</v>
      </c>
    </row>
    <row r="85" spans="1:2" x14ac:dyDescent="0.25">
      <c r="A85" s="174" t="s">
        <v>661</v>
      </c>
      <c r="B85" s="178">
        <f t="shared" si="0"/>
        <v>84</v>
      </c>
    </row>
    <row r="86" spans="1:2" ht="26.4" x14ac:dyDescent="0.25">
      <c r="A86" s="174" t="s">
        <v>1541</v>
      </c>
      <c r="B86" s="178">
        <f t="shared" si="0"/>
        <v>85</v>
      </c>
    </row>
    <row r="87" spans="1:2" x14ac:dyDescent="0.25">
      <c r="A87" s="175" t="s">
        <v>2109</v>
      </c>
      <c r="B87" s="178">
        <f t="shared" si="0"/>
        <v>86</v>
      </c>
    </row>
    <row r="88" spans="1:2" x14ac:dyDescent="0.25">
      <c r="A88" s="732" t="s">
        <v>4202</v>
      </c>
      <c r="B88" s="178">
        <f t="shared" si="0"/>
        <v>87</v>
      </c>
    </row>
    <row r="89" spans="1:2" x14ac:dyDescent="0.25">
      <c r="A89" s="732" t="s">
        <v>3916</v>
      </c>
      <c r="B89" s="178">
        <f t="shared" si="0"/>
        <v>88</v>
      </c>
    </row>
    <row r="90" spans="1:2" x14ac:dyDescent="0.25">
      <c r="A90" s="175" t="s">
        <v>4221</v>
      </c>
      <c r="B90" s="178">
        <v>89</v>
      </c>
    </row>
    <row r="91" spans="1:2" x14ac:dyDescent="0.25">
      <c r="A91" s="1003" t="s">
        <v>4293</v>
      </c>
      <c r="B91" s="1004">
        <v>90</v>
      </c>
    </row>
  </sheetData>
  <customSheetViews>
    <customSheetView guid="{5F8FD084-40FB-49AA-B447-CD935F604D55}" scale="90">
      <pane ySplit="1" topLeftCell="A85" activePane="bottomLeft" state="frozen"/>
      <selection pane="bottomLeft" activeCell="F66" sqref="F66"/>
      <pageMargins left="0.7" right="0.7" top="0.75" bottom="0.75" header="0.3" footer="0.3"/>
      <pageSetup orientation="portrait" r:id="rId1"/>
    </customSheetView>
    <customSheetView guid="{5FD7D287-AC38-49FE-8AA5-C4506E353DCC}" scale="90" showPageBreaks="1">
      <pane ySplit="1" topLeftCell="A85" activePane="bottomLeft" state="frozen"/>
      <selection pane="bottomLeft" activeCell="F66" sqref="F66"/>
      <pageMargins left="0.7" right="0.7" top="0.75" bottom="0.75" header="0.3" footer="0.3"/>
      <pageSetup orientation="portrait" r:id="rId2"/>
    </customSheetView>
  </customSheetViews>
  <pageMargins left="0.7" right="0.7" top="0.75" bottom="0.75" header="0.3" footer="0.3"/>
  <pageSetup orientation="portrait"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1255A4-B393-48F4-B622-FFF4031BA91F}">
  <sheetPr codeName="Sheet8">
    <tabColor theme="4" tint="-0.499984740745262"/>
  </sheetPr>
  <dimension ref="A1:H142"/>
  <sheetViews>
    <sheetView zoomScale="80" zoomScaleNormal="80" workbookViewId="0">
      <pane ySplit="1" topLeftCell="A107" activePane="bottomLeft" state="frozen"/>
      <selection pane="bottomLeft" activeCell="A134" sqref="A134"/>
    </sheetView>
  </sheetViews>
  <sheetFormatPr defaultColWidth="8.88671875" defaultRowHeight="14.4" x14ac:dyDescent="0.25"/>
  <cols>
    <col min="1" max="1" width="33.5546875" style="168" bestFit="1" customWidth="1"/>
    <col min="2" max="2" width="52.109375" style="168" customWidth="1"/>
    <col min="3" max="3" width="9.6640625" style="169" customWidth="1"/>
    <col min="4" max="4" width="8.6640625" style="170" customWidth="1"/>
    <col min="5" max="5" width="13.6640625" style="171" customWidth="1"/>
    <col min="6" max="8" width="8.88671875" style="167"/>
    <col min="9" max="9" width="8.88671875" style="167" customWidth="1"/>
    <col min="10" max="16384" width="8.88671875" style="167"/>
  </cols>
  <sheetData>
    <row r="1" spans="1:8" ht="27" thickBot="1" x14ac:dyDescent="0.3">
      <c r="A1" s="163" t="s">
        <v>1326</v>
      </c>
      <c r="B1" s="164" t="s">
        <v>1985</v>
      </c>
      <c r="C1" s="165" t="s">
        <v>2068</v>
      </c>
      <c r="D1" s="166" t="s">
        <v>2070</v>
      </c>
      <c r="E1" s="165" t="s">
        <v>1984</v>
      </c>
    </row>
    <row r="2" spans="1:8" x14ac:dyDescent="0.25">
      <c r="A2" s="168" t="s">
        <v>592</v>
      </c>
      <c r="B2" s="168" t="s">
        <v>594</v>
      </c>
      <c r="C2" s="169">
        <v>1</v>
      </c>
      <c r="D2" s="170">
        <v>1</v>
      </c>
      <c r="E2" s="171" t="str">
        <f t="shared" ref="E2:E65" si="0">CONCATENATE(TEXT(C2,"100#"),"-",TEXT(D2,"00#"))</f>
        <v>1001-001</v>
      </c>
    </row>
    <row r="3" spans="1:8" x14ac:dyDescent="0.25">
      <c r="A3" s="168" t="s">
        <v>394</v>
      </c>
      <c r="B3" s="168" t="s">
        <v>594</v>
      </c>
      <c r="C3" s="169">
        <v>1</v>
      </c>
      <c r="D3" s="170">
        <v>2</v>
      </c>
      <c r="E3" s="171" t="str">
        <f t="shared" si="0"/>
        <v>1001-002</v>
      </c>
    </row>
    <row r="4" spans="1:8" x14ac:dyDescent="0.25">
      <c r="A4" s="168" t="s">
        <v>744</v>
      </c>
      <c r="B4" s="168" t="s">
        <v>578</v>
      </c>
      <c r="C4" s="169">
        <v>2</v>
      </c>
      <c r="D4" s="170">
        <v>1</v>
      </c>
      <c r="E4" s="171" t="str">
        <f t="shared" si="0"/>
        <v>1002-001</v>
      </c>
      <c r="G4" s="172"/>
    </row>
    <row r="5" spans="1:8" x14ac:dyDescent="0.25">
      <c r="A5" s="168" t="s">
        <v>2307</v>
      </c>
      <c r="B5" s="168" t="s">
        <v>562</v>
      </c>
      <c r="C5" s="169">
        <v>3</v>
      </c>
      <c r="D5" s="170">
        <v>1</v>
      </c>
      <c r="E5" s="171" t="str">
        <f t="shared" si="0"/>
        <v>1003-001</v>
      </c>
      <c r="H5" s="167" t="s">
        <v>2249</v>
      </c>
    </row>
    <row r="6" spans="1:8" x14ac:dyDescent="0.25">
      <c r="A6" s="168" t="s">
        <v>671</v>
      </c>
      <c r="B6" s="168" t="s">
        <v>1992</v>
      </c>
      <c r="C6" s="169">
        <v>4</v>
      </c>
      <c r="D6" s="170">
        <v>1</v>
      </c>
      <c r="E6" s="171" t="str">
        <f t="shared" si="0"/>
        <v>1004-001</v>
      </c>
      <c r="H6" s="167" t="s">
        <v>2250</v>
      </c>
    </row>
    <row r="7" spans="1:8" x14ac:dyDescent="0.25">
      <c r="A7" s="168" t="s">
        <v>876</v>
      </c>
      <c r="B7" s="168" t="s">
        <v>1992</v>
      </c>
      <c r="C7" s="169">
        <v>4</v>
      </c>
      <c r="D7" s="170">
        <v>2</v>
      </c>
      <c r="E7" s="171" t="str">
        <f t="shared" si="0"/>
        <v>1004-002</v>
      </c>
      <c r="H7" s="167" t="s">
        <v>2251</v>
      </c>
    </row>
    <row r="8" spans="1:8" x14ac:dyDescent="0.25">
      <c r="A8" s="168" t="s">
        <v>1997</v>
      </c>
      <c r="B8" s="168" t="s">
        <v>1999</v>
      </c>
      <c r="C8" s="169">
        <v>5</v>
      </c>
      <c r="D8" s="170">
        <v>1</v>
      </c>
      <c r="E8" s="171" t="str">
        <f t="shared" si="0"/>
        <v>1005-001</v>
      </c>
    </row>
    <row r="9" spans="1:8" x14ac:dyDescent="0.25">
      <c r="A9" s="168" t="s">
        <v>2002</v>
      </c>
      <c r="B9" s="168" t="s">
        <v>2004</v>
      </c>
      <c r="C9" s="169">
        <v>6</v>
      </c>
      <c r="D9" s="170">
        <v>1</v>
      </c>
      <c r="E9" s="171" t="str">
        <f t="shared" si="0"/>
        <v>1006-001</v>
      </c>
    </row>
    <row r="10" spans="1:8" x14ac:dyDescent="0.25">
      <c r="A10" s="168" t="s">
        <v>602</v>
      </c>
      <c r="B10" s="168" t="s">
        <v>2004</v>
      </c>
      <c r="C10" s="169">
        <v>6</v>
      </c>
      <c r="D10" s="170">
        <v>2</v>
      </c>
      <c r="E10" s="171" t="str">
        <f t="shared" si="0"/>
        <v>1006-002</v>
      </c>
    </row>
    <row r="11" spans="1:8" x14ac:dyDescent="0.25">
      <c r="A11" s="168" t="s">
        <v>2007</v>
      </c>
      <c r="B11" s="168" t="s">
        <v>1412</v>
      </c>
      <c r="C11" s="169">
        <v>7</v>
      </c>
      <c r="D11" s="170">
        <v>1</v>
      </c>
      <c r="E11" s="171" t="str">
        <f t="shared" si="0"/>
        <v>1007-001</v>
      </c>
    </row>
    <row r="12" spans="1:8" x14ac:dyDescent="0.25">
      <c r="A12" s="168" t="s">
        <v>512</v>
      </c>
      <c r="B12" s="168" t="s">
        <v>514</v>
      </c>
      <c r="C12" s="169">
        <v>8</v>
      </c>
      <c r="D12" s="170">
        <v>1</v>
      </c>
      <c r="E12" s="171" t="str">
        <f t="shared" si="0"/>
        <v>1008-001</v>
      </c>
    </row>
    <row r="13" spans="1:8" ht="26.4" x14ac:dyDescent="0.25">
      <c r="A13" s="168" t="s">
        <v>414</v>
      </c>
      <c r="B13" s="168" t="s">
        <v>606</v>
      </c>
      <c r="C13" s="169">
        <v>9</v>
      </c>
      <c r="D13" s="173">
        <v>1</v>
      </c>
      <c r="E13" s="171" t="str">
        <f t="shared" si="0"/>
        <v>1009-001</v>
      </c>
    </row>
    <row r="14" spans="1:8" ht="26.4" x14ac:dyDescent="0.25">
      <c r="A14" s="168" t="s">
        <v>428</v>
      </c>
      <c r="B14" s="168" t="s">
        <v>606</v>
      </c>
      <c r="C14" s="169">
        <v>9</v>
      </c>
      <c r="D14" s="173">
        <v>2</v>
      </c>
      <c r="E14" s="171" t="str">
        <f t="shared" si="0"/>
        <v>1009-002</v>
      </c>
    </row>
    <row r="15" spans="1:8" ht="26.4" x14ac:dyDescent="0.25">
      <c r="A15" s="168" t="s">
        <v>2254</v>
      </c>
      <c r="B15" s="168" t="s">
        <v>606</v>
      </c>
      <c r="C15" s="169">
        <v>9</v>
      </c>
      <c r="D15" s="173">
        <v>3</v>
      </c>
      <c r="E15" s="171" t="str">
        <f>CONCATENATE(TEXT(C15,"100#"),"-",TEXT(D15,"00#"))</f>
        <v>1009-003</v>
      </c>
    </row>
    <row r="16" spans="1:8" x14ac:dyDescent="0.25">
      <c r="A16" s="168" t="s">
        <v>343</v>
      </c>
      <c r="B16" s="168" t="s">
        <v>767</v>
      </c>
      <c r="C16" s="169">
        <v>10</v>
      </c>
      <c r="D16" s="170">
        <v>1</v>
      </c>
      <c r="E16" s="171" t="str">
        <f t="shared" si="0"/>
        <v>1010-001</v>
      </c>
    </row>
    <row r="17" spans="1:5" x14ac:dyDescent="0.25">
      <c r="A17" s="168" t="s">
        <v>397</v>
      </c>
      <c r="B17" s="168" t="s">
        <v>665</v>
      </c>
      <c r="C17" s="169">
        <v>11</v>
      </c>
      <c r="D17" s="170">
        <v>1</v>
      </c>
      <c r="E17" s="171" t="str">
        <f t="shared" si="0"/>
        <v>1011-001</v>
      </c>
    </row>
    <row r="18" spans="1:5" x14ac:dyDescent="0.25">
      <c r="A18" s="168" t="s">
        <v>389</v>
      </c>
      <c r="B18" s="168" t="s">
        <v>1416</v>
      </c>
      <c r="C18" s="169">
        <v>12</v>
      </c>
      <c r="D18" s="170">
        <v>2</v>
      </c>
      <c r="E18" s="171" t="str">
        <f>CONCATENATE(TEXT(C18,"100#"),"-",TEXT(D18,"00#"))</f>
        <v>1012-002</v>
      </c>
    </row>
    <row r="19" spans="1:5" x14ac:dyDescent="0.25">
      <c r="A19" s="168" t="s">
        <v>2308</v>
      </c>
      <c r="B19" s="168" t="s">
        <v>465</v>
      </c>
      <c r="C19" s="169">
        <v>13</v>
      </c>
      <c r="D19" s="170">
        <v>1</v>
      </c>
      <c r="E19" s="171" t="str">
        <f t="shared" si="0"/>
        <v>1013-001</v>
      </c>
    </row>
    <row r="20" spans="1:5" x14ac:dyDescent="0.25">
      <c r="A20" s="168" t="s">
        <v>348</v>
      </c>
      <c r="B20" s="168" t="s">
        <v>751</v>
      </c>
      <c r="C20" s="169">
        <v>14</v>
      </c>
      <c r="D20" s="170">
        <v>1</v>
      </c>
      <c r="E20" s="171" t="str">
        <f t="shared" si="0"/>
        <v>1014-001</v>
      </c>
    </row>
    <row r="21" spans="1:5" ht="26.4" x14ac:dyDescent="0.25">
      <c r="A21" s="168" t="s">
        <v>361</v>
      </c>
      <c r="B21" s="168" t="s">
        <v>1471</v>
      </c>
      <c r="C21" s="169">
        <v>15</v>
      </c>
      <c r="D21" s="170">
        <v>2</v>
      </c>
      <c r="E21" s="171" t="str">
        <f t="shared" si="0"/>
        <v>1015-002</v>
      </c>
    </row>
    <row r="22" spans="1:5" ht="26.4" x14ac:dyDescent="0.25">
      <c r="A22" s="168" t="s">
        <v>354</v>
      </c>
      <c r="B22" s="168" t="s">
        <v>1476</v>
      </c>
      <c r="C22" s="169">
        <v>16</v>
      </c>
      <c r="D22" s="170">
        <v>1</v>
      </c>
      <c r="E22" s="171" t="str">
        <f t="shared" si="0"/>
        <v>1016-001</v>
      </c>
    </row>
    <row r="23" spans="1:5" ht="39.6" x14ac:dyDescent="0.25">
      <c r="A23" s="168" t="s">
        <v>2023</v>
      </c>
      <c r="B23" s="168" t="s">
        <v>1486</v>
      </c>
      <c r="C23" s="169">
        <v>17</v>
      </c>
      <c r="D23" s="170">
        <v>1</v>
      </c>
      <c r="E23" s="171" t="str">
        <f t="shared" si="0"/>
        <v>1017-001</v>
      </c>
    </row>
    <row r="24" spans="1:5" ht="39.6" x14ac:dyDescent="0.25">
      <c r="A24" s="168" t="s">
        <v>642</v>
      </c>
      <c r="B24" s="168" t="s">
        <v>1486</v>
      </c>
      <c r="C24" s="169">
        <v>17</v>
      </c>
      <c r="D24" s="170">
        <v>2</v>
      </c>
      <c r="E24" s="171" t="str">
        <f>CONCATENATE(TEXT(C24,"100#"),"-",TEXT(D24,"00#"))</f>
        <v>1017-002</v>
      </c>
    </row>
    <row r="25" spans="1:5" x14ac:dyDescent="0.25">
      <c r="A25" s="168" t="s">
        <v>403</v>
      </c>
      <c r="B25" s="168" t="s">
        <v>639</v>
      </c>
      <c r="C25" s="169">
        <v>18</v>
      </c>
      <c r="D25" s="170">
        <v>1</v>
      </c>
      <c r="E25" s="171" t="str">
        <f t="shared" si="0"/>
        <v>1018-001</v>
      </c>
    </row>
    <row r="26" spans="1:5" x14ac:dyDescent="0.25">
      <c r="A26" s="168" t="s">
        <v>2309</v>
      </c>
      <c r="B26" s="168" t="s">
        <v>2310</v>
      </c>
      <c r="C26" s="169">
        <v>19</v>
      </c>
      <c r="D26" s="170">
        <v>1</v>
      </c>
      <c r="E26" s="171" t="str">
        <f t="shared" si="0"/>
        <v>1019-001</v>
      </c>
    </row>
    <row r="27" spans="1:5" x14ac:dyDescent="0.25">
      <c r="A27" s="168" t="s">
        <v>322</v>
      </c>
      <c r="B27" s="168" t="s">
        <v>2311</v>
      </c>
      <c r="C27" s="169">
        <v>20</v>
      </c>
      <c r="D27" s="170">
        <v>1</v>
      </c>
      <c r="E27" s="171" t="str">
        <f t="shared" si="0"/>
        <v>1020-001</v>
      </c>
    </row>
    <row r="28" spans="1:5" ht="26.4" x14ac:dyDescent="0.25">
      <c r="A28" s="168" t="s">
        <v>748</v>
      </c>
      <c r="B28" s="168" t="s">
        <v>2312</v>
      </c>
      <c r="C28" s="169">
        <v>21</v>
      </c>
      <c r="D28" s="170">
        <v>1</v>
      </c>
      <c r="E28" s="171" t="str">
        <f t="shared" si="0"/>
        <v>1021-001</v>
      </c>
    </row>
    <row r="29" spans="1:5" x14ac:dyDescent="0.25">
      <c r="A29" s="168" t="s">
        <v>646</v>
      </c>
      <c r="B29" s="168" t="s">
        <v>376</v>
      </c>
      <c r="C29" s="169">
        <v>22</v>
      </c>
      <c r="D29" s="170">
        <v>1</v>
      </c>
      <c r="E29" s="171" t="str">
        <f t="shared" si="0"/>
        <v>1022-001</v>
      </c>
    </row>
    <row r="30" spans="1:5" x14ac:dyDescent="0.25">
      <c r="A30" s="168" t="s">
        <v>822</v>
      </c>
      <c r="B30" s="168" t="s">
        <v>376</v>
      </c>
      <c r="C30" s="169">
        <v>22</v>
      </c>
      <c r="D30" s="170">
        <v>2</v>
      </c>
      <c r="E30" s="171" t="str">
        <f t="shared" si="0"/>
        <v>1022-002</v>
      </c>
    </row>
    <row r="31" spans="1:5" x14ac:dyDescent="0.25">
      <c r="A31" s="168" t="s">
        <v>351</v>
      </c>
      <c r="B31" s="168" t="s">
        <v>576</v>
      </c>
      <c r="C31" s="169">
        <v>23</v>
      </c>
      <c r="D31" s="170">
        <v>1</v>
      </c>
      <c r="E31" s="171" t="str">
        <f t="shared" si="0"/>
        <v>1023-001</v>
      </c>
    </row>
    <row r="32" spans="1:5" x14ac:dyDescent="0.25">
      <c r="A32" s="168" t="s">
        <v>1771</v>
      </c>
      <c r="B32" s="168" t="s">
        <v>1773</v>
      </c>
      <c r="C32" s="169">
        <v>24</v>
      </c>
      <c r="D32" s="170">
        <v>1</v>
      </c>
      <c r="E32" s="171" t="str">
        <f t="shared" si="0"/>
        <v>1024-001</v>
      </c>
    </row>
    <row r="33" spans="1:5" x14ac:dyDescent="0.25">
      <c r="A33" s="168" t="s">
        <v>366</v>
      </c>
      <c r="B33" s="168" t="s">
        <v>1792</v>
      </c>
      <c r="C33" s="169">
        <v>25</v>
      </c>
      <c r="D33" s="170">
        <v>1</v>
      </c>
      <c r="E33" s="171" t="str">
        <f t="shared" si="0"/>
        <v>1025-001</v>
      </c>
    </row>
    <row r="34" spans="1:5" x14ac:dyDescent="0.25">
      <c r="A34" s="168" t="s">
        <v>439</v>
      </c>
      <c r="B34" s="168" t="s">
        <v>1816</v>
      </c>
      <c r="C34" s="169">
        <v>26</v>
      </c>
      <c r="D34" s="170">
        <v>1</v>
      </c>
      <c r="E34" s="171" t="str">
        <f t="shared" si="0"/>
        <v>1026-001</v>
      </c>
    </row>
    <row r="35" spans="1:5" x14ac:dyDescent="0.25">
      <c r="A35" s="168" t="s">
        <v>930</v>
      </c>
      <c r="B35" s="168" t="s">
        <v>1816</v>
      </c>
      <c r="C35" s="169">
        <v>26</v>
      </c>
      <c r="D35" s="170">
        <v>2</v>
      </c>
      <c r="E35" s="171" t="str">
        <f t="shared" si="0"/>
        <v>1026-002</v>
      </c>
    </row>
    <row r="36" spans="1:5" x14ac:dyDescent="0.25">
      <c r="A36" s="168" t="s">
        <v>2313</v>
      </c>
      <c r="B36" s="168" t="s">
        <v>1816</v>
      </c>
      <c r="C36" s="169">
        <v>26</v>
      </c>
      <c r="D36" s="170">
        <v>3</v>
      </c>
      <c r="E36" s="171" t="str">
        <f t="shared" si="0"/>
        <v>1026-003</v>
      </c>
    </row>
    <row r="37" spans="1:5" x14ac:dyDescent="0.25">
      <c r="A37" s="168" t="s">
        <v>309</v>
      </c>
      <c r="B37" s="168" t="s">
        <v>1826</v>
      </c>
      <c r="C37" s="169">
        <v>27</v>
      </c>
      <c r="D37" s="170">
        <v>1</v>
      </c>
      <c r="E37" s="171" t="str">
        <f t="shared" si="0"/>
        <v>1027-001</v>
      </c>
    </row>
    <row r="38" spans="1:5" x14ac:dyDescent="0.25">
      <c r="A38" s="168" t="s">
        <v>2314</v>
      </c>
      <c r="B38" s="168" t="s">
        <v>610</v>
      </c>
      <c r="C38" s="169">
        <v>28</v>
      </c>
      <c r="D38" s="170">
        <v>1</v>
      </c>
      <c r="E38" s="171" t="str">
        <f t="shared" si="0"/>
        <v>1028-001</v>
      </c>
    </row>
    <row r="39" spans="1:5" x14ac:dyDescent="0.25">
      <c r="A39" s="168" t="s">
        <v>917</v>
      </c>
      <c r="B39" s="168" t="s">
        <v>2143</v>
      </c>
      <c r="C39" s="169">
        <v>29</v>
      </c>
      <c r="D39" s="170">
        <v>1</v>
      </c>
      <c r="E39" s="171" t="str">
        <f t="shared" si="0"/>
        <v>1029-001</v>
      </c>
    </row>
    <row r="40" spans="1:5" x14ac:dyDescent="0.25">
      <c r="A40" s="168" t="s">
        <v>1898</v>
      </c>
      <c r="B40" s="168" t="s">
        <v>474</v>
      </c>
      <c r="C40" s="169">
        <v>30</v>
      </c>
      <c r="D40" s="170">
        <v>1</v>
      </c>
      <c r="E40" s="171" t="str">
        <f t="shared" si="0"/>
        <v>1030-001</v>
      </c>
    </row>
    <row r="41" spans="1:5" x14ac:dyDescent="0.25">
      <c r="A41" s="168" t="s">
        <v>411</v>
      </c>
      <c r="B41" s="168" t="s">
        <v>502</v>
      </c>
      <c r="C41" s="169">
        <v>32</v>
      </c>
      <c r="D41" s="170">
        <v>1</v>
      </c>
      <c r="E41" s="171" t="str">
        <f t="shared" si="0"/>
        <v>1032-001</v>
      </c>
    </row>
    <row r="42" spans="1:5" x14ac:dyDescent="0.25">
      <c r="A42" s="168" t="s">
        <v>506</v>
      </c>
      <c r="B42" s="168" t="s">
        <v>451</v>
      </c>
      <c r="C42" s="169">
        <v>33</v>
      </c>
      <c r="D42" s="170">
        <v>1</v>
      </c>
      <c r="E42" s="171" t="str">
        <f t="shared" si="0"/>
        <v>1033-001</v>
      </c>
    </row>
    <row r="43" spans="1:5" x14ac:dyDescent="0.25">
      <c r="A43" s="168" t="s">
        <v>392</v>
      </c>
      <c r="B43" s="168" t="s">
        <v>451</v>
      </c>
      <c r="C43" s="169">
        <v>33</v>
      </c>
      <c r="D43" s="170">
        <v>2</v>
      </c>
      <c r="E43" s="171" t="str">
        <f t="shared" si="0"/>
        <v>1033-002</v>
      </c>
    </row>
    <row r="44" spans="1:5" x14ac:dyDescent="0.25">
      <c r="A44" s="168" t="s">
        <v>779</v>
      </c>
      <c r="B44" s="168" t="s">
        <v>573</v>
      </c>
      <c r="C44" s="169">
        <v>34</v>
      </c>
      <c r="D44" s="170">
        <v>1</v>
      </c>
      <c r="E44" s="171" t="str">
        <f t="shared" si="0"/>
        <v>1034-001</v>
      </c>
    </row>
    <row r="45" spans="1:5" x14ac:dyDescent="0.25">
      <c r="A45" s="168" t="s">
        <v>404</v>
      </c>
      <c r="B45" s="168" t="s">
        <v>573</v>
      </c>
      <c r="C45" s="169">
        <v>34</v>
      </c>
      <c r="D45" s="170">
        <v>2</v>
      </c>
      <c r="E45" s="171" t="str">
        <f t="shared" si="0"/>
        <v>1034-002</v>
      </c>
    </row>
    <row r="46" spans="1:5" x14ac:dyDescent="0.25">
      <c r="A46" s="168" t="s">
        <v>651</v>
      </c>
      <c r="B46" s="168" t="s">
        <v>573</v>
      </c>
      <c r="C46" s="169">
        <v>34</v>
      </c>
      <c r="D46" s="170">
        <v>3</v>
      </c>
      <c r="E46" s="171" t="str">
        <f t="shared" si="0"/>
        <v>1034-003</v>
      </c>
    </row>
    <row r="47" spans="1:5" x14ac:dyDescent="0.25">
      <c r="A47" s="168" t="s">
        <v>2315</v>
      </c>
      <c r="B47" s="168" t="s">
        <v>573</v>
      </c>
      <c r="C47" s="169">
        <v>34</v>
      </c>
      <c r="D47" s="170">
        <v>4</v>
      </c>
      <c r="E47" s="171" t="str">
        <f t="shared" si="0"/>
        <v>1034-004</v>
      </c>
    </row>
    <row r="48" spans="1:5" x14ac:dyDescent="0.25">
      <c r="A48" s="168" t="s">
        <v>1526</v>
      </c>
      <c r="B48" s="168" t="s">
        <v>571</v>
      </c>
      <c r="C48" s="169">
        <v>35</v>
      </c>
      <c r="D48" s="170">
        <v>1</v>
      </c>
      <c r="E48" s="171" t="str">
        <f t="shared" si="0"/>
        <v>1035-001</v>
      </c>
    </row>
    <row r="49" spans="1:5" x14ac:dyDescent="0.25">
      <c r="A49" s="168" t="s">
        <v>2316</v>
      </c>
      <c r="B49" s="168" t="s">
        <v>448</v>
      </c>
      <c r="C49" s="169">
        <v>36</v>
      </c>
      <c r="D49" s="170">
        <v>1</v>
      </c>
      <c r="E49" s="171" t="str">
        <f t="shared" si="0"/>
        <v>1036-001</v>
      </c>
    </row>
    <row r="50" spans="1:5" x14ac:dyDescent="0.25">
      <c r="A50" s="168" t="s">
        <v>424</v>
      </c>
      <c r="B50" s="168" t="s">
        <v>460</v>
      </c>
      <c r="C50" s="169">
        <v>37</v>
      </c>
      <c r="D50" s="170">
        <v>1</v>
      </c>
      <c r="E50" s="171" t="str">
        <f t="shared" si="0"/>
        <v>1037-001</v>
      </c>
    </row>
    <row r="51" spans="1:5" x14ac:dyDescent="0.25">
      <c r="A51" s="168" t="s">
        <v>413</v>
      </c>
      <c r="B51" s="168" t="s">
        <v>460</v>
      </c>
      <c r="C51" s="169">
        <v>37</v>
      </c>
      <c r="D51" s="170">
        <v>2</v>
      </c>
      <c r="E51" s="171" t="str">
        <f t="shared" si="0"/>
        <v>1037-002</v>
      </c>
    </row>
    <row r="52" spans="1:5" x14ac:dyDescent="0.25">
      <c r="A52" s="168" t="s">
        <v>810</v>
      </c>
      <c r="B52" s="168" t="s">
        <v>460</v>
      </c>
      <c r="C52" s="169">
        <v>37</v>
      </c>
      <c r="D52" s="170">
        <v>3</v>
      </c>
      <c r="E52" s="171" t="str">
        <f t="shared" si="0"/>
        <v>1037-003</v>
      </c>
    </row>
    <row r="53" spans="1:5" x14ac:dyDescent="0.25">
      <c r="A53" s="168" t="s">
        <v>2064</v>
      </c>
      <c r="B53" s="168" t="s">
        <v>460</v>
      </c>
      <c r="C53" s="169">
        <v>37</v>
      </c>
      <c r="D53" s="170">
        <v>4</v>
      </c>
      <c r="E53" s="171" t="str">
        <f t="shared" si="0"/>
        <v>1037-004</v>
      </c>
    </row>
    <row r="54" spans="1:5" x14ac:dyDescent="0.25">
      <c r="A54" s="168" t="s">
        <v>865</v>
      </c>
      <c r="B54" s="168" t="s">
        <v>460</v>
      </c>
      <c r="C54" s="169">
        <v>37</v>
      </c>
      <c r="D54" s="170">
        <v>5</v>
      </c>
      <c r="E54" s="171" t="str">
        <f t="shared" si="0"/>
        <v>1037-005</v>
      </c>
    </row>
    <row r="55" spans="1:5" x14ac:dyDescent="0.25">
      <c r="A55" s="168" t="s">
        <v>722</v>
      </c>
      <c r="B55" s="168" t="s">
        <v>436</v>
      </c>
      <c r="C55" s="169">
        <v>31</v>
      </c>
      <c r="D55" s="170">
        <v>1</v>
      </c>
      <c r="E55" s="171" t="str">
        <f t="shared" si="0"/>
        <v>1031-001</v>
      </c>
    </row>
    <row r="56" spans="1:5" x14ac:dyDescent="0.25">
      <c r="A56" s="168" t="s">
        <v>1945</v>
      </c>
      <c r="B56" s="168" t="s">
        <v>615</v>
      </c>
      <c r="C56" s="169">
        <v>38</v>
      </c>
      <c r="D56" s="170">
        <v>1</v>
      </c>
      <c r="E56" s="171" t="str">
        <f t="shared" si="0"/>
        <v>1038-001</v>
      </c>
    </row>
    <row r="57" spans="1:5" x14ac:dyDescent="0.25">
      <c r="A57" s="168" t="s">
        <v>1522</v>
      </c>
      <c r="B57" s="168" t="s">
        <v>536</v>
      </c>
      <c r="C57" s="169">
        <v>39</v>
      </c>
      <c r="D57" s="170">
        <v>1</v>
      </c>
      <c r="E57" s="171" t="str">
        <f t="shared" si="0"/>
        <v>1039-001</v>
      </c>
    </row>
    <row r="58" spans="1:5" x14ac:dyDescent="0.25">
      <c r="A58" s="168" t="s">
        <v>1868</v>
      </c>
      <c r="B58" s="168" t="s">
        <v>1870</v>
      </c>
      <c r="C58" s="169">
        <v>40</v>
      </c>
      <c r="D58" s="170">
        <v>1</v>
      </c>
      <c r="E58" s="171" t="str">
        <f t="shared" si="0"/>
        <v>1040-001</v>
      </c>
    </row>
    <row r="59" spans="1:5" x14ac:dyDescent="0.25">
      <c r="A59" s="168" t="s">
        <v>412</v>
      </c>
      <c r="B59" s="168" t="s">
        <v>964</v>
      </c>
      <c r="C59" s="169">
        <v>41</v>
      </c>
      <c r="D59" s="170">
        <v>1</v>
      </c>
      <c r="E59" s="171" t="str">
        <f t="shared" si="0"/>
        <v>1041-001</v>
      </c>
    </row>
    <row r="60" spans="1:5" x14ac:dyDescent="0.25">
      <c r="A60" s="168" t="s">
        <v>1634</v>
      </c>
      <c r="B60" s="168" t="s">
        <v>966</v>
      </c>
      <c r="C60" s="169">
        <v>42</v>
      </c>
      <c r="D60" s="170">
        <v>1</v>
      </c>
      <c r="E60" s="171" t="str">
        <f t="shared" si="0"/>
        <v>1042-001</v>
      </c>
    </row>
    <row r="61" spans="1:5" ht="26.4" x14ac:dyDescent="0.25">
      <c r="A61" s="168" t="s">
        <v>1719</v>
      </c>
      <c r="B61" s="168" t="s">
        <v>1721</v>
      </c>
      <c r="C61" s="169">
        <v>43</v>
      </c>
      <c r="D61" s="170">
        <v>1</v>
      </c>
      <c r="E61" s="171" t="str">
        <f t="shared" si="0"/>
        <v>1043-001</v>
      </c>
    </row>
    <row r="62" spans="1:5" x14ac:dyDescent="0.25">
      <c r="A62" s="168" t="s">
        <v>2122</v>
      </c>
      <c r="B62" s="168" t="s">
        <v>1421</v>
      </c>
      <c r="C62" s="169">
        <v>44</v>
      </c>
      <c r="D62" s="170">
        <v>1</v>
      </c>
      <c r="E62" s="171" t="str">
        <f t="shared" si="0"/>
        <v>1044-001</v>
      </c>
    </row>
    <row r="63" spans="1:5" x14ac:dyDescent="0.25">
      <c r="A63" s="168" t="s">
        <v>2162</v>
      </c>
      <c r="B63" s="168" t="s">
        <v>488</v>
      </c>
      <c r="C63" s="169">
        <v>45</v>
      </c>
      <c r="D63" s="170">
        <v>1</v>
      </c>
      <c r="E63" s="171" t="str">
        <f t="shared" si="0"/>
        <v>1045-001</v>
      </c>
    </row>
    <row r="64" spans="1:5" ht="26.4" x14ac:dyDescent="0.25">
      <c r="A64" s="168" t="s">
        <v>1591</v>
      </c>
      <c r="B64" s="168" t="s">
        <v>1583</v>
      </c>
      <c r="C64" s="169">
        <v>46</v>
      </c>
      <c r="D64" s="170">
        <v>1</v>
      </c>
      <c r="E64" s="171" t="str">
        <f t="shared" si="0"/>
        <v>1046-001</v>
      </c>
    </row>
    <row r="65" spans="1:5" x14ac:dyDescent="0.25">
      <c r="A65" s="168" t="s">
        <v>2168</v>
      </c>
      <c r="B65" s="168" t="s">
        <v>1416</v>
      </c>
      <c r="C65" s="169">
        <v>12</v>
      </c>
      <c r="D65" s="170">
        <v>1</v>
      </c>
      <c r="E65" s="171" t="str">
        <f t="shared" si="0"/>
        <v>1012-001</v>
      </c>
    </row>
    <row r="66" spans="1:5" x14ac:dyDescent="0.25">
      <c r="A66" s="168" t="s">
        <v>899</v>
      </c>
      <c r="B66" s="168" t="s">
        <v>1922</v>
      </c>
      <c r="C66" s="169">
        <v>47</v>
      </c>
      <c r="D66" s="170">
        <v>1</v>
      </c>
      <c r="E66" s="171" t="str">
        <f t="shared" ref="E66:E129" si="1">CONCATENATE(TEXT(C66,"100#"),"-",TEXT(D66,"00#"))</f>
        <v>1047-001</v>
      </c>
    </row>
    <row r="67" spans="1:5" x14ac:dyDescent="0.25">
      <c r="A67" s="168" t="s">
        <v>2256</v>
      </c>
      <c r="B67" s="168" t="s">
        <v>2255</v>
      </c>
      <c r="C67" s="169">
        <v>48</v>
      </c>
      <c r="D67" s="170">
        <v>1</v>
      </c>
      <c r="E67" s="171" t="str">
        <f t="shared" si="1"/>
        <v>1048-001</v>
      </c>
    </row>
    <row r="68" spans="1:5" x14ac:dyDescent="0.25">
      <c r="A68" s="168" t="s">
        <v>1674</v>
      </c>
      <c r="B68" s="168" t="s">
        <v>460</v>
      </c>
      <c r="C68" s="169">
        <v>37</v>
      </c>
      <c r="D68" s="170">
        <v>6</v>
      </c>
      <c r="E68" s="171" t="str">
        <f t="shared" si="1"/>
        <v>1037-006</v>
      </c>
    </row>
    <row r="69" spans="1:5" x14ac:dyDescent="0.25">
      <c r="A69" s="168" t="s">
        <v>2317</v>
      </c>
      <c r="B69" s="168" t="s">
        <v>966</v>
      </c>
      <c r="C69" s="169">
        <v>42</v>
      </c>
      <c r="D69" s="170">
        <v>2</v>
      </c>
      <c r="E69" s="171" t="str">
        <f t="shared" si="1"/>
        <v>1042-002</v>
      </c>
    </row>
    <row r="70" spans="1:5" ht="26.4" x14ac:dyDescent="0.25">
      <c r="A70" s="168" t="s">
        <v>2318</v>
      </c>
      <c r="B70" s="168" t="s">
        <v>1471</v>
      </c>
      <c r="C70" s="169">
        <v>15</v>
      </c>
      <c r="D70" s="170">
        <v>1</v>
      </c>
      <c r="E70" s="171" t="str">
        <f t="shared" si="1"/>
        <v>1015-001</v>
      </c>
    </row>
    <row r="71" spans="1:5" x14ac:dyDescent="0.25">
      <c r="A71" s="168" t="s">
        <v>2319</v>
      </c>
      <c r="B71" s="168" t="s">
        <v>460</v>
      </c>
      <c r="C71" s="169">
        <v>37</v>
      </c>
      <c r="D71" s="170">
        <v>7</v>
      </c>
      <c r="E71" s="171" t="str">
        <f t="shared" si="1"/>
        <v>1037-007</v>
      </c>
    </row>
    <row r="72" spans="1:5" ht="26.4" x14ac:dyDescent="0.25">
      <c r="A72" s="168" t="s">
        <v>356</v>
      </c>
      <c r="B72" s="168" t="s">
        <v>1459</v>
      </c>
      <c r="C72" s="169">
        <v>65</v>
      </c>
      <c r="D72" s="170">
        <v>1</v>
      </c>
      <c r="E72" s="171" t="str">
        <f t="shared" si="1"/>
        <v>1065-001</v>
      </c>
    </row>
    <row r="73" spans="1:5" x14ac:dyDescent="0.25">
      <c r="A73" s="168" t="s">
        <v>934</v>
      </c>
      <c r="B73" s="168" t="s">
        <v>444</v>
      </c>
      <c r="C73" s="169">
        <v>73</v>
      </c>
      <c r="D73" s="170">
        <v>1</v>
      </c>
      <c r="E73" s="171" t="str">
        <f t="shared" si="1"/>
        <v>1073-001</v>
      </c>
    </row>
    <row r="74" spans="1:5" x14ac:dyDescent="0.25">
      <c r="A74" s="168" t="s">
        <v>1809</v>
      </c>
      <c r="B74" s="168" t="s">
        <v>1804</v>
      </c>
      <c r="C74" s="169">
        <v>62</v>
      </c>
      <c r="D74" s="170">
        <v>1</v>
      </c>
      <c r="E74" s="171" t="str">
        <f t="shared" si="1"/>
        <v>1062-001</v>
      </c>
    </row>
    <row r="75" spans="1:5" x14ac:dyDescent="0.25">
      <c r="A75" s="174" t="s">
        <v>884</v>
      </c>
      <c r="B75" s="168" t="s">
        <v>436</v>
      </c>
      <c r="C75" s="169">
        <v>31</v>
      </c>
      <c r="D75" s="170">
        <v>2</v>
      </c>
      <c r="E75" s="171" t="str">
        <f t="shared" si="1"/>
        <v>1031-002</v>
      </c>
    </row>
    <row r="76" spans="1:5" x14ac:dyDescent="0.25">
      <c r="A76" s="168" t="s">
        <v>1350</v>
      </c>
      <c r="B76" s="175" t="s">
        <v>742</v>
      </c>
      <c r="C76" s="169">
        <v>74</v>
      </c>
      <c r="D76" s="170">
        <v>1</v>
      </c>
      <c r="E76" s="171" t="str">
        <f t="shared" si="1"/>
        <v>1074-001</v>
      </c>
    </row>
    <row r="77" spans="1:5" x14ac:dyDescent="0.25">
      <c r="A77" s="168" t="s">
        <v>1796</v>
      </c>
      <c r="B77" s="168" t="s">
        <v>1792</v>
      </c>
      <c r="C77" s="169">
        <v>25</v>
      </c>
      <c r="D77" s="170">
        <v>2</v>
      </c>
      <c r="E77" s="171" t="str">
        <f t="shared" si="1"/>
        <v>1025-002</v>
      </c>
    </row>
    <row r="78" spans="1:5" x14ac:dyDescent="0.25">
      <c r="A78" s="168" t="s">
        <v>1854</v>
      </c>
      <c r="B78" s="168" t="s">
        <v>1856</v>
      </c>
      <c r="C78" s="169">
        <v>57</v>
      </c>
      <c r="D78" s="170">
        <v>1</v>
      </c>
      <c r="E78" s="171" t="str">
        <f t="shared" si="1"/>
        <v>1057-001</v>
      </c>
    </row>
    <row r="79" spans="1:5" x14ac:dyDescent="0.25">
      <c r="A79" s="168" t="s">
        <v>2320</v>
      </c>
      <c r="B79" s="168" t="s">
        <v>881</v>
      </c>
      <c r="C79" s="169">
        <v>75</v>
      </c>
      <c r="D79" s="170">
        <v>1</v>
      </c>
      <c r="E79" s="171" t="str">
        <f t="shared" si="1"/>
        <v>1075-001</v>
      </c>
    </row>
    <row r="80" spans="1:5" ht="26.4" x14ac:dyDescent="0.25">
      <c r="A80" s="168" t="s">
        <v>429</v>
      </c>
      <c r="B80" s="175" t="s">
        <v>1459</v>
      </c>
      <c r="C80" s="169">
        <v>65</v>
      </c>
      <c r="D80" s="170">
        <v>2</v>
      </c>
      <c r="E80" s="171" t="str">
        <f t="shared" si="1"/>
        <v>1065-002</v>
      </c>
    </row>
    <row r="81" spans="1:5" x14ac:dyDescent="0.25">
      <c r="A81" s="168" t="s">
        <v>1382</v>
      </c>
      <c r="B81" s="168" t="s">
        <v>818</v>
      </c>
      <c r="C81" s="169">
        <v>76</v>
      </c>
      <c r="D81" s="170">
        <v>1</v>
      </c>
      <c r="E81" s="171" t="str">
        <f t="shared" si="1"/>
        <v>1076-001</v>
      </c>
    </row>
    <row r="82" spans="1:5" x14ac:dyDescent="0.25">
      <c r="A82" s="168" t="s">
        <v>1437</v>
      </c>
      <c r="B82" s="168" t="s">
        <v>1438</v>
      </c>
      <c r="C82" s="169">
        <v>77</v>
      </c>
      <c r="D82" s="170">
        <v>1</v>
      </c>
      <c r="E82" s="171" t="str">
        <f t="shared" si="1"/>
        <v>1077-001</v>
      </c>
    </row>
    <row r="83" spans="1:5" x14ac:dyDescent="0.25">
      <c r="A83" s="168" t="s">
        <v>1961</v>
      </c>
      <c r="B83" s="168" t="s">
        <v>573</v>
      </c>
      <c r="C83" s="169">
        <v>34</v>
      </c>
      <c r="D83" s="170">
        <v>3</v>
      </c>
      <c r="E83" s="171" t="str">
        <f t="shared" si="1"/>
        <v>1034-003</v>
      </c>
    </row>
    <row r="84" spans="1:5" x14ac:dyDescent="0.25">
      <c r="A84" s="168" t="s">
        <v>409</v>
      </c>
      <c r="B84" s="175" t="s">
        <v>582</v>
      </c>
      <c r="C84" s="169">
        <v>78</v>
      </c>
      <c r="D84" s="170">
        <v>1</v>
      </c>
      <c r="E84" s="171" t="str">
        <f t="shared" si="1"/>
        <v>1078-001</v>
      </c>
    </row>
    <row r="85" spans="1:5" x14ac:dyDescent="0.25">
      <c r="A85" s="168" t="s">
        <v>1637</v>
      </c>
      <c r="B85" s="168" t="s">
        <v>1639</v>
      </c>
      <c r="C85" s="169">
        <v>79</v>
      </c>
      <c r="D85" s="170">
        <v>1</v>
      </c>
      <c r="E85" s="171" t="str">
        <f t="shared" si="1"/>
        <v>1079-001</v>
      </c>
    </row>
    <row r="86" spans="1:5" ht="26.4" x14ac:dyDescent="0.25">
      <c r="A86" s="168" t="s">
        <v>616</v>
      </c>
      <c r="B86" s="168" t="s">
        <v>2312</v>
      </c>
      <c r="C86" s="169">
        <v>21</v>
      </c>
      <c r="D86" s="170">
        <v>2</v>
      </c>
      <c r="E86" s="171" t="str">
        <f t="shared" si="1"/>
        <v>1021-002</v>
      </c>
    </row>
    <row r="87" spans="1:5" x14ac:dyDescent="0.25">
      <c r="A87" s="168" t="s">
        <v>2321</v>
      </c>
      <c r="B87" s="168" t="s">
        <v>523</v>
      </c>
      <c r="C87" s="169">
        <v>54</v>
      </c>
      <c r="D87" s="170">
        <v>1</v>
      </c>
      <c r="E87" s="171" t="str">
        <f t="shared" si="1"/>
        <v>1054-001</v>
      </c>
    </row>
    <row r="88" spans="1:5" x14ac:dyDescent="0.25">
      <c r="A88" s="168" t="s">
        <v>1706</v>
      </c>
      <c r="B88" s="175" t="s">
        <v>658</v>
      </c>
      <c r="C88" s="169">
        <v>60</v>
      </c>
      <c r="D88" s="170">
        <v>1</v>
      </c>
      <c r="E88" s="171" t="str">
        <f t="shared" si="1"/>
        <v>1060-001</v>
      </c>
    </row>
    <row r="89" spans="1:5" ht="26.4" x14ac:dyDescent="0.25">
      <c r="A89" s="168" t="s">
        <v>628</v>
      </c>
      <c r="B89" s="175" t="s">
        <v>1479</v>
      </c>
      <c r="C89" s="169">
        <v>63</v>
      </c>
      <c r="D89" s="170">
        <v>1</v>
      </c>
      <c r="E89" s="171" t="str">
        <f t="shared" si="1"/>
        <v>1063-001</v>
      </c>
    </row>
    <row r="90" spans="1:5" x14ac:dyDescent="0.25">
      <c r="A90" s="168" t="s">
        <v>470</v>
      </c>
      <c r="B90" s="175" t="s">
        <v>444</v>
      </c>
      <c r="C90" s="169">
        <v>73</v>
      </c>
      <c r="D90" s="170">
        <v>2</v>
      </c>
      <c r="E90" s="171" t="str">
        <f t="shared" si="1"/>
        <v>1073-002</v>
      </c>
    </row>
    <row r="91" spans="1:5" ht="26.4" x14ac:dyDescent="0.25">
      <c r="A91" s="174" t="s">
        <v>1446</v>
      </c>
      <c r="B91" s="175" t="s">
        <v>1447</v>
      </c>
      <c r="C91" s="169">
        <v>64</v>
      </c>
      <c r="D91" s="170">
        <v>1</v>
      </c>
      <c r="E91" s="171" t="str">
        <f t="shared" si="1"/>
        <v>1064-001</v>
      </c>
    </row>
    <row r="92" spans="1:5" x14ac:dyDescent="0.25">
      <c r="A92" s="168" t="s">
        <v>2322</v>
      </c>
      <c r="B92" s="175" t="s">
        <v>1561</v>
      </c>
      <c r="C92" s="169">
        <v>51</v>
      </c>
      <c r="D92" s="170">
        <v>1</v>
      </c>
      <c r="E92" s="171" t="str">
        <f t="shared" si="1"/>
        <v>1051-001</v>
      </c>
    </row>
    <row r="93" spans="1:5" x14ac:dyDescent="0.25">
      <c r="A93" s="168" t="s">
        <v>708</v>
      </c>
      <c r="B93" s="175" t="s">
        <v>523</v>
      </c>
      <c r="C93" s="169">
        <v>54</v>
      </c>
      <c r="D93" s="170">
        <v>2</v>
      </c>
      <c r="E93" s="171" t="str">
        <f t="shared" si="1"/>
        <v>1054-002</v>
      </c>
    </row>
    <row r="94" spans="1:5" x14ac:dyDescent="0.25">
      <c r="A94" s="168" t="s">
        <v>496</v>
      </c>
      <c r="B94" s="168" t="s">
        <v>488</v>
      </c>
      <c r="C94" s="169">
        <v>45</v>
      </c>
      <c r="D94" s="170">
        <v>2</v>
      </c>
      <c r="E94" s="171" t="str">
        <f t="shared" si="1"/>
        <v>1045-002</v>
      </c>
    </row>
    <row r="95" spans="1:5" x14ac:dyDescent="0.25">
      <c r="A95" s="168" t="s">
        <v>1745</v>
      </c>
      <c r="B95" s="175" t="s">
        <v>523</v>
      </c>
      <c r="C95" s="169">
        <v>54</v>
      </c>
      <c r="D95" s="170">
        <v>3</v>
      </c>
      <c r="E95" s="171" t="str">
        <f t="shared" si="1"/>
        <v>1054-003</v>
      </c>
    </row>
    <row r="96" spans="1:5" x14ac:dyDescent="0.25">
      <c r="A96" s="174" t="s">
        <v>1889</v>
      </c>
      <c r="B96" s="168" t="s">
        <v>2143</v>
      </c>
      <c r="C96" s="169">
        <v>29</v>
      </c>
      <c r="D96" s="170">
        <v>2</v>
      </c>
      <c r="E96" s="171" t="str">
        <f t="shared" si="1"/>
        <v>1029-002</v>
      </c>
    </row>
    <row r="97" spans="1:5" x14ac:dyDescent="0.25">
      <c r="A97" s="174" t="s">
        <v>1830</v>
      </c>
      <c r="B97" s="174" t="s">
        <v>1831</v>
      </c>
      <c r="C97" s="169">
        <v>80</v>
      </c>
      <c r="D97" s="170">
        <v>1</v>
      </c>
      <c r="E97" s="171" t="str">
        <f t="shared" si="1"/>
        <v>1080-001</v>
      </c>
    </row>
    <row r="98" spans="1:5" x14ac:dyDescent="0.25">
      <c r="A98" s="174" t="s">
        <v>913</v>
      </c>
      <c r="B98" s="174" t="s">
        <v>523</v>
      </c>
      <c r="C98" s="169">
        <v>54</v>
      </c>
      <c r="D98" s="170">
        <v>4</v>
      </c>
      <c r="E98" s="171" t="str">
        <f t="shared" si="1"/>
        <v>1054-004</v>
      </c>
    </row>
    <row r="99" spans="1:5" x14ac:dyDescent="0.25">
      <c r="A99" s="174" t="s">
        <v>892</v>
      </c>
      <c r="B99" s="174" t="s">
        <v>889</v>
      </c>
      <c r="C99" s="169">
        <v>61</v>
      </c>
      <c r="D99" s="170">
        <v>1</v>
      </c>
      <c r="E99" s="171" t="str">
        <f t="shared" si="1"/>
        <v>1061-001</v>
      </c>
    </row>
    <row r="100" spans="1:5" x14ac:dyDescent="0.25">
      <c r="A100" s="174" t="s">
        <v>2077</v>
      </c>
      <c r="B100" s="174" t="s">
        <v>964</v>
      </c>
      <c r="C100" s="169">
        <v>41</v>
      </c>
      <c r="D100" s="170">
        <v>2</v>
      </c>
      <c r="E100" s="171" t="str">
        <f t="shared" si="1"/>
        <v>1041-002</v>
      </c>
    </row>
    <row r="101" spans="1:5" x14ac:dyDescent="0.25">
      <c r="A101" s="168" t="s">
        <v>2206</v>
      </c>
      <c r="B101" s="168" t="s">
        <v>571</v>
      </c>
      <c r="C101" s="169">
        <v>35</v>
      </c>
      <c r="D101" s="170">
        <v>2</v>
      </c>
      <c r="E101" s="171" t="str">
        <f t="shared" si="1"/>
        <v>1035-002</v>
      </c>
    </row>
    <row r="102" spans="1:5" x14ac:dyDescent="0.25">
      <c r="A102" s="168" t="s">
        <v>2156</v>
      </c>
      <c r="B102" s="168" t="s">
        <v>1356</v>
      </c>
      <c r="C102" s="169">
        <v>50</v>
      </c>
      <c r="D102" s="170">
        <v>1</v>
      </c>
      <c r="E102" s="171" t="str">
        <f t="shared" si="1"/>
        <v>1050-001</v>
      </c>
    </row>
    <row r="103" spans="1:5" x14ac:dyDescent="0.25">
      <c r="A103" s="168" t="s">
        <v>2323</v>
      </c>
      <c r="B103" s="168" t="s">
        <v>451</v>
      </c>
      <c r="C103" s="169">
        <v>33</v>
      </c>
      <c r="D103" s="170">
        <v>3</v>
      </c>
      <c r="E103" s="171" t="str">
        <f t="shared" si="1"/>
        <v>1033-003</v>
      </c>
    </row>
    <row r="104" spans="1:5" x14ac:dyDescent="0.25">
      <c r="A104" s="168" t="s">
        <v>1570</v>
      </c>
      <c r="B104" s="175" t="s">
        <v>1572</v>
      </c>
      <c r="C104" s="169">
        <v>71</v>
      </c>
      <c r="D104" s="170">
        <v>1</v>
      </c>
      <c r="E104" s="171" t="str">
        <f t="shared" si="1"/>
        <v>1071-001</v>
      </c>
    </row>
    <row r="105" spans="1:5" x14ac:dyDescent="0.25">
      <c r="A105" s="168" t="s">
        <v>1812</v>
      </c>
      <c r="B105" s="175" t="s">
        <v>1804</v>
      </c>
      <c r="C105" s="169">
        <v>62</v>
      </c>
      <c r="D105" s="170">
        <v>2</v>
      </c>
      <c r="E105" s="171" t="str">
        <f t="shared" si="1"/>
        <v>1062-002</v>
      </c>
    </row>
    <row r="106" spans="1:5" x14ac:dyDescent="0.25">
      <c r="A106" s="168" t="s">
        <v>2324</v>
      </c>
      <c r="B106" s="175" t="s">
        <v>635</v>
      </c>
      <c r="C106" s="169">
        <v>58</v>
      </c>
      <c r="D106" s="170">
        <v>1</v>
      </c>
      <c r="E106" s="171" t="str">
        <f t="shared" si="1"/>
        <v>1058-001</v>
      </c>
    </row>
    <row r="107" spans="1:5" x14ac:dyDescent="0.25">
      <c r="A107" s="168" t="s">
        <v>1800</v>
      </c>
      <c r="B107" s="168" t="s">
        <v>1792</v>
      </c>
      <c r="C107" s="169">
        <v>25</v>
      </c>
      <c r="D107" s="170">
        <v>3</v>
      </c>
      <c r="E107" s="171" t="str">
        <f t="shared" si="1"/>
        <v>1025-003</v>
      </c>
    </row>
    <row r="108" spans="1:5" x14ac:dyDescent="0.25">
      <c r="A108" s="168" t="s">
        <v>2239</v>
      </c>
      <c r="B108" s="175" t="s">
        <v>482</v>
      </c>
      <c r="C108" s="169">
        <v>53</v>
      </c>
      <c r="D108" s="170">
        <v>1</v>
      </c>
      <c r="E108" s="171" t="str">
        <f t="shared" si="1"/>
        <v>1053-001</v>
      </c>
    </row>
    <row r="109" spans="1:5" x14ac:dyDescent="0.25">
      <c r="A109" s="168" t="s">
        <v>1612</v>
      </c>
      <c r="B109" s="175" t="s">
        <v>1614</v>
      </c>
      <c r="C109" s="169">
        <v>72</v>
      </c>
      <c r="D109" s="170">
        <v>1</v>
      </c>
      <c r="E109" s="171" t="str">
        <f t="shared" si="1"/>
        <v>1072-001</v>
      </c>
    </row>
    <row r="110" spans="1:5" ht="26.4" x14ac:dyDescent="0.25">
      <c r="A110" s="168" t="s">
        <v>2127</v>
      </c>
      <c r="B110" s="174" t="s">
        <v>1781</v>
      </c>
      <c r="C110" s="169">
        <v>81</v>
      </c>
      <c r="D110" s="170">
        <v>1</v>
      </c>
      <c r="E110" s="171" t="str">
        <f t="shared" si="1"/>
        <v>1081-001</v>
      </c>
    </row>
    <row r="111" spans="1:5" x14ac:dyDescent="0.25">
      <c r="A111" s="174" t="s">
        <v>1596</v>
      </c>
      <c r="B111" s="175" t="s">
        <v>704</v>
      </c>
      <c r="C111" s="169">
        <v>59</v>
      </c>
      <c r="D111" s="170">
        <v>1</v>
      </c>
      <c r="E111" s="171" t="str">
        <f t="shared" si="1"/>
        <v>1059-001</v>
      </c>
    </row>
    <row r="112" spans="1:5" x14ac:dyDescent="0.25">
      <c r="A112" s="174" t="s">
        <v>925</v>
      </c>
      <c r="B112" s="175" t="s">
        <v>2325</v>
      </c>
      <c r="C112" s="169">
        <v>69</v>
      </c>
      <c r="D112" s="170">
        <v>1</v>
      </c>
      <c r="E112" s="171" t="str">
        <f t="shared" si="1"/>
        <v>1069-001</v>
      </c>
    </row>
    <row r="113" spans="1:5" x14ac:dyDescent="0.25">
      <c r="A113" s="174" t="s">
        <v>1681</v>
      </c>
      <c r="B113" s="175" t="s">
        <v>1684</v>
      </c>
      <c r="C113" s="169">
        <v>52</v>
      </c>
      <c r="D113" s="170">
        <v>1</v>
      </c>
      <c r="E113" s="171" t="str">
        <f t="shared" si="1"/>
        <v>1052-001</v>
      </c>
    </row>
    <row r="114" spans="1:5" x14ac:dyDescent="0.25">
      <c r="A114" s="174" t="s">
        <v>1849</v>
      </c>
      <c r="B114" s="175" t="s">
        <v>695</v>
      </c>
      <c r="C114" s="169">
        <v>56</v>
      </c>
      <c r="D114" s="170">
        <v>1</v>
      </c>
      <c r="E114" s="171" t="str">
        <f t="shared" si="1"/>
        <v>1056-001</v>
      </c>
    </row>
    <row r="115" spans="1:5" x14ac:dyDescent="0.25">
      <c r="A115" s="174" t="s">
        <v>1407</v>
      </c>
      <c r="B115" s="168" t="s">
        <v>514</v>
      </c>
      <c r="C115" s="169">
        <v>8</v>
      </c>
      <c r="D115" s="170">
        <v>2</v>
      </c>
      <c r="E115" s="171" t="str">
        <f t="shared" si="1"/>
        <v>1008-002</v>
      </c>
    </row>
    <row r="116" spans="1:5" x14ac:dyDescent="0.25">
      <c r="A116" s="174" t="s">
        <v>2179</v>
      </c>
      <c r="B116" s="168" t="s">
        <v>1365</v>
      </c>
      <c r="C116" s="169">
        <v>82</v>
      </c>
      <c r="D116" s="170">
        <v>1</v>
      </c>
      <c r="E116" s="171" t="str">
        <f t="shared" si="1"/>
        <v>1082-001</v>
      </c>
    </row>
    <row r="117" spans="1:5" x14ac:dyDescent="0.25">
      <c r="A117" s="174" t="s">
        <v>1502</v>
      </c>
      <c r="B117" s="174" t="s">
        <v>1504</v>
      </c>
      <c r="C117" s="169">
        <v>83</v>
      </c>
      <c r="D117" s="170">
        <v>1</v>
      </c>
      <c r="E117" s="171" t="str">
        <f t="shared" si="1"/>
        <v>1083-001</v>
      </c>
    </row>
    <row r="118" spans="1:5" x14ac:dyDescent="0.25">
      <c r="A118" s="174" t="s">
        <v>660</v>
      </c>
      <c r="B118" s="174" t="s">
        <v>661</v>
      </c>
      <c r="C118" s="169">
        <v>84</v>
      </c>
      <c r="D118" s="170">
        <v>1</v>
      </c>
      <c r="E118" s="171" t="str">
        <f t="shared" si="1"/>
        <v>1084-001</v>
      </c>
    </row>
    <row r="119" spans="1:5" ht="26.4" x14ac:dyDescent="0.25">
      <c r="A119" s="174" t="s">
        <v>2132</v>
      </c>
      <c r="B119" s="174" t="s">
        <v>1541</v>
      </c>
      <c r="C119" s="169">
        <v>85</v>
      </c>
      <c r="D119" s="170">
        <v>1</v>
      </c>
      <c r="E119" s="171" t="str">
        <f t="shared" si="1"/>
        <v>1085-001</v>
      </c>
    </row>
    <row r="120" spans="1:5" x14ac:dyDescent="0.25">
      <c r="A120" s="168" t="s">
        <v>2093</v>
      </c>
      <c r="B120" s="168" t="s">
        <v>1999</v>
      </c>
      <c r="C120" s="169">
        <v>5</v>
      </c>
      <c r="D120" s="170">
        <v>2</v>
      </c>
      <c r="E120" s="171" t="str">
        <f t="shared" si="1"/>
        <v>1005-002</v>
      </c>
    </row>
    <row r="121" spans="1:5" x14ac:dyDescent="0.25">
      <c r="A121" s="169" t="s">
        <v>2326</v>
      </c>
      <c r="B121" s="175" t="s">
        <v>2109</v>
      </c>
      <c r="C121" s="169">
        <v>86</v>
      </c>
      <c r="D121" s="170">
        <v>1</v>
      </c>
      <c r="E121" s="171" t="str">
        <f t="shared" si="1"/>
        <v>1086-001</v>
      </c>
    </row>
    <row r="122" spans="1:5" x14ac:dyDescent="0.25">
      <c r="A122" s="168" t="s">
        <v>2327</v>
      </c>
      <c r="B122" s="168" t="s">
        <v>451</v>
      </c>
      <c r="C122" s="169">
        <v>33</v>
      </c>
      <c r="D122" s="170">
        <v>4</v>
      </c>
      <c r="E122" s="171" t="str">
        <f t="shared" si="1"/>
        <v>1033-004</v>
      </c>
    </row>
    <row r="123" spans="1:5" x14ac:dyDescent="0.25">
      <c r="A123" s="168" t="s">
        <v>2328</v>
      </c>
      <c r="B123" s="168" t="s">
        <v>1412</v>
      </c>
      <c r="C123" s="169">
        <v>7</v>
      </c>
      <c r="D123" s="170">
        <v>2</v>
      </c>
      <c r="E123" s="171" t="str">
        <f t="shared" si="1"/>
        <v>1007-002</v>
      </c>
    </row>
    <row r="124" spans="1:5" x14ac:dyDescent="0.25">
      <c r="A124" s="174" t="s">
        <v>2329</v>
      </c>
      <c r="B124" s="168" t="s">
        <v>444</v>
      </c>
      <c r="C124" s="169">
        <v>73</v>
      </c>
      <c r="D124" s="170">
        <v>3</v>
      </c>
      <c r="E124" s="171" t="str">
        <f t="shared" si="1"/>
        <v>1073-003</v>
      </c>
    </row>
    <row r="125" spans="1:5" x14ac:dyDescent="0.25">
      <c r="A125" s="168" t="s">
        <v>2330</v>
      </c>
      <c r="B125" s="168" t="s">
        <v>966</v>
      </c>
      <c r="C125" s="169">
        <v>42</v>
      </c>
      <c r="D125" s="170">
        <v>3</v>
      </c>
      <c r="E125" s="171" t="str">
        <f t="shared" si="1"/>
        <v>1042-003</v>
      </c>
    </row>
    <row r="126" spans="1:5" x14ac:dyDescent="0.25">
      <c r="A126" s="168" t="s">
        <v>3564</v>
      </c>
      <c r="B126" s="168" t="s">
        <v>1792</v>
      </c>
      <c r="C126" s="169">
        <f>VLOOKUP(B126,'[1]Org #'!A:B,2,FALSE)</f>
        <v>25</v>
      </c>
      <c r="D126" s="733">
        <v>4</v>
      </c>
      <c r="E126" s="171" t="str">
        <f t="shared" si="1"/>
        <v>1025-004</v>
      </c>
    </row>
    <row r="127" spans="1:5" x14ac:dyDescent="0.25">
      <c r="A127" s="168" t="s">
        <v>3894</v>
      </c>
      <c r="B127" s="168" t="s">
        <v>4202</v>
      </c>
      <c r="C127" s="169">
        <f>VLOOKUP(B127,'[1]Org #'!A:B,2,FALSE)</f>
        <v>87</v>
      </c>
      <c r="D127" s="733">
        <v>1</v>
      </c>
      <c r="E127" s="171" t="str">
        <f t="shared" si="1"/>
        <v>1087-001</v>
      </c>
    </row>
    <row r="128" spans="1:5" x14ac:dyDescent="0.25">
      <c r="A128" s="168" t="s">
        <v>3907</v>
      </c>
      <c r="B128" s="168" t="s">
        <v>460</v>
      </c>
      <c r="C128" s="169">
        <f>VLOOKUP(B128,'[1]Org #'!A:B,2,FALSE)</f>
        <v>37</v>
      </c>
      <c r="D128" s="733">
        <v>8</v>
      </c>
      <c r="E128" s="171" t="str">
        <f t="shared" si="1"/>
        <v>1037-008</v>
      </c>
    </row>
    <row r="129" spans="1:5" x14ac:dyDescent="0.25">
      <c r="A129" s="168" t="s">
        <v>3913</v>
      </c>
      <c r="B129" s="168" t="s">
        <v>3916</v>
      </c>
      <c r="C129" s="169">
        <f>VLOOKUP(B129,'[1]Org #'!A:B,2,FALSE)</f>
        <v>88</v>
      </c>
      <c r="D129" s="733">
        <v>1</v>
      </c>
      <c r="E129" s="171" t="str">
        <f t="shared" si="1"/>
        <v>1088-001</v>
      </c>
    </row>
    <row r="130" spans="1:5" x14ac:dyDescent="0.25">
      <c r="A130" s="168" t="s">
        <v>3926</v>
      </c>
      <c r="B130" s="168" t="s">
        <v>488</v>
      </c>
      <c r="C130" s="169">
        <f>VLOOKUP(B130,'[1]Org #'!A:B,2,FALSE)</f>
        <v>45</v>
      </c>
      <c r="D130" s="733">
        <v>3</v>
      </c>
      <c r="E130" s="171" t="str">
        <f t="shared" ref="E130:E142" si="2">CONCATENATE(TEXT(C130,"100#"),"-",TEXT(D130,"00#"))</f>
        <v>1045-003</v>
      </c>
    </row>
    <row r="131" spans="1:5" x14ac:dyDescent="0.25">
      <c r="A131" s="168" t="s">
        <v>3935</v>
      </c>
      <c r="B131" s="168" t="s">
        <v>451</v>
      </c>
      <c r="C131" s="169">
        <f>VLOOKUP(B131,'[1]Org #'!A:B,2,FALSE)</f>
        <v>33</v>
      </c>
      <c r="D131" s="733">
        <v>5</v>
      </c>
      <c r="E131" s="171" t="str">
        <f t="shared" si="2"/>
        <v>1033-005</v>
      </c>
    </row>
    <row r="132" spans="1:5" x14ac:dyDescent="0.25">
      <c r="A132" s="168" t="s">
        <v>3949</v>
      </c>
      <c r="B132" s="168" t="s">
        <v>460</v>
      </c>
      <c r="C132" s="169">
        <f>VLOOKUP(B132,'[1]Org #'!A:B,2,FALSE)</f>
        <v>37</v>
      </c>
      <c r="D132" s="733">
        <v>9</v>
      </c>
      <c r="E132" s="171" t="str">
        <f t="shared" si="2"/>
        <v>1037-009</v>
      </c>
    </row>
    <row r="133" spans="1:5" x14ac:dyDescent="0.25">
      <c r="A133" s="168" t="s">
        <v>4086</v>
      </c>
      <c r="B133" s="168" t="s">
        <v>4221</v>
      </c>
      <c r="C133" s="169">
        <v>89</v>
      </c>
      <c r="D133" s="170">
        <v>1</v>
      </c>
      <c r="E133" s="171" t="str">
        <f t="shared" si="2"/>
        <v>1089-001</v>
      </c>
    </row>
    <row r="134" spans="1:5" x14ac:dyDescent="0.25">
      <c r="A134" s="1003" t="s">
        <v>4291</v>
      </c>
      <c r="B134" s="1003" t="s">
        <v>4293</v>
      </c>
      <c r="C134" s="1005">
        <f>VLOOKUP(B134,'[1]Org #'!A:B,2,FALSE)</f>
        <v>90</v>
      </c>
      <c r="D134" s="1006">
        <v>1</v>
      </c>
      <c r="E134" s="1007" t="str">
        <f t="shared" si="2"/>
        <v>1090-001</v>
      </c>
    </row>
    <row r="135" spans="1:5" x14ac:dyDescent="0.25">
      <c r="E135" s="171" t="str">
        <f t="shared" si="2"/>
        <v>100-00</v>
      </c>
    </row>
    <row r="136" spans="1:5" x14ac:dyDescent="0.25">
      <c r="E136" s="171" t="str">
        <f t="shared" si="2"/>
        <v>100-00</v>
      </c>
    </row>
    <row r="137" spans="1:5" x14ac:dyDescent="0.25">
      <c r="E137" s="171" t="str">
        <f t="shared" si="2"/>
        <v>100-00</v>
      </c>
    </row>
    <row r="138" spans="1:5" x14ac:dyDescent="0.25">
      <c r="E138" s="171" t="str">
        <f t="shared" si="2"/>
        <v>100-00</v>
      </c>
    </row>
    <row r="139" spans="1:5" x14ac:dyDescent="0.25">
      <c r="E139" s="171" t="str">
        <f t="shared" si="2"/>
        <v>100-00</v>
      </c>
    </row>
    <row r="140" spans="1:5" x14ac:dyDescent="0.25">
      <c r="E140" s="171" t="str">
        <f t="shared" si="2"/>
        <v>100-00</v>
      </c>
    </row>
    <row r="141" spans="1:5" x14ac:dyDescent="0.25">
      <c r="E141" s="171" t="str">
        <f t="shared" si="2"/>
        <v>100-00</v>
      </c>
    </row>
    <row r="142" spans="1:5" x14ac:dyDescent="0.25">
      <c r="E142" s="171" t="str">
        <f t="shared" si="2"/>
        <v>100-00</v>
      </c>
    </row>
  </sheetData>
  <autoFilter ref="A1:E135" xr:uid="{EB510621-6A47-4933-BE6F-00DC908797BD}">
    <sortState xmlns:xlrd2="http://schemas.microsoft.com/office/spreadsheetml/2017/richdata2" ref="A3:E135">
      <sortCondition ref="C1:C54"/>
    </sortState>
  </autoFilter>
  <customSheetViews>
    <customSheetView guid="{5F8FD084-40FB-49AA-B447-CD935F604D55}" scale="80" showAutoFilter="1">
      <pane ySplit="1" topLeftCell="A29" activePane="bottomLeft" state="frozen"/>
      <selection pane="bottomLeft" activeCell="B60" sqref="B60"/>
      <pageMargins left="0.7" right="0.7" top="0.75" bottom="0.75" header="0.3" footer="0.3"/>
      <pageSetup orientation="portrait" r:id="rId1"/>
      <autoFilter ref="A1:E134" xr:uid="{637A928E-7D8D-443A-B136-00FD37D76436}">
        <sortState xmlns:xlrd2="http://schemas.microsoft.com/office/spreadsheetml/2017/richdata2" ref="A3:E134">
          <sortCondition ref="C1:C54"/>
        </sortState>
      </autoFilter>
    </customSheetView>
    <customSheetView guid="{5FD7D287-AC38-49FE-8AA5-C4506E353DCC}" scale="80" showPageBreaks="1" showAutoFilter="1">
      <pane ySplit="1" topLeftCell="A50" activePane="bottomLeft" state="frozen"/>
      <selection pane="bottomLeft" activeCell="B60" sqref="B60"/>
      <pageMargins left="0.7" right="0.7" top="0.75" bottom="0.75" header="0.3" footer="0.3"/>
      <pageSetup orientation="portrait" r:id="rId2"/>
      <autoFilter ref="A1:E134" xr:uid="{D2D7E21D-7390-49E0-A38C-8D796E09C7C1}">
        <sortState xmlns:xlrd2="http://schemas.microsoft.com/office/spreadsheetml/2017/richdata2" ref="A3:E134">
          <sortCondition ref="C1:C54"/>
        </sortState>
      </autoFilter>
    </customSheetView>
  </customSheetViews>
  <pageMargins left="0.7" right="0.7" top="0.75" bottom="0.75" header="0.3" footer="0.3"/>
  <pageSetup orientation="portrait"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5A7792-E74A-4FD2-88CF-249CFD051850}">
  <sheetPr codeName="Sheet17">
    <tabColor theme="1" tint="0.499984740745262"/>
  </sheetPr>
  <dimension ref="A1:AG45"/>
  <sheetViews>
    <sheetView zoomScale="90" zoomScaleNormal="90" workbookViewId="0">
      <selection activeCell="R36" sqref="R36"/>
    </sheetView>
  </sheetViews>
  <sheetFormatPr defaultColWidth="8.88671875" defaultRowHeight="13.2" x14ac:dyDescent="0.25"/>
  <cols>
    <col min="1" max="1" width="14.6640625" style="2" customWidth="1"/>
    <col min="2" max="2" width="10.6640625" style="2" customWidth="1"/>
    <col min="3" max="5" width="10.33203125" style="2" bestFit="1" customWidth="1"/>
    <col min="6" max="14" width="8.88671875" style="2"/>
    <col min="15" max="15" width="15" style="2" bestFit="1" customWidth="1"/>
    <col min="16" max="16" width="4.6640625" style="2" customWidth="1"/>
    <col min="17" max="17" width="10.6640625" style="2" customWidth="1"/>
    <col min="18" max="18" width="16.109375" style="2" customWidth="1"/>
    <col min="19" max="19" width="14.88671875" style="2" customWidth="1"/>
    <col min="20" max="20" width="12.33203125" style="2" customWidth="1"/>
    <col min="21" max="21" width="8.6640625" style="2" customWidth="1"/>
    <col min="22" max="22" width="3.6640625" style="2" customWidth="1"/>
    <col min="23" max="33" width="8.88671875" style="74"/>
    <col min="34" max="16384" width="8.88671875" style="2"/>
  </cols>
  <sheetData>
    <row r="1" spans="1:22" x14ac:dyDescent="0.25">
      <c r="A1" s="1169"/>
      <c r="B1" s="1169"/>
      <c r="C1" s="1169"/>
      <c r="D1" s="1169"/>
      <c r="E1" s="1169"/>
      <c r="F1" s="1169"/>
      <c r="G1" s="1169"/>
      <c r="H1" s="1169"/>
      <c r="I1" s="1169"/>
      <c r="J1" s="1169"/>
      <c r="K1" s="1169"/>
      <c r="L1" s="1169"/>
      <c r="M1" s="1169"/>
      <c r="N1" s="1169"/>
      <c r="O1" s="74"/>
      <c r="P1" s="74"/>
      <c r="Q1" s="74"/>
      <c r="R1" s="74"/>
      <c r="S1" s="74"/>
      <c r="T1" s="74"/>
      <c r="U1" s="74"/>
      <c r="V1" s="74"/>
    </row>
    <row r="2" spans="1:22" ht="14.4" customHeight="1" x14ac:dyDescent="0.25">
      <c r="A2" s="1170" t="s">
        <v>1069</v>
      </c>
      <c r="B2" s="1171"/>
      <c r="C2" s="1171"/>
      <c r="D2" s="1171"/>
      <c r="E2" s="1171"/>
      <c r="F2" s="1171"/>
      <c r="G2" s="1171"/>
      <c r="H2" s="1171"/>
      <c r="I2" s="1171"/>
      <c r="J2" s="1171"/>
      <c r="K2" s="1171"/>
      <c r="L2" s="1171"/>
      <c r="M2" s="1171"/>
      <c r="N2" s="1172"/>
      <c r="O2" s="74"/>
      <c r="P2" s="74"/>
      <c r="Q2" s="74"/>
      <c r="R2" s="74"/>
      <c r="S2" s="74"/>
      <c r="T2" s="74"/>
      <c r="U2" s="74"/>
      <c r="V2" s="74"/>
    </row>
    <row r="3" spans="1:22" ht="14.4" x14ac:dyDescent="0.3">
      <c r="A3" s="1173"/>
      <c r="B3" s="1174"/>
      <c r="C3" s="1174"/>
      <c r="D3" s="1174"/>
      <c r="E3" s="1174"/>
      <c r="F3" s="1174"/>
      <c r="G3" s="1174"/>
      <c r="H3" s="1174"/>
      <c r="I3" s="1174"/>
      <c r="J3" s="1174"/>
      <c r="K3" s="1174"/>
      <c r="L3" s="1174"/>
      <c r="M3" s="1174"/>
      <c r="N3" s="1175"/>
      <c r="O3" s="74"/>
      <c r="P3" s="807"/>
      <c r="Q3" s="157" t="str">
        <f>MID($AL16,6,2)</f>
        <v/>
      </c>
      <c r="R3" s="157"/>
      <c r="S3" s="809"/>
      <c r="T3" s="809"/>
      <c r="U3" s="809"/>
      <c r="V3" s="810"/>
    </row>
    <row r="4" spans="1:22" ht="14.4" x14ac:dyDescent="0.3">
      <c r="A4" s="1176"/>
      <c r="B4" s="1177"/>
      <c r="C4" s="1177"/>
      <c r="D4" s="1177"/>
      <c r="E4" s="1177"/>
      <c r="F4" s="1177"/>
      <c r="G4" s="1177"/>
      <c r="H4" s="1177"/>
      <c r="I4" s="1177"/>
      <c r="J4" s="1177"/>
      <c r="K4" s="1177"/>
      <c r="L4" s="1177"/>
      <c r="M4" s="1177"/>
      <c r="N4" s="1178"/>
      <c r="O4" s="74"/>
      <c r="P4" s="107"/>
      <c r="Q4" s="88"/>
      <c r="R4" s="88"/>
      <c r="S4" s="811"/>
      <c r="T4" s="811"/>
      <c r="U4" s="811"/>
      <c r="V4" s="812"/>
    </row>
    <row r="5" spans="1:22" ht="22.2" customHeight="1" x14ac:dyDescent="0.3">
      <c r="A5" s="780" t="s">
        <v>1070</v>
      </c>
      <c r="B5" s="781" t="str">
        <f>_xlfn.TEXTJOIN("-",TRUE, TEXT(IF((MONTH($R$14)) &gt; 20,(MONTH($R$14))*30, (MONTH($R$14))*29), "mmm"),  IF(13-MONTH($R$14) &lt; 1,MID(YEAR($R$14), 3, 2)+1, MID(YEAR($R$14), 3, 2)))</f>
        <v>May-23</v>
      </c>
      <c r="C5" s="781" t="str">
        <f>_xlfn.TEXTJOIN("-",TRUE, TEXT(IF((MONTH($R$14)+1) &gt; 20,(MONTH($R$14)+1)*30, (MONTH($R$14)+1)*29), "mmm"),  IF(13-MONTH($R$14) &lt; 2,MID(YEAR($R$14), 3, 2)+1, MID(YEAR($R$14), 3, 2)))</f>
        <v>Jun-23</v>
      </c>
      <c r="D5" s="781" t="str">
        <f>_xlfn.TEXTJOIN("-",TRUE, TEXT(IF((MONTH($R$14)+2) &gt; 20,(MONTH($R$14)+2)*30, (MONTH($R$14)+2)*29), "mmm"),  IF(13-MONTH($R$14) &lt; 3,MID(YEAR($R$14), 3, 2)+1, MID(YEAR($R$14), 3, 2)))</f>
        <v>Jul-23</v>
      </c>
      <c r="E5" s="781" t="str">
        <f>_xlfn.TEXTJOIN("-",TRUE, TEXT(IF((MONTH($R$14)+3) &gt; 20,(MONTH($R$14)+3)*30, (MONTH($R$14)+3)*29), "mmm"),  IF(13-MONTH($R$14) &lt; 4,MID(YEAR($R$14), 3, 2)+1, MID(YEAR($R$14), 3, 2)))</f>
        <v>Aug-23</v>
      </c>
      <c r="F5" s="781" t="str">
        <f>_xlfn.TEXTJOIN("-",TRUE, TEXT(IF((MONTH($R$14)+4) &gt; 20,(MONTH($R$14)+4)*30, (MONTH($R$14)+4)*29), "mmm"),  IF(13-MONTH($R$14) &lt; 5,MID(YEAR($R$14), 3, 2)+1, MID(YEAR($R$14), 3, 2)))</f>
        <v>Sep-23</v>
      </c>
      <c r="G5" s="781" t="str">
        <f>_xlfn.TEXTJOIN("-",TRUE, TEXT(IF((MONTH($R$14)+5) &gt; 20,(MONTH($R$14)+5)*30, (MONTH($R$14)+5)*29), "mmm"),  IF(13-MONTH($R$14) &lt; 6,MID(YEAR($R$14), 3, 2)+1, MID(YEAR($R$14), 3, 2)))</f>
        <v>Oct-23</v>
      </c>
      <c r="H5" s="781" t="str">
        <f>_xlfn.TEXTJOIN("-",TRUE, TEXT(IF((MONTH($R$14)+6) &gt; 20,(MONTH($R$14)+6)*30, (MONTH($R$14)+6)*29), "mmm"),  IF(13-MONTH($R$14) &lt; 7,MID(YEAR($R$14), 3, 2)+1, MID(YEAR($R$14), 3, 2)))</f>
        <v>Nov-23</v>
      </c>
      <c r="I5" s="781" t="str">
        <f>_xlfn.TEXTJOIN("-",TRUE, TEXT(IF((MONTH($R$14)+7) &gt; 20,(MONTH($R$14)+7)*30, (MONTH($R$14)+7)*29), "mmm"),  IF(13-MONTH($R$14) &lt; 8,MID(YEAR($R$14), 3, 2)+1, MID(YEAR($R$14), 3, 2)))</f>
        <v>Dec-23</v>
      </c>
      <c r="J5" s="781" t="str">
        <f>_xlfn.TEXTJOIN("-",TRUE, TEXT(IF((MONTH($R$14)+8) &gt; 20,(MONTH($R$14)+8)*30, (MONTH($R$14)+8)*29), "mmm"),  IF(13-MONTH($R$14) &lt; 9,MID(YEAR($R$14), 3, 2)+1, MID(YEAR($R$14), 3, 2)))</f>
        <v>Jan-24</v>
      </c>
      <c r="K5" s="781" t="str">
        <f>_xlfn.TEXTJOIN("-",TRUE, TEXT(IF((MONTH($R$14)+9) &gt; 20,(MONTH($R$14)+9)*30, (MONTH($R$14)+9)*29), "mmm"),  IF(13-MONTH($R$14) &lt; 10,MID(YEAR($R$14), 3, 2)+1, MID(YEAR($R$14), 3, 2)))</f>
        <v>Feb-24</v>
      </c>
      <c r="L5" s="781" t="str">
        <f>_xlfn.TEXTJOIN("-",TRUE, TEXT(IF((MONTH($R$14)+10) &gt; 20,(MONTH($R$14)+10)*30, (MONTH($R$14)+10)*29), "mmm"),  IF(13-MONTH($R$14) &lt; 11,MID(YEAR($R$14), 3, 2)+1, MID(YEAR($R$14), 3, 2)))</f>
        <v>Mar-24</v>
      </c>
      <c r="M5" s="781" t="str">
        <f>_xlfn.TEXTJOIN("-",TRUE, TEXT(IF((MONTH($R$14)+11) &gt; 20,(MONTH($R$14)+11)*30, (MONTH($R$14)+11)*29), "mmm"),  IF(13-MONTH($R$14) &lt; 12,MID(YEAR($R$14), 3, 2)+1, MID(YEAR($R$14), 3, 2)))</f>
        <v>Apr-24</v>
      </c>
      <c r="N5" s="782" t="s">
        <v>969</v>
      </c>
      <c r="O5" s="489"/>
      <c r="P5" s="107"/>
      <c r="Q5" s="88"/>
      <c r="R5" s="88"/>
      <c r="S5" s="811"/>
      <c r="T5" s="811"/>
      <c r="U5" s="811"/>
      <c r="V5" s="812"/>
    </row>
    <row r="6" spans="1:22" ht="14.4" x14ac:dyDescent="0.3">
      <c r="A6" s="120" t="s">
        <v>1071</v>
      </c>
      <c r="B6" s="1">
        <v>11</v>
      </c>
      <c r="C6" s="1">
        <v>8</v>
      </c>
      <c r="D6" s="1">
        <v>18</v>
      </c>
      <c r="E6" s="1">
        <v>18</v>
      </c>
      <c r="F6" s="1">
        <v>12</v>
      </c>
      <c r="G6" s="1">
        <v>8</v>
      </c>
      <c r="H6" s="1">
        <v>16</v>
      </c>
      <c r="I6" s="1">
        <v>7</v>
      </c>
      <c r="J6" s="1">
        <v>13</v>
      </c>
      <c r="K6" s="1">
        <v>14</v>
      </c>
      <c r="L6" s="1">
        <v>10</v>
      </c>
      <c r="M6" s="1">
        <v>12</v>
      </c>
      <c r="N6" s="507">
        <f t="shared" ref="N6:N10" si="0">SUM(B6:M6)</f>
        <v>147</v>
      </c>
      <c r="O6" s="489"/>
      <c r="P6" s="107"/>
      <c r="Q6" s="88"/>
      <c r="R6" s="88"/>
      <c r="S6" s="811"/>
      <c r="T6" s="811"/>
      <c r="U6" s="811"/>
      <c r="V6" s="812"/>
    </row>
    <row r="7" spans="1:22" ht="14.4" x14ac:dyDescent="0.3">
      <c r="A7" s="120" t="s">
        <v>1072</v>
      </c>
      <c r="B7" s="1">
        <v>3</v>
      </c>
      <c r="C7" s="1">
        <v>4</v>
      </c>
      <c r="D7" s="1">
        <v>3</v>
      </c>
      <c r="E7" s="1">
        <v>3</v>
      </c>
      <c r="F7" s="1">
        <v>5</v>
      </c>
      <c r="G7" s="1">
        <v>3</v>
      </c>
      <c r="H7" s="1">
        <v>7</v>
      </c>
      <c r="I7" s="1">
        <v>0</v>
      </c>
      <c r="J7" s="1">
        <v>4</v>
      </c>
      <c r="K7" s="1">
        <v>6</v>
      </c>
      <c r="L7" s="1">
        <v>0</v>
      </c>
      <c r="M7" s="1">
        <v>2</v>
      </c>
      <c r="N7" s="508">
        <f t="shared" si="0"/>
        <v>40</v>
      </c>
      <c r="O7" s="490"/>
      <c r="P7" s="107"/>
      <c r="Q7" s="88"/>
      <c r="R7" s="88"/>
      <c r="S7" s="811"/>
      <c r="T7" s="811"/>
      <c r="U7" s="811"/>
      <c r="V7" s="812"/>
    </row>
    <row r="8" spans="1:22" ht="14.4" x14ac:dyDescent="0.3">
      <c r="A8" s="120" t="s">
        <v>4078</v>
      </c>
      <c r="B8" s="1">
        <v>13</v>
      </c>
      <c r="C8" s="1">
        <v>40</v>
      </c>
      <c r="D8" s="1">
        <v>69</v>
      </c>
      <c r="E8" s="1">
        <v>62</v>
      </c>
      <c r="F8" s="1">
        <v>16</v>
      </c>
      <c r="G8" s="1">
        <v>30</v>
      </c>
      <c r="H8" s="1">
        <v>23</v>
      </c>
      <c r="I8" s="1">
        <v>7</v>
      </c>
      <c r="J8" s="1">
        <v>20</v>
      </c>
      <c r="K8" s="1">
        <v>26</v>
      </c>
      <c r="L8" s="1">
        <v>12</v>
      </c>
      <c r="M8" s="1">
        <v>19</v>
      </c>
      <c r="N8" s="508">
        <f t="shared" si="0"/>
        <v>337</v>
      </c>
      <c r="O8" s="490"/>
      <c r="P8" s="107"/>
      <c r="Q8" s="88"/>
      <c r="R8" s="88"/>
      <c r="S8" s="811"/>
      <c r="T8" s="811"/>
      <c r="U8" s="811"/>
      <c r="V8" s="812"/>
    </row>
    <row r="9" spans="1:22" ht="14.4" x14ac:dyDescent="0.3">
      <c r="A9" s="120" t="s">
        <v>4077</v>
      </c>
      <c r="B9" s="1">
        <v>10</v>
      </c>
      <c r="C9" s="1">
        <v>19</v>
      </c>
      <c r="D9" s="1">
        <v>39</v>
      </c>
      <c r="E9" s="1">
        <v>29</v>
      </c>
      <c r="F9" s="1">
        <v>13</v>
      </c>
      <c r="G9" s="1">
        <v>24</v>
      </c>
      <c r="H9" s="1">
        <v>18</v>
      </c>
      <c r="I9" s="1">
        <v>4</v>
      </c>
      <c r="J9" s="1">
        <v>14</v>
      </c>
      <c r="K9" s="1">
        <v>22</v>
      </c>
      <c r="L9" s="1">
        <v>10</v>
      </c>
      <c r="M9" s="1">
        <v>19</v>
      </c>
      <c r="N9" s="508">
        <f t="shared" si="0"/>
        <v>221</v>
      </c>
      <c r="O9" s="490"/>
      <c r="P9" s="107"/>
      <c r="Q9" s="88"/>
      <c r="R9" s="88"/>
      <c r="S9" s="811"/>
      <c r="T9" s="811"/>
      <c r="U9" s="811"/>
      <c r="V9" s="812"/>
    </row>
    <row r="10" spans="1:22" ht="14.4" x14ac:dyDescent="0.3">
      <c r="A10" s="120" t="s">
        <v>4304</v>
      </c>
      <c r="B10" s="1">
        <v>0.38500000000000001</v>
      </c>
      <c r="C10" s="1">
        <v>0.90000000000000024</v>
      </c>
      <c r="D10" s="1">
        <v>1.4499999999999997</v>
      </c>
      <c r="E10" s="1">
        <v>0.87000000000000011</v>
      </c>
      <c r="F10" s="1">
        <v>0.27000000000000007</v>
      </c>
      <c r="G10" s="1">
        <v>3.5249999999999977</v>
      </c>
      <c r="H10" s="1">
        <v>0.62500000000000022</v>
      </c>
      <c r="I10" s="1">
        <v>0.14500000000000002</v>
      </c>
      <c r="J10" s="1">
        <v>0.39000000000000012</v>
      </c>
      <c r="K10" s="1">
        <v>5.7149999999999999</v>
      </c>
      <c r="L10" s="1">
        <v>0.21000000000000008</v>
      </c>
      <c r="M10" s="1">
        <v>0.31500000000000011</v>
      </c>
      <c r="N10" s="508">
        <f t="shared" si="0"/>
        <v>14.799999999999999</v>
      </c>
      <c r="O10" s="490"/>
      <c r="P10" s="107"/>
      <c r="Q10" s="88"/>
      <c r="R10" s="88"/>
      <c r="S10" s="811"/>
      <c r="T10" s="811"/>
      <c r="U10" s="811"/>
      <c r="V10" s="812"/>
    </row>
    <row r="11" spans="1:22" x14ac:dyDescent="0.25">
      <c r="A11" s="120" t="s">
        <v>1073</v>
      </c>
      <c r="B11" s="1">
        <v>4</v>
      </c>
      <c r="C11" s="1">
        <v>3</v>
      </c>
      <c r="D11" s="1">
        <v>16</v>
      </c>
      <c r="E11" s="1">
        <v>0</v>
      </c>
      <c r="F11" s="1">
        <v>5</v>
      </c>
      <c r="G11" s="1">
        <v>4</v>
      </c>
      <c r="H11" s="1">
        <v>15</v>
      </c>
      <c r="I11" s="1">
        <v>0</v>
      </c>
      <c r="J11" s="1">
        <v>7</v>
      </c>
      <c r="K11" s="1">
        <v>10</v>
      </c>
      <c r="L11" s="1">
        <v>12</v>
      </c>
      <c r="M11" s="1">
        <v>32</v>
      </c>
      <c r="N11" s="783">
        <f>SUM(B11:M11)</f>
        <v>108</v>
      </c>
      <c r="O11" s="490"/>
      <c r="P11" s="111"/>
      <c r="Q11" s="113"/>
      <c r="R11" s="113"/>
      <c r="S11" s="811"/>
      <c r="T11" s="811"/>
      <c r="U11" s="811"/>
      <c r="V11" s="812"/>
    </row>
    <row r="12" spans="1:22" ht="13.8" x14ac:dyDescent="0.3">
      <c r="A12" s="121" t="s">
        <v>4303</v>
      </c>
      <c r="B12" s="788">
        <v>2.0100000000000002</v>
      </c>
      <c r="C12" s="788">
        <v>1.25</v>
      </c>
      <c r="D12" s="788">
        <v>4.9659999999999993</v>
      </c>
      <c r="E12" s="788">
        <v>7.1050000000000004</v>
      </c>
      <c r="F12" s="788">
        <v>2.23</v>
      </c>
      <c r="G12" s="788">
        <v>1.3820000000000001</v>
      </c>
      <c r="H12" s="788">
        <v>1.095</v>
      </c>
      <c r="I12" s="788">
        <v>7.5</v>
      </c>
      <c r="J12" s="788">
        <v>1.22</v>
      </c>
      <c r="K12" s="788">
        <v>2.5099999999999998</v>
      </c>
      <c r="L12" s="788">
        <v>3.05</v>
      </c>
      <c r="M12" s="788">
        <v>15.265000000000001</v>
      </c>
      <c r="N12" s="783">
        <f>SUM(B12:M12)</f>
        <v>49.582999999999998</v>
      </c>
      <c r="O12" s="490"/>
      <c r="P12" s="112"/>
      <c r="Q12" s="114"/>
      <c r="R12" s="114"/>
      <c r="S12" s="811"/>
      <c r="T12" s="811"/>
      <c r="U12" s="811"/>
      <c r="V12" s="812"/>
    </row>
    <row r="13" spans="1:22" ht="15" thickBot="1" x14ac:dyDescent="0.35">
      <c r="A13" s="122"/>
      <c r="B13" s="123"/>
      <c r="C13" s="123"/>
      <c r="D13" s="123"/>
      <c r="E13" s="123"/>
      <c r="F13" s="123"/>
      <c r="G13" s="123"/>
      <c r="H13" s="123"/>
      <c r="I13" s="123"/>
      <c r="J13" s="123"/>
      <c r="K13" s="123"/>
      <c r="L13" s="123"/>
      <c r="M13" s="123"/>
      <c r="N13" s="124"/>
      <c r="O13" s="490"/>
      <c r="P13" s="108"/>
      <c r="Q13" s="88"/>
      <c r="R13" s="88"/>
      <c r="S13" s="811"/>
      <c r="T13" s="811"/>
      <c r="U13" s="811"/>
      <c r="V13" s="812"/>
    </row>
    <row r="14" spans="1:22" ht="24" customHeight="1" x14ac:dyDescent="0.3">
      <c r="A14" s="1179" t="s">
        <v>1976</v>
      </c>
      <c r="B14" s="1181" t="s">
        <v>1074</v>
      </c>
      <c r="C14" s="1181" t="s">
        <v>1075</v>
      </c>
      <c r="D14" s="1181" t="s">
        <v>1076</v>
      </c>
      <c r="E14" s="1183" t="s">
        <v>1077</v>
      </c>
      <c r="F14" s="125"/>
      <c r="G14" s="125"/>
      <c r="H14" s="125"/>
      <c r="I14" s="125"/>
      <c r="J14" s="125"/>
      <c r="K14" s="125"/>
      <c r="L14" s="125"/>
      <c r="M14" s="125"/>
      <c r="N14" s="126"/>
      <c r="O14" s="74"/>
      <c r="P14" s="107"/>
      <c r="Q14" s="808" t="s">
        <v>0</v>
      </c>
      <c r="R14" s="786">
        <v>45047</v>
      </c>
      <c r="S14" s="824"/>
      <c r="T14" s="824"/>
      <c r="U14" s="825"/>
      <c r="V14" s="812"/>
    </row>
    <row r="15" spans="1:22" ht="16.2" customHeight="1" x14ac:dyDescent="0.3">
      <c r="A15" s="1180"/>
      <c r="B15" s="1182"/>
      <c r="C15" s="1182"/>
      <c r="D15" s="1182"/>
      <c r="E15" s="1184"/>
      <c r="F15" s="125"/>
      <c r="G15" s="125"/>
      <c r="H15" s="125"/>
      <c r="I15" s="125"/>
      <c r="J15" s="125"/>
      <c r="K15" s="125"/>
      <c r="L15" s="125"/>
      <c r="M15" s="125"/>
      <c r="N15" s="126"/>
      <c r="O15" s="74"/>
      <c r="P15" s="107"/>
      <c r="Q15" s="127" t="s">
        <v>2</v>
      </c>
      <c r="R15" s="787">
        <v>45412</v>
      </c>
      <c r="S15" s="820"/>
      <c r="T15" s="820"/>
      <c r="U15" s="821"/>
      <c r="V15" s="812"/>
    </row>
    <row r="16" spans="1:22" ht="15" customHeight="1" x14ac:dyDescent="0.3">
      <c r="A16" s="501" t="s">
        <v>1078</v>
      </c>
      <c r="B16" s="1">
        <v>70</v>
      </c>
      <c r="C16" s="1">
        <v>145</v>
      </c>
      <c r="D16" s="1">
        <v>65</v>
      </c>
      <c r="E16" s="502">
        <v>32</v>
      </c>
      <c r="F16" s="125"/>
      <c r="G16" s="125"/>
      <c r="H16" s="125"/>
      <c r="I16" s="125"/>
      <c r="J16" s="125"/>
      <c r="K16" s="125"/>
      <c r="L16" s="125"/>
      <c r="M16" s="125"/>
      <c r="N16" s="126"/>
      <c r="O16" s="74"/>
      <c r="P16" s="107"/>
      <c r="Q16" s="128"/>
      <c r="R16" s="129"/>
      <c r="S16" s="818"/>
      <c r="T16" s="818"/>
      <c r="U16" s="819"/>
      <c r="V16" s="812"/>
    </row>
    <row r="17" spans="1:22" ht="18.600000000000001" customHeight="1" x14ac:dyDescent="0.3">
      <c r="A17" s="501" t="s">
        <v>1079</v>
      </c>
      <c r="B17" s="1">
        <v>107</v>
      </c>
      <c r="C17" s="1">
        <v>193</v>
      </c>
      <c r="D17" s="1">
        <v>76</v>
      </c>
      <c r="E17" s="502">
        <v>47</v>
      </c>
      <c r="F17" s="125"/>
      <c r="G17" s="125"/>
      <c r="H17" s="125"/>
      <c r="I17" s="125"/>
      <c r="J17" s="125"/>
      <c r="K17" s="125"/>
      <c r="L17" s="125"/>
      <c r="M17" s="125"/>
      <c r="N17" s="126"/>
      <c r="O17" s="74"/>
      <c r="P17" s="107"/>
      <c r="Q17" s="540" t="s">
        <v>1</v>
      </c>
      <c r="R17" s="822"/>
      <c r="S17" s="822"/>
      <c r="T17" s="822"/>
      <c r="U17" s="823"/>
      <c r="V17" s="812"/>
    </row>
    <row r="18" spans="1:22" ht="12" customHeight="1" x14ac:dyDescent="0.3">
      <c r="A18" s="501" t="s">
        <v>1080</v>
      </c>
      <c r="B18" s="1">
        <v>107</v>
      </c>
      <c r="C18" s="1">
        <v>257</v>
      </c>
      <c r="D18" s="1">
        <v>82</v>
      </c>
      <c r="E18" s="502">
        <v>40</v>
      </c>
      <c r="F18" s="125"/>
      <c r="G18" s="125"/>
      <c r="H18" s="125"/>
      <c r="I18" s="125"/>
      <c r="J18" s="125"/>
      <c r="K18" s="125"/>
      <c r="L18" s="125"/>
      <c r="M18" s="125"/>
      <c r="N18" s="126"/>
      <c r="O18" s="74"/>
      <c r="P18" s="107"/>
      <c r="Q18" s="93"/>
      <c r="R18" s="74"/>
      <c r="S18" s="74"/>
      <c r="T18" s="74"/>
      <c r="U18" s="813"/>
      <c r="V18" s="812"/>
    </row>
    <row r="19" spans="1:22" ht="12" customHeight="1" x14ac:dyDescent="0.3">
      <c r="A19" s="501" t="s">
        <v>1081</v>
      </c>
      <c r="B19" s="1">
        <v>115</v>
      </c>
      <c r="C19" s="1">
        <v>272</v>
      </c>
      <c r="D19" s="1">
        <v>84</v>
      </c>
      <c r="E19" s="502">
        <v>38</v>
      </c>
      <c r="F19" s="125"/>
      <c r="G19" s="125"/>
      <c r="H19" s="125"/>
      <c r="I19" s="125"/>
      <c r="J19" s="125"/>
      <c r="K19" s="125"/>
      <c r="L19" s="125"/>
      <c r="M19" s="125"/>
      <c r="N19" s="126"/>
      <c r="O19" s="74"/>
      <c r="P19" s="107"/>
      <c r="Q19" s="93" t="s">
        <v>3616</v>
      </c>
      <c r="R19" s="74"/>
      <c r="S19" s="74"/>
      <c r="T19" s="74"/>
      <c r="U19" s="813"/>
      <c r="V19" s="812"/>
    </row>
    <row r="20" spans="1:22" ht="12" customHeight="1" x14ac:dyDescent="0.3">
      <c r="A20" s="501" t="s">
        <v>1082</v>
      </c>
      <c r="B20" s="1">
        <v>138</v>
      </c>
      <c r="C20" s="1">
        <v>239</v>
      </c>
      <c r="D20" s="1">
        <v>114</v>
      </c>
      <c r="E20" s="502">
        <v>54</v>
      </c>
      <c r="F20" s="125"/>
      <c r="G20" s="125"/>
      <c r="H20" s="125"/>
      <c r="I20" s="125"/>
      <c r="J20" s="125"/>
      <c r="K20" s="125"/>
      <c r="L20" s="125"/>
      <c r="M20" s="125"/>
      <c r="N20" s="126"/>
      <c r="O20" s="74"/>
      <c r="P20" s="107"/>
      <c r="Q20" s="779" t="s">
        <v>1114</v>
      </c>
      <c r="R20" s="74"/>
      <c r="S20" s="74"/>
      <c r="T20" s="74"/>
      <c r="U20" s="813"/>
      <c r="V20" s="812"/>
    </row>
    <row r="21" spans="1:22" ht="12" customHeight="1" x14ac:dyDescent="0.3">
      <c r="A21" s="501" t="s">
        <v>1083</v>
      </c>
      <c r="B21" s="1">
        <v>167</v>
      </c>
      <c r="C21" s="1">
        <v>383</v>
      </c>
      <c r="D21" s="1">
        <v>127</v>
      </c>
      <c r="E21" s="502">
        <v>55</v>
      </c>
      <c r="F21" s="125"/>
      <c r="G21" s="125"/>
      <c r="H21" s="125"/>
      <c r="I21" s="125"/>
      <c r="J21" s="125"/>
      <c r="K21" s="125"/>
      <c r="L21" s="125"/>
      <c r="M21" s="125"/>
      <c r="N21" s="126"/>
      <c r="O21" s="74"/>
      <c r="P21" s="107"/>
      <c r="Q21" s="555" t="s">
        <v>3698</v>
      </c>
      <c r="R21" s="74"/>
      <c r="S21" s="74"/>
      <c r="T21" s="74"/>
      <c r="U21" s="813"/>
      <c r="V21" s="812"/>
    </row>
    <row r="22" spans="1:22" ht="12" customHeight="1" x14ac:dyDescent="0.3">
      <c r="A22" s="501" t="s">
        <v>1084</v>
      </c>
      <c r="B22" s="1">
        <v>164</v>
      </c>
      <c r="C22" s="1">
        <v>338</v>
      </c>
      <c r="D22" s="1">
        <v>137</v>
      </c>
      <c r="E22" s="502">
        <v>52</v>
      </c>
      <c r="F22" s="125"/>
      <c r="G22" s="125"/>
      <c r="H22" s="125"/>
      <c r="I22" s="125"/>
      <c r="J22" s="125"/>
      <c r="K22" s="125"/>
      <c r="L22" s="125"/>
      <c r="M22" s="125"/>
      <c r="N22" s="126"/>
      <c r="O22" s="74"/>
      <c r="P22" s="107"/>
      <c r="Q22" s="93" t="s">
        <v>3720</v>
      </c>
      <c r="R22" s="74"/>
      <c r="S22" s="74"/>
      <c r="T22" s="74"/>
      <c r="U22" s="813"/>
      <c r="V22" s="812"/>
    </row>
    <row r="23" spans="1:22" ht="12" customHeight="1" x14ac:dyDescent="0.3">
      <c r="A23" s="501" t="s">
        <v>1085</v>
      </c>
      <c r="B23" s="1">
        <v>184</v>
      </c>
      <c r="C23" s="1">
        <v>348</v>
      </c>
      <c r="D23" s="1">
        <v>132</v>
      </c>
      <c r="E23" s="502">
        <v>67</v>
      </c>
      <c r="F23" s="125"/>
      <c r="G23" s="125"/>
      <c r="H23" s="125"/>
      <c r="I23" s="125"/>
      <c r="J23" s="125"/>
      <c r="K23" s="125"/>
      <c r="L23" s="125"/>
      <c r="M23" s="125"/>
      <c r="N23" s="126"/>
      <c r="O23" s="74"/>
      <c r="P23" s="107"/>
      <c r="Q23" s="93" t="s">
        <v>3692</v>
      </c>
      <c r="R23" s="74"/>
      <c r="S23" s="74"/>
      <c r="T23" s="74"/>
      <c r="U23" s="813"/>
      <c r="V23" s="812"/>
    </row>
    <row r="24" spans="1:22" ht="12" customHeight="1" x14ac:dyDescent="0.3">
      <c r="A24" s="501" t="s">
        <v>1086</v>
      </c>
      <c r="B24" s="1">
        <v>184</v>
      </c>
      <c r="C24" s="1">
        <v>419</v>
      </c>
      <c r="D24" s="1">
        <v>134</v>
      </c>
      <c r="E24" s="502">
        <v>58</v>
      </c>
      <c r="F24" s="125"/>
      <c r="G24" s="125"/>
      <c r="H24" s="125"/>
      <c r="I24" s="125"/>
      <c r="J24" s="125"/>
      <c r="K24" s="125"/>
      <c r="L24" s="125"/>
      <c r="M24" s="125"/>
      <c r="N24" s="126"/>
      <c r="O24" s="74"/>
      <c r="P24" s="107"/>
      <c r="Q24" s="93" t="s">
        <v>3963</v>
      </c>
      <c r="R24" s="74"/>
      <c r="S24" s="74"/>
      <c r="T24" s="74"/>
      <c r="U24" s="813"/>
      <c r="V24" s="812"/>
    </row>
    <row r="25" spans="1:22" ht="12" customHeight="1" x14ac:dyDescent="0.3">
      <c r="A25" s="501" t="s">
        <v>1087</v>
      </c>
      <c r="B25" s="1">
        <v>190</v>
      </c>
      <c r="C25" s="1">
        <v>435</v>
      </c>
      <c r="D25" s="1">
        <v>162</v>
      </c>
      <c r="E25" s="502">
        <v>75</v>
      </c>
      <c r="F25" s="125"/>
      <c r="G25" s="125"/>
      <c r="H25" s="125"/>
      <c r="I25" s="125"/>
      <c r="J25" s="125"/>
      <c r="K25" s="125"/>
      <c r="L25" s="125"/>
      <c r="M25" s="125"/>
      <c r="N25" s="126"/>
      <c r="O25" s="74"/>
      <c r="P25" s="107"/>
      <c r="Q25" s="92"/>
      <c r="R25" s="74"/>
      <c r="S25" s="74"/>
      <c r="T25" s="74"/>
      <c r="U25" s="813"/>
      <c r="V25" s="812"/>
    </row>
    <row r="26" spans="1:22" ht="12" customHeight="1" x14ac:dyDescent="0.3">
      <c r="A26" s="501" t="s">
        <v>1088</v>
      </c>
      <c r="B26" s="1">
        <v>166</v>
      </c>
      <c r="C26" s="1">
        <v>303</v>
      </c>
      <c r="D26" s="503">
        <v>125</v>
      </c>
      <c r="E26" s="502">
        <v>52</v>
      </c>
      <c r="F26" s="125"/>
      <c r="G26" s="125"/>
      <c r="H26" s="125"/>
      <c r="I26" s="125"/>
      <c r="J26" s="125"/>
      <c r="K26" s="125"/>
      <c r="L26" s="125"/>
      <c r="M26" s="125"/>
      <c r="N26" s="126"/>
      <c r="O26" s="74"/>
      <c r="P26" s="107"/>
      <c r="Q26" s="92"/>
      <c r="R26" s="74"/>
      <c r="S26" s="74"/>
      <c r="T26" s="74"/>
      <c r="U26" s="813"/>
      <c r="V26" s="812"/>
    </row>
    <row r="27" spans="1:22" ht="12" customHeight="1" x14ac:dyDescent="0.3">
      <c r="A27" s="501" t="s">
        <v>1089</v>
      </c>
      <c r="B27" s="1">
        <v>148</v>
      </c>
      <c r="C27" s="1">
        <v>339</v>
      </c>
      <c r="D27" s="503">
        <v>110</v>
      </c>
      <c r="E27" s="502">
        <v>45</v>
      </c>
      <c r="F27" s="125"/>
      <c r="G27" s="125"/>
      <c r="H27" s="125"/>
      <c r="I27" s="125"/>
      <c r="J27" s="125"/>
      <c r="K27" s="125"/>
      <c r="L27" s="125"/>
      <c r="M27" s="125"/>
      <c r="N27" s="126"/>
      <c r="O27" s="74"/>
      <c r="P27" s="107"/>
      <c r="Q27" s="94"/>
      <c r="R27" s="814"/>
      <c r="S27" s="814"/>
      <c r="T27" s="814"/>
      <c r="U27" s="815"/>
      <c r="V27" s="812"/>
    </row>
    <row r="28" spans="1:22" ht="12" customHeight="1" x14ac:dyDescent="0.3">
      <c r="A28" s="501" t="s">
        <v>1090</v>
      </c>
      <c r="B28" s="1">
        <v>173</v>
      </c>
      <c r="C28" s="1">
        <v>264</v>
      </c>
      <c r="D28" s="503">
        <v>140</v>
      </c>
      <c r="E28" s="502">
        <v>75</v>
      </c>
      <c r="F28" s="125"/>
      <c r="G28" s="125"/>
      <c r="H28" s="125"/>
      <c r="I28" s="125"/>
      <c r="J28" s="125"/>
      <c r="K28" s="125"/>
      <c r="L28" s="125"/>
      <c r="M28" s="125"/>
      <c r="N28" s="126"/>
      <c r="O28" s="74"/>
      <c r="P28" s="109"/>
      <c r="Q28" s="110"/>
      <c r="R28" s="816"/>
      <c r="S28" s="816"/>
      <c r="T28" s="816"/>
      <c r="U28" s="816"/>
      <c r="V28" s="817"/>
    </row>
    <row r="29" spans="1:22" ht="12" customHeight="1" x14ac:dyDescent="0.25">
      <c r="A29" s="501" t="s">
        <v>1091</v>
      </c>
      <c r="B29" s="1">
        <v>149</v>
      </c>
      <c r="C29" s="1">
        <v>264</v>
      </c>
      <c r="D29" s="1">
        <v>112</v>
      </c>
      <c r="E29" s="502">
        <v>59</v>
      </c>
      <c r="F29" s="125"/>
      <c r="G29" s="125"/>
      <c r="H29" s="125"/>
      <c r="I29" s="125"/>
      <c r="J29" s="125"/>
      <c r="K29" s="125"/>
      <c r="L29" s="125"/>
      <c r="M29" s="125"/>
      <c r="N29" s="126"/>
      <c r="O29" s="74"/>
      <c r="P29" s="74"/>
      <c r="Q29" s="74"/>
      <c r="R29" s="74"/>
      <c r="S29" s="74"/>
      <c r="T29" s="74"/>
      <c r="U29" s="74"/>
      <c r="V29" s="74"/>
    </row>
    <row r="30" spans="1:22" ht="12" customHeight="1" x14ac:dyDescent="0.25">
      <c r="A30" s="501" t="s">
        <v>1092</v>
      </c>
      <c r="B30" s="1">
        <v>163</v>
      </c>
      <c r="C30" s="1">
        <v>270</v>
      </c>
      <c r="D30" s="1">
        <v>106</v>
      </c>
      <c r="E30" s="502">
        <v>53</v>
      </c>
      <c r="F30" s="125"/>
      <c r="G30" s="125"/>
      <c r="H30" s="125"/>
      <c r="I30" s="125"/>
      <c r="J30" s="125"/>
      <c r="K30" s="125"/>
      <c r="L30" s="125"/>
      <c r="M30" s="125"/>
      <c r="N30" s="126"/>
      <c r="O30" s="74"/>
      <c r="P30" s="74"/>
      <c r="Q30" s="74"/>
      <c r="R30" s="74"/>
      <c r="S30" s="74"/>
      <c r="T30" s="74"/>
      <c r="U30" s="74"/>
      <c r="V30" s="74"/>
    </row>
    <row r="31" spans="1:22" x14ac:dyDescent="0.25">
      <c r="A31" s="501" t="s">
        <v>1093</v>
      </c>
      <c r="B31" s="1">
        <v>143</v>
      </c>
      <c r="C31" s="1">
        <v>220</v>
      </c>
      <c r="D31" s="1">
        <v>94</v>
      </c>
      <c r="E31" s="502">
        <v>44</v>
      </c>
      <c r="F31" s="125"/>
      <c r="G31" s="125"/>
      <c r="H31" s="125"/>
      <c r="I31" s="125"/>
      <c r="J31" s="125"/>
      <c r="K31" s="125"/>
      <c r="L31" s="125"/>
      <c r="M31" s="125"/>
      <c r="N31" s="126"/>
      <c r="O31" s="74"/>
      <c r="P31" s="74"/>
      <c r="Q31" s="74"/>
      <c r="R31" s="74"/>
      <c r="S31" s="74"/>
      <c r="T31" s="74"/>
      <c r="U31" s="74"/>
      <c r="V31" s="74"/>
    </row>
    <row r="32" spans="1:22" ht="13.8" x14ac:dyDescent="0.25">
      <c r="A32" s="501" t="s">
        <v>1094</v>
      </c>
      <c r="B32" s="1">
        <v>158</v>
      </c>
      <c r="C32" s="1">
        <v>324</v>
      </c>
      <c r="D32" s="1">
        <v>118</v>
      </c>
      <c r="E32" s="502">
        <v>58</v>
      </c>
      <c r="F32" s="125"/>
      <c r="G32" s="125"/>
      <c r="H32" s="125"/>
      <c r="I32" s="125"/>
      <c r="J32" s="125"/>
      <c r="K32" s="125"/>
      <c r="L32" s="125"/>
      <c r="M32" s="125"/>
      <c r="N32" s="126"/>
      <c r="O32" s="74"/>
      <c r="P32" s="74"/>
      <c r="Q32" s="784"/>
      <c r="R32" s="74"/>
      <c r="S32" s="74"/>
      <c r="T32" s="74"/>
      <c r="U32" s="74"/>
      <c r="V32" s="74"/>
    </row>
    <row r="33" spans="1:22" ht="13.8" x14ac:dyDescent="0.25">
      <c r="A33" s="501" t="s">
        <v>1095</v>
      </c>
      <c r="B33" s="1">
        <v>160</v>
      </c>
      <c r="C33" s="1">
        <v>247</v>
      </c>
      <c r="D33" s="1">
        <v>109</v>
      </c>
      <c r="E33" s="502">
        <v>59</v>
      </c>
      <c r="F33" s="125"/>
      <c r="G33" s="125"/>
      <c r="H33" s="125"/>
      <c r="I33" s="125"/>
      <c r="J33" s="125"/>
      <c r="K33" s="125"/>
      <c r="L33" s="125"/>
      <c r="M33" s="125"/>
      <c r="N33" s="126"/>
      <c r="O33" s="74"/>
      <c r="P33" s="74"/>
      <c r="Q33" s="784"/>
      <c r="R33" s="74"/>
      <c r="S33" s="74"/>
      <c r="T33" s="74"/>
      <c r="U33" s="74"/>
      <c r="V33" s="74"/>
    </row>
    <row r="34" spans="1:22" x14ac:dyDescent="0.25">
      <c r="A34" s="501" t="s">
        <v>1096</v>
      </c>
      <c r="B34" s="1">
        <v>178</v>
      </c>
      <c r="C34" s="1">
        <v>370</v>
      </c>
      <c r="D34" s="1">
        <v>124</v>
      </c>
      <c r="E34" s="502">
        <v>73</v>
      </c>
      <c r="F34" s="125"/>
      <c r="G34" s="125"/>
      <c r="H34" s="125"/>
      <c r="I34" s="125"/>
      <c r="J34" s="125"/>
      <c r="K34" s="125"/>
      <c r="L34" s="125"/>
      <c r="M34" s="125"/>
      <c r="N34" s="126"/>
      <c r="O34" s="74"/>
      <c r="Q34" s="74"/>
      <c r="R34" s="74"/>
      <c r="S34" s="74"/>
      <c r="T34" s="74"/>
      <c r="U34" s="74"/>
      <c r="V34" s="74"/>
    </row>
    <row r="35" spans="1:22" ht="13.8" x14ac:dyDescent="0.25">
      <c r="A35" s="501" t="s">
        <v>1097</v>
      </c>
      <c r="B35" s="1">
        <v>154</v>
      </c>
      <c r="C35" s="1">
        <v>303</v>
      </c>
      <c r="D35" s="1">
        <v>114</v>
      </c>
      <c r="E35" s="502">
        <v>61</v>
      </c>
      <c r="F35" s="125"/>
      <c r="G35" s="125"/>
      <c r="H35" s="125"/>
      <c r="I35" s="125"/>
      <c r="J35" s="125"/>
      <c r="K35" s="125"/>
      <c r="L35" s="125"/>
      <c r="M35" s="125"/>
      <c r="N35" s="126"/>
      <c r="O35" s="74"/>
      <c r="P35" s="74"/>
      <c r="Q35" s="784"/>
      <c r="R35" s="74"/>
      <c r="S35" s="74"/>
      <c r="T35" s="74"/>
      <c r="U35" s="74"/>
      <c r="V35" s="74"/>
    </row>
    <row r="36" spans="1:22" x14ac:dyDescent="0.25">
      <c r="A36" s="501" t="s">
        <v>1098</v>
      </c>
      <c r="B36" s="1">
        <v>152</v>
      </c>
      <c r="C36" s="1">
        <v>289</v>
      </c>
      <c r="D36" s="1">
        <v>97</v>
      </c>
      <c r="E36" s="502">
        <v>46</v>
      </c>
      <c r="F36" s="125"/>
      <c r="G36" s="125"/>
      <c r="H36" s="125"/>
      <c r="I36" s="125"/>
      <c r="J36" s="125"/>
      <c r="K36" s="125"/>
      <c r="L36" s="125"/>
      <c r="M36" s="125"/>
      <c r="N36" s="126"/>
      <c r="O36" s="74"/>
      <c r="P36" s="74"/>
      <c r="Q36" s="74"/>
      <c r="R36" s="74"/>
      <c r="S36" s="74"/>
      <c r="T36" s="74"/>
      <c r="U36" s="74"/>
      <c r="V36" s="74"/>
    </row>
    <row r="37" spans="1:22" x14ac:dyDescent="0.25">
      <c r="A37" s="501" t="s">
        <v>1099</v>
      </c>
      <c r="B37" s="1">
        <v>126</v>
      </c>
      <c r="C37" s="1">
        <v>244</v>
      </c>
      <c r="D37" s="1">
        <v>89</v>
      </c>
      <c r="E37" s="502">
        <v>39</v>
      </c>
      <c r="F37" s="125"/>
      <c r="G37" s="125"/>
      <c r="H37" s="125"/>
      <c r="I37" s="125"/>
      <c r="J37" s="125"/>
      <c r="K37" s="125"/>
      <c r="L37" s="125"/>
      <c r="M37" s="125"/>
      <c r="N37" s="126"/>
      <c r="O37" s="74"/>
      <c r="P37" s="74"/>
      <c r="Q37" s="74"/>
      <c r="R37" s="74"/>
      <c r="S37" s="74"/>
      <c r="T37" s="74"/>
      <c r="U37" s="74"/>
      <c r="V37" s="74"/>
    </row>
    <row r="38" spans="1:22" x14ac:dyDescent="0.25">
      <c r="A38" s="501" t="s">
        <v>1100</v>
      </c>
      <c r="B38" s="1">
        <v>107</v>
      </c>
      <c r="C38" s="1">
        <v>222</v>
      </c>
      <c r="D38" s="1">
        <v>73</v>
      </c>
      <c r="E38" s="502">
        <v>26</v>
      </c>
      <c r="F38" s="125"/>
      <c r="G38" s="125"/>
      <c r="H38" s="125"/>
      <c r="I38" s="125"/>
      <c r="J38" s="125"/>
      <c r="K38" s="125"/>
      <c r="L38" s="125"/>
      <c r="M38" s="125"/>
      <c r="N38" s="126"/>
      <c r="O38" s="74"/>
      <c r="P38" s="74"/>
      <c r="Q38" s="74"/>
      <c r="R38" s="74"/>
      <c r="S38" s="74"/>
      <c r="T38" s="74"/>
      <c r="U38" s="74"/>
      <c r="V38" s="74"/>
    </row>
    <row r="39" spans="1:22" x14ac:dyDescent="0.25">
      <c r="A39" s="501" t="s">
        <v>2286</v>
      </c>
      <c r="B39" s="1">
        <v>114</v>
      </c>
      <c r="C39" s="1">
        <v>237</v>
      </c>
      <c r="D39" s="1">
        <v>82</v>
      </c>
      <c r="E39" s="667">
        <v>39</v>
      </c>
      <c r="F39" s="125"/>
      <c r="G39" s="125"/>
      <c r="H39" s="125"/>
      <c r="I39" s="125"/>
      <c r="J39" s="125"/>
      <c r="K39" s="125"/>
      <c r="L39" s="125"/>
      <c r="M39" s="125"/>
      <c r="N39" s="663"/>
      <c r="O39" s="74"/>
      <c r="P39" s="74"/>
      <c r="Q39" s="74"/>
      <c r="R39" s="74"/>
      <c r="S39" s="74"/>
      <c r="T39" s="74"/>
      <c r="U39" s="74"/>
      <c r="V39" s="74"/>
    </row>
    <row r="40" spans="1:22" x14ac:dyDescent="0.25">
      <c r="A40" s="501" t="s">
        <v>2287</v>
      </c>
      <c r="B40" s="1">
        <v>117</v>
      </c>
      <c r="C40" s="1">
        <v>216</v>
      </c>
      <c r="D40" s="1">
        <v>112</v>
      </c>
      <c r="E40" s="667">
        <v>38</v>
      </c>
      <c r="F40" s="125"/>
      <c r="G40" s="125"/>
      <c r="H40" s="125"/>
      <c r="I40" s="125"/>
      <c r="J40" s="125"/>
      <c r="K40" s="125"/>
      <c r="L40" s="125"/>
      <c r="M40" s="125"/>
      <c r="N40" s="663"/>
      <c r="O40" s="74"/>
      <c r="P40" s="74"/>
      <c r="Q40" s="74"/>
      <c r="R40" s="74"/>
      <c r="S40" s="74"/>
      <c r="T40" s="74"/>
      <c r="U40" s="74"/>
      <c r="V40" s="74"/>
    </row>
    <row r="41" spans="1:22" x14ac:dyDescent="0.25">
      <c r="A41" s="501" t="s">
        <v>1975</v>
      </c>
      <c r="B41" s="668">
        <v>147</v>
      </c>
      <c r="C41" s="1">
        <v>323</v>
      </c>
      <c r="D41" s="1">
        <v>96</v>
      </c>
      <c r="E41" s="502">
        <v>40</v>
      </c>
      <c r="F41" s="125"/>
      <c r="G41" s="125"/>
      <c r="H41" s="125"/>
      <c r="I41" s="125"/>
      <c r="J41" s="125"/>
      <c r="K41" s="125"/>
      <c r="L41" s="125"/>
      <c r="M41" s="125"/>
      <c r="N41" s="126"/>
      <c r="O41" s="74"/>
      <c r="P41" s="74"/>
      <c r="Q41" s="74"/>
      <c r="R41" s="74"/>
      <c r="S41" s="74"/>
      <c r="T41" s="74"/>
      <c r="U41" s="74"/>
      <c r="V41" s="74"/>
    </row>
    <row r="42" spans="1:22" x14ac:dyDescent="0.25">
      <c r="A42" s="501" t="s">
        <v>3979</v>
      </c>
      <c r="B42" s="669"/>
      <c r="C42" s="541"/>
      <c r="D42" s="541"/>
      <c r="E42" s="670"/>
      <c r="F42" s="125"/>
      <c r="G42" s="125"/>
      <c r="H42" s="125"/>
      <c r="I42" s="125"/>
      <c r="J42" s="125"/>
      <c r="K42" s="125"/>
      <c r="L42" s="125"/>
      <c r="M42" s="125"/>
      <c r="N42" s="126"/>
      <c r="O42" s="74"/>
      <c r="P42" s="74"/>
      <c r="Q42" s="74"/>
      <c r="R42" s="74"/>
      <c r="S42" s="74"/>
      <c r="T42" s="74"/>
      <c r="U42" s="74"/>
      <c r="V42" s="74"/>
    </row>
    <row r="43" spans="1:22" x14ac:dyDescent="0.25">
      <c r="A43" s="501"/>
      <c r="B43" s="668"/>
      <c r="C43" s="1"/>
      <c r="D43" s="1"/>
      <c r="E43" s="667"/>
      <c r="F43" s="125"/>
      <c r="G43" s="125"/>
      <c r="H43" s="125"/>
      <c r="I43" s="125"/>
      <c r="J43" s="125"/>
      <c r="K43" s="125"/>
      <c r="L43" s="125"/>
      <c r="M43" s="125"/>
      <c r="N43" s="663"/>
      <c r="O43" s="74"/>
      <c r="P43" s="74"/>
      <c r="Q43" s="74"/>
      <c r="R43" s="74"/>
      <c r="S43" s="74"/>
      <c r="T43" s="74"/>
      <c r="U43" s="74"/>
      <c r="V43" s="74"/>
    </row>
    <row r="44" spans="1:22" ht="13.8" thickBot="1" x14ac:dyDescent="0.3">
      <c r="A44" s="504" t="s">
        <v>1000</v>
      </c>
      <c r="B44" s="505">
        <f>SUM(B16:B42)</f>
        <v>3781</v>
      </c>
      <c r="C44" s="505">
        <f>SUM(C16:C42)</f>
        <v>7464</v>
      </c>
      <c r="D44" s="505">
        <f>SUM(D16:D42)</f>
        <v>2814</v>
      </c>
      <c r="E44" s="506">
        <f>SUM(E16:E42)</f>
        <v>1325</v>
      </c>
      <c r="F44" s="125"/>
      <c r="G44" s="125"/>
      <c r="H44" s="125"/>
      <c r="I44" s="125"/>
      <c r="J44" s="125"/>
      <c r="K44" s="125"/>
      <c r="L44" s="125"/>
      <c r="M44" s="125"/>
      <c r="N44" s="126"/>
      <c r="O44" s="74"/>
      <c r="P44" s="74"/>
      <c r="Q44" s="74"/>
      <c r="R44" s="74"/>
      <c r="S44" s="74"/>
      <c r="T44" s="74"/>
      <c r="U44" s="74"/>
      <c r="V44" s="74"/>
    </row>
    <row r="45" spans="1:22" x14ac:dyDescent="0.25">
      <c r="A45" s="74"/>
      <c r="B45" s="74"/>
      <c r="C45" s="74"/>
      <c r="D45" s="74"/>
      <c r="E45" s="74"/>
      <c r="F45" s="74"/>
      <c r="G45" s="74"/>
      <c r="H45" s="74"/>
      <c r="I45" s="74"/>
      <c r="J45" s="74"/>
      <c r="K45" s="74"/>
      <c r="L45" s="74"/>
      <c r="M45" s="74"/>
      <c r="N45" s="74"/>
      <c r="O45" s="74"/>
      <c r="P45" s="74"/>
      <c r="Q45" s="74"/>
      <c r="R45" s="74"/>
      <c r="S45" s="74"/>
      <c r="T45" s="74"/>
      <c r="U45" s="74"/>
      <c r="V45" s="74"/>
    </row>
  </sheetData>
  <customSheetViews>
    <customSheetView guid="{5F8FD084-40FB-49AA-B447-CD935F604D55}" scale="85">
      <selection activeCell="O28" sqref="O28"/>
      <pageMargins left="0.75" right="0.75" top="1" bottom="1" header="0.5" footer="0.5"/>
      <pageSetup scale="75" orientation="landscape" r:id="rId1"/>
      <headerFooter alignWithMargins="0"/>
    </customSheetView>
    <customSheetView guid="{5FD7D287-AC38-49FE-8AA5-C4506E353DCC}" scale="85" showPageBreaks="1" topLeftCell="A8">
      <selection activeCell="D40" sqref="D40"/>
      <pageMargins left="0.75" right="0.75" top="1" bottom="1" header="0.5" footer="0.5"/>
      <pageSetup scale="75" orientation="landscape" r:id="rId2"/>
      <headerFooter alignWithMargins="0"/>
    </customSheetView>
  </customSheetViews>
  <mergeCells count="8">
    <mergeCell ref="A1:N1"/>
    <mergeCell ref="A2:N3"/>
    <mergeCell ref="A4:N4"/>
    <mergeCell ref="A14:A15"/>
    <mergeCell ref="B14:B15"/>
    <mergeCell ref="C14:C15"/>
    <mergeCell ref="D14:D15"/>
    <mergeCell ref="E14:E15"/>
  </mergeCells>
  <pageMargins left="0.75" right="0.75" top="1" bottom="1" header="0.5" footer="0.5"/>
  <pageSetup scale="75" orientation="landscape" r:id="rId3"/>
  <headerFooter alignWithMargins="0"/>
  <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A03BF6-1CA6-4812-9023-A3DA80DB6CDD}">
  <sheetPr codeName="Sheet21">
    <tabColor theme="1" tint="0.499984740745262"/>
  </sheetPr>
  <dimension ref="A1:AB80"/>
  <sheetViews>
    <sheetView zoomScale="70" zoomScaleNormal="70" workbookViewId="0">
      <selection activeCell="AF33" sqref="AF33"/>
    </sheetView>
  </sheetViews>
  <sheetFormatPr defaultColWidth="8.88671875" defaultRowHeight="13.2" x14ac:dyDescent="0.25"/>
  <cols>
    <col min="1" max="1" width="19.33203125" style="2" customWidth="1"/>
    <col min="2" max="2" width="10.6640625" style="2" customWidth="1"/>
    <col min="3" max="5" width="10.33203125" style="2" bestFit="1" customWidth="1"/>
    <col min="6" max="13" width="8.88671875" style="2"/>
    <col min="14" max="14" width="10.6640625" style="2" customWidth="1"/>
    <col min="15" max="15" width="8.88671875" style="2"/>
    <col min="16" max="16" width="5.6640625" style="2" customWidth="1"/>
    <col min="17" max="17" width="15" style="2" customWidth="1"/>
    <col min="18" max="18" width="16.109375" style="2" customWidth="1"/>
    <col min="19" max="19" width="13.6640625" style="2" customWidth="1"/>
    <col min="20" max="20" width="24.88671875" style="2" customWidth="1"/>
    <col min="21" max="21" width="9.88671875" style="2" customWidth="1"/>
    <col min="22" max="22" width="5.6640625" style="2" customWidth="1"/>
    <col min="23" max="28" width="8.88671875" style="74"/>
    <col min="29" max="16384" width="8.88671875" style="2"/>
  </cols>
  <sheetData>
    <row r="1" spans="1:22" ht="13.8" thickBot="1" x14ac:dyDescent="0.3">
      <c r="A1" s="1169"/>
      <c r="B1" s="1169"/>
      <c r="C1" s="1169"/>
      <c r="D1" s="1169"/>
      <c r="E1" s="1169"/>
      <c r="F1" s="1169"/>
      <c r="G1" s="1169"/>
      <c r="H1" s="1169"/>
      <c r="I1" s="1169"/>
      <c r="J1" s="1169"/>
      <c r="K1" s="1169"/>
      <c r="L1" s="1169"/>
      <c r="M1" s="1169"/>
      <c r="N1" s="1169"/>
      <c r="O1" s="74"/>
      <c r="P1" s="74"/>
      <c r="Q1" s="74"/>
      <c r="R1" s="74"/>
      <c r="S1" s="74"/>
      <c r="T1" s="74"/>
      <c r="U1" s="74"/>
      <c r="V1" s="74"/>
    </row>
    <row r="2" spans="1:22" ht="14.4" customHeight="1" x14ac:dyDescent="0.25">
      <c r="A2" s="1188" t="s">
        <v>1101</v>
      </c>
      <c r="B2" s="1189"/>
      <c r="C2" s="1189"/>
      <c r="D2" s="1189"/>
      <c r="E2" s="1189"/>
      <c r="F2" s="1189"/>
      <c r="G2" s="1189"/>
      <c r="H2" s="1189"/>
      <c r="I2" s="1189"/>
      <c r="J2" s="1189"/>
      <c r="K2" s="1189"/>
      <c r="L2" s="1189"/>
      <c r="M2" s="1189"/>
      <c r="N2" s="1190"/>
      <c r="O2" s="74"/>
      <c r="P2" s="74"/>
      <c r="Q2" s="74"/>
      <c r="R2" s="74"/>
      <c r="S2" s="74"/>
      <c r="T2" s="74"/>
      <c r="U2" s="74"/>
      <c r="V2" s="74"/>
    </row>
    <row r="3" spans="1:22" x14ac:dyDescent="0.25">
      <c r="A3" s="1191"/>
      <c r="B3" s="1174"/>
      <c r="C3" s="1174"/>
      <c r="D3" s="1174"/>
      <c r="E3" s="1174"/>
      <c r="F3" s="1174"/>
      <c r="G3" s="1174"/>
      <c r="H3" s="1174"/>
      <c r="I3" s="1174"/>
      <c r="J3" s="1174"/>
      <c r="K3" s="1174"/>
      <c r="L3" s="1174"/>
      <c r="M3" s="1174"/>
      <c r="N3" s="1192"/>
      <c r="O3" s="74"/>
      <c r="P3" s="74"/>
      <c r="Q3" s="74"/>
      <c r="R3" s="74"/>
      <c r="S3" s="74"/>
      <c r="T3" s="74"/>
      <c r="U3" s="74"/>
      <c r="V3" s="74"/>
    </row>
    <row r="4" spans="1:22" ht="14.4" thickBot="1" x14ac:dyDescent="0.3">
      <c r="A4" s="1193"/>
      <c r="B4" s="1194"/>
      <c r="C4" s="1194"/>
      <c r="D4" s="1194"/>
      <c r="E4" s="1194"/>
      <c r="F4" s="1194"/>
      <c r="G4" s="1194"/>
      <c r="H4" s="1194"/>
      <c r="I4" s="1194"/>
      <c r="J4" s="1194"/>
      <c r="K4" s="1194"/>
      <c r="L4" s="1194"/>
      <c r="M4" s="1194"/>
      <c r="N4" s="1195"/>
      <c r="O4" s="74"/>
      <c r="P4" s="487"/>
      <c r="Q4" s="487"/>
      <c r="R4" s="487"/>
      <c r="S4" s="74"/>
      <c r="T4" s="74"/>
      <c r="U4" s="74"/>
      <c r="V4" s="74"/>
    </row>
    <row r="5" spans="1:22" ht="19.2" customHeight="1" x14ac:dyDescent="0.3">
      <c r="A5" s="883" t="s">
        <v>1102</v>
      </c>
      <c r="B5" s="884"/>
      <c r="C5" s="884"/>
      <c r="D5" s="884"/>
      <c r="E5" s="884"/>
      <c r="F5" s="884"/>
      <c r="G5" s="884"/>
      <c r="H5" s="884"/>
      <c r="I5" s="884"/>
      <c r="J5" s="884"/>
      <c r="K5" s="884"/>
      <c r="L5" s="884"/>
      <c r="M5" s="884"/>
      <c r="N5" s="885"/>
      <c r="O5" s="489"/>
      <c r="P5" s="858"/>
      <c r="Q5" s="837" t="str">
        <f>MID($AL15,6,2)</f>
        <v/>
      </c>
      <c r="R5" s="837"/>
      <c r="S5" s="838"/>
      <c r="T5" s="838"/>
      <c r="U5" s="838"/>
      <c r="V5" s="839"/>
    </row>
    <row r="6" spans="1:22" ht="14.4" x14ac:dyDescent="0.3">
      <c r="A6" s="891" t="s">
        <v>1103</v>
      </c>
      <c r="B6" s="892" t="str">
        <f>_xlfn.TEXTJOIN("-",TRUE, TEXT(IF((MONTH($R$15)) &gt; 20,(MONTH($R$15))*30, (MONTH($R$15))*29), "mmm"),  IF(13-MONTH($R$15) &lt; 1,MID(YEAR($R$15), 3, 2)+1, MID(YEAR($R$15), 3, 2)))</f>
        <v>May-23</v>
      </c>
      <c r="C6" s="892" t="str">
        <f>_xlfn.TEXTJOIN("-",TRUE, TEXT(IF((MONTH($R$15)+1) &gt; 20,(MONTH($R$15)+1)*30, (MONTH($R$15)+1)*29), "mmm"),  IF(13-MONTH($R$15) &lt; 2,MID(YEAR($R$15), 3, 2)+1, MID(YEAR($R$15), 3, 2)))</f>
        <v>Jun-23</v>
      </c>
      <c r="D6" s="892" t="str">
        <f>_xlfn.TEXTJOIN("-",TRUE, TEXT(IF((MONTH($R$15)+2) &gt; 20,(MONTH($R$15)+2)*30, (MONTH($R$15)+2)*29), "mmm"),  IF(13-MONTH($R$15) &lt; 3,MID(YEAR($R$15), 3, 2)+1, MID(YEAR($R$15), 3, 2)))</f>
        <v>Jul-23</v>
      </c>
      <c r="E6" s="892" t="str">
        <f>_xlfn.TEXTJOIN("-",TRUE, TEXT(IF((MONTH($R$15)+3) &gt; 20,(MONTH($R$15)+3)*30, (MONTH($R$15)+3)*29), "mmm"),  IF(13-MONTH($R$15) &lt; 4,MID(YEAR($R$15), 3, 2)+1, MID(YEAR($R$15), 3, 2)))</f>
        <v>Aug-23</v>
      </c>
      <c r="F6" s="892" t="str">
        <f>_xlfn.TEXTJOIN("-",TRUE, TEXT(IF((MONTH($R$15)+4) &gt; 20,(MONTH($R$15)+4)*30, (MONTH($R$15)+4)*29), "mmm"),  IF(13-MONTH($R$15) &lt; 5,MID(YEAR($R$15), 3, 2)+1, MID(YEAR($R$15), 3, 2)))</f>
        <v>Sep-23</v>
      </c>
      <c r="G6" s="892" t="str">
        <f>_xlfn.TEXTJOIN("-",TRUE, TEXT(IF((MONTH($R$15)+5) &gt; 20,(MONTH($R$15)+5)*30, (MONTH($R$15)+5)*29), "mmm"),  IF(13-MONTH($R$15) &lt; 6,MID(YEAR($R$15), 3, 2)+1, MID(YEAR($R$15), 3, 2)))</f>
        <v>Oct-23</v>
      </c>
      <c r="H6" s="892" t="str">
        <f>_xlfn.TEXTJOIN("-",TRUE, TEXT(IF((MONTH($R$15)+6) &gt; 20,(MONTH($R$15)+6)*30, (MONTH($R$15)+6)*29), "mmm"),  IF(13-MONTH($R$15) &lt; 7,MID(YEAR($R$15), 3, 2)+1, MID(YEAR($R$15), 3, 2)))</f>
        <v>Nov-23</v>
      </c>
      <c r="I6" s="892" t="str">
        <f>_xlfn.TEXTJOIN("-",TRUE, TEXT(IF((MONTH($R$15)+7) &gt; 20,(MONTH($R$15)+7)*30, (MONTH($R$15)+7)*29), "mmm"),  IF(13-MONTH($R$15) &lt; 8,MID(YEAR($R$15), 3, 2)+1, MID(YEAR($R$15), 3, 2)))</f>
        <v>Dec-23</v>
      </c>
      <c r="J6" s="892" t="str">
        <f>_xlfn.TEXTJOIN("-",TRUE, TEXT(IF((MONTH($R$15)+8) &gt; 20,(MONTH($R$15)+8)*30, (MONTH($R$15)+8)*29), "mmm"),  IF(13-MONTH($R$15) &lt; 9,MID(YEAR($R$15), 3, 2)+1, MID(YEAR($R$15), 3, 2)))</f>
        <v>Jan-24</v>
      </c>
      <c r="K6" s="892" t="str">
        <f>_xlfn.TEXTJOIN("-",TRUE, TEXT(IF((MONTH($R$15)+9) &gt; 20,(MONTH($R$15)+9)*30, (MONTH($R$15)+9)*29), "mmm"),  IF(13-MONTH($R$15) &lt; 10,MID(YEAR($R$15), 3, 2)+1, MID(YEAR($R$15), 3, 2)))</f>
        <v>Feb-24</v>
      </c>
      <c r="L6" s="892" t="str">
        <f>_xlfn.TEXTJOIN("-",TRUE, TEXT(IF((MONTH($R$15)+10) &gt; 20,(MONTH($R$15)+10)*30, (MONTH($R$15)+10)*29), "mmm"),  IF(13-MONTH($R$15) &lt; 11,MID(YEAR($R$15), 3, 2)+1, MID(YEAR($R$15), 3, 2)))</f>
        <v>Mar-24</v>
      </c>
      <c r="M6" s="893" t="str">
        <f>_xlfn.TEXTJOIN("-",TRUE, TEXT(IF((MONTH($R$15)+11) &gt; 20,(MONTH($R$15)+11)*30, (MONTH($R$15)+11)*29), "mmm"),  IF(13-MONTH($R$15) &lt; 12,MID(YEAR($R$15), 3, 2)+1, MID(YEAR($R$15), 3, 2)))</f>
        <v>Apr-24</v>
      </c>
      <c r="N6" s="894" t="s">
        <v>969</v>
      </c>
      <c r="O6" s="489"/>
      <c r="P6" s="844"/>
      <c r="Q6" s="66"/>
      <c r="R6" s="66"/>
      <c r="S6" s="74"/>
      <c r="T6" s="74"/>
      <c r="U6" s="74"/>
      <c r="V6" s="840"/>
    </row>
    <row r="7" spans="1:22" ht="14.4" x14ac:dyDescent="0.3">
      <c r="A7" s="878" t="s">
        <v>1104</v>
      </c>
      <c r="B7" s="1">
        <v>0</v>
      </c>
      <c r="C7" s="1">
        <v>0</v>
      </c>
      <c r="D7" s="1">
        <v>0</v>
      </c>
      <c r="E7" s="1">
        <v>0</v>
      </c>
      <c r="F7" s="1">
        <v>0</v>
      </c>
      <c r="G7" s="1">
        <v>0</v>
      </c>
      <c r="H7" s="1">
        <v>0</v>
      </c>
      <c r="I7" s="1">
        <v>0</v>
      </c>
      <c r="J7" s="1">
        <v>0</v>
      </c>
      <c r="K7" s="1">
        <v>0</v>
      </c>
      <c r="L7" s="1">
        <v>0</v>
      </c>
      <c r="M7" s="890">
        <v>0</v>
      </c>
      <c r="N7" s="879">
        <f>SUM(B7:M7)</f>
        <v>0</v>
      </c>
      <c r="O7" s="490"/>
      <c r="P7" s="844"/>
      <c r="Q7" s="66"/>
      <c r="R7" s="66"/>
      <c r="S7" s="74"/>
      <c r="T7" s="74"/>
      <c r="U7" s="74"/>
      <c r="V7" s="840"/>
    </row>
    <row r="8" spans="1:22" ht="14.4" x14ac:dyDescent="0.3">
      <c r="A8" s="878" t="s">
        <v>3537</v>
      </c>
      <c r="B8" s="1">
        <v>0</v>
      </c>
      <c r="C8" s="1">
        <v>0</v>
      </c>
      <c r="D8" s="1">
        <v>0</v>
      </c>
      <c r="E8" s="1">
        <v>0</v>
      </c>
      <c r="F8" s="1">
        <v>0</v>
      </c>
      <c r="G8" s="1">
        <v>0</v>
      </c>
      <c r="H8" s="1">
        <v>0</v>
      </c>
      <c r="I8" s="1">
        <v>0</v>
      </c>
      <c r="J8" s="1">
        <v>0</v>
      </c>
      <c r="K8" s="1">
        <v>0</v>
      </c>
      <c r="L8" s="1">
        <v>0</v>
      </c>
      <c r="M8" s="890">
        <v>0</v>
      </c>
      <c r="N8" s="879">
        <f t="shared" ref="N8:N33" si="0">SUM(B8:M8)</f>
        <v>0</v>
      </c>
      <c r="O8" s="490"/>
      <c r="P8" s="844"/>
      <c r="Q8" s="66"/>
      <c r="R8" s="66"/>
      <c r="S8" s="74"/>
      <c r="T8" s="74"/>
      <c r="U8" s="74"/>
      <c r="V8" s="840"/>
    </row>
    <row r="9" spans="1:22" ht="14.4" x14ac:dyDescent="0.3">
      <c r="A9" s="878" t="s">
        <v>307</v>
      </c>
      <c r="B9" s="1">
        <v>0</v>
      </c>
      <c r="C9" s="1">
        <v>0</v>
      </c>
      <c r="D9" s="1">
        <v>0</v>
      </c>
      <c r="E9" s="1">
        <v>0</v>
      </c>
      <c r="F9" s="1">
        <v>4</v>
      </c>
      <c r="G9" s="1">
        <v>0</v>
      </c>
      <c r="H9" s="1">
        <v>8</v>
      </c>
      <c r="I9" s="1">
        <v>0</v>
      </c>
      <c r="J9" s="1">
        <v>0</v>
      </c>
      <c r="K9" s="1">
        <v>0</v>
      </c>
      <c r="L9" s="1">
        <v>0</v>
      </c>
      <c r="M9" s="890">
        <v>4</v>
      </c>
      <c r="N9" s="879">
        <f t="shared" si="0"/>
        <v>16</v>
      </c>
      <c r="O9" s="490"/>
      <c r="P9" s="844"/>
      <c r="Q9" s="66"/>
      <c r="R9" s="66"/>
      <c r="S9" s="74"/>
      <c r="T9" s="74"/>
      <c r="U9" s="74"/>
      <c r="V9" s="840"/>
    </row>
    <row r="10" spans="1:22" ht="14.4" x14ac:dyDescent="0.3">
      <c r="A10" s="878" t="s">
        <v>323</v>
      </c>
      <c r="B10" s="1">
        <v>0.11</v>
      </c>
      <c r="C10" s="1">
        <v>0</v>
      </c>
      <c r="D10" s="1">
        <v>0.11</v>
      </c>
      <c r="E10" s="1">
        <v>0.60500000000000009</v>
      </c>
      <c r="F10" s="1">
        <v>0.22</v>
      </c>
      <c r="G10" s="1">
        <v>0</v>
      </c>
      <c r="H10" s="1">
        <v>0.33</v>
      </c>
      <c r="I10" s="1">
        <v>0</v>
      </c>
      <c r="J10" s="1">
        <v>0.22</v>
      </c>
      <c r="K10" s="1">
        <v>0</v>
      </c>
      <c r="L10" s="1">
        <v>0</v>
      </c>
      <c r="M10" s="890">
        <v>0</v>
      </c>
      <c r="N10" s="879">
        <f t="shared" si="0"/>
        <v>1.5950000000000002</v>
      </c>
      <c r="O10" s="490"/>
      <c r="P10" s="844"/>
      <c r="Q10" s="66"/>
      <c r="R10" s="66"/>
      <c r="S10" s="74"/>
      <c r="T10" s="74"/>
      <c r="U10" s="74"/>
      <c r="V10" s="840"/>
    </row>
    <row r="11" spans="1:22" ht="14.4" x14ac:dyDescent="0.3">
      <c r="A11" s="878" t="s">
        <v>3538</v>
      </c>
      <c r="B11" s="1">
        <v>0</v>
      </c>
      <c r="C11" s="1">
        <v>0</v>
      </c>
      <c r="D11" s="1">
        <v>0</v>
      </c>
      <c r="E11" s="1">
        <v>0</v>
      </c>
      <c r="F11" s="1">
        <v>0</v>
      </c>
      <c r="G11" s="1">
        <v>0.19700000000000001</v>
      </c>
      <c r="H11" s="1">
        <v>0.76500000000000001</v>
      </c>
      <c r="I11" s="1">
        <v>0</v>
      </c>
      <c r="J11" s="1">
        <v>0</v>
      </c>
      <c r="K11" s="1">
        <v>0</v>
      </c>
      <c r="L11" s="1">
        <v>0</v>
      </c>
      <c r="M11" s="890">
        <v>0</v>
      </c>
      <c r="N11" s="879">
        <f t="shared" si="0"/>
        <v>0.96199999999999997</v>
      </c>
      <c r="O11" s="490"/>
      <c r="P11" s="844"/>
      <c r="Q11" s="66"/>
      <c r="R11" s="66"/>
      <c r="S11" s="74"/>
      <c r="T11" s="74"/>
      <c r="U11" s="74"/>
      <c r="V11" s="840"/>
    </row>
    <row r="12" spans="1:22" ht="14.4" x14ac:dyDescent="0.25">
      <c r="A12" s="878" t="s">
        <v>1105</v>
      </c>
      <c r="B12" s="1">
        <v>0</v>
      </c>
      <c r="C12" s="1">
        <v>0</v>
      </c>
      <c r="D12" s="1">
        <v>0</v>
      </c>
      <c r="E12" s="1">
        <v>0</v>
      </c>
      <c r="F12" s="1">
        <v>0</v>
      </c>
      <c r="G12" s="1">
        <v>0</v>
      </c>
      <c r="H12" s="1">
        <v>0</v>
      </c>
      <c r="I12" s="1">
        <v>0</v>
      </c>
      <c r="J12" s="1">
        <v>0</v>
      </c>
      <c r="K12" s="1">
        <v>0</v>
      </c>
      <c r="L12" s="1">
        <v>0</v>
      </c>
      <c r="M12" s="890">
        <v>0</v>
      </c>
      <c r="N12" s="879">
        <f t="shared" si="0"/>
        <v>0</v>
      </c>
      <c r="O12" s="490"/>
      <c r="P12" s="859"/>
      <c r="Q12" s="828"/>
      <c r="R12" s="828"/>
      <c r="S12" s="74"/>
      <c r="T12" s="74"/>
      <c r="U12" s="74"/>
      <c r="V12" s="840"/>
    </row>
    <row r="13" spans="1:22" ht="14.4" x14ac:dyDescent="0.3">
      <c r="A13" s="878" t="s">
        <v>382</v>
      </c>
      <c r="B13" s="1">
        <v>0</v>
      </c>
      <c r="C13" s="1">
        <v>0</v>
      </c>
      <c r="D13" s="1">
        <v>0</v>
      </c>
      <c r="E13" s="1">
        <v>0</v>
      </c>
      <c r="F13" s="1">
        <v>0</v>
      </c>
      <c r="G13" s="1">
        <v>0</v>
      </c>
      <c r="H13" s="1">
        <v>0</v>
      </c>
      <c r="I13" s="1">
        <v>0.2</v>
      </c>
      <c r="J13" s="1">
        <v>0</v>
      </c>
      <c r="K13" s="1">
        <v>0</v>
      </c>
      <c r="L13" s="1">
        <v>0</v>
      </c>
      <c r="M13" s="890">
        <v>0</v>
      </c>
      <c r="N13" s="879">
        <f t="shared" si="0"/>
        <v>0.2</v>
      </c>
      <c r="O13" s="74"/>
      <c r="P13" s="860"/>
      <c r="Q13" s="829"/>
      <c r="R13" s="829"/>
      <c r="S13" s="74"/>
      <c r="T13" s="74"/>
      <c r="U13" s="74"/>
      <c r="V13" s="840"/>
    </row>
    <row r="14" spans="1:22" ht="15" thickBot="1" x14ac:dyDescent="0.35">
      <c r="A14" s="878" t="s">
        <v>398</v>
      </c>
      <c r="B14" s="1">
        <v>0</v>
      </c>
      <c r="C14" s="1">
        <v>1</v>
      </c>
      <c r="D14" s="1">
        <v>0</v>
      </c>
      <c r="E14" s="1">
        <v>0</v>
      </c>
      <c r="F14" s="1">
        <v>0</v>
      </c>
      <c r="G14" s="1">
        <v>1</v>
      </c>
      <c r="H14" s="1">
        <v>0</v>
      </c>
      <c r="I14" s="1">
        <v>0</v>
      </c>
      <c r="J14" s="1">
        <v>0</v>
      </c>
      <c r="K14" s="1">
        <v>0</v>
      </c>
      <c r="L14" s="1">
        <v>0</v>
      </c>
      <c r="M14" s="890">
        <v>0</v>
      </c>
      <c r="N14" s="879">
        <f t="shared" si="0"/>
        <v>2</v>
      </c>
      <c r="O14" s="74"/>
      <c r="P14" s="861"/>
      <c r="Q14" s="66"/>
      <c r="R14" s="66"/>
      <c r="S14" s="74"/>
      <c r="T14" s="74"/>
      <c r="U14" s="74"/>
      <c r="V14" s="840"/>
    </row>
    <row r="15" spans="1:22" ht="18" x14ac:dyDescent="0.35">
      <c r="A15" s="878" t="s">
        <v>327</v>
      </c>
      <c r="B15" s="1">
        <v>0</v>
      </c>
      <c r="C15" s="1">
        <v>1.05</v>
      </c>
      <c r="D15" s="1">
        <v>0</v>
      </c>
      <c r="E15" s="1">
        <v>0</v>
      </c>
      <c r="F15" s="1">
        <v>0</v>
      </c>
      <c r="G15" s="1">
        <v>0</v>
      </c>
      <c r="H15" s="1">
        <v>0</v>
      </c>
      <c r="I15" s="1">
        <v>0</v>
      </c>
      <c r="J15" s="1">
        <v>0</v>
      </c>
      <c r="K15" s="1">
        <v>0</v>
      </c>
      <c r="L15" s="1">
        <v>0</v>
      </c>
      <c r="M15" s="890">
        <v>0</v>
      </c>
      <c r="N15" s="879">
        <f t="shared" si="0"/>
        <v>1.05</v>
      </c>
      <c r="O15" s="74"/>
      <c r="P15" s="844"/>
      <c r="Q15" s="848" t="s">
        <v>0</v>
      </c>
      <c r="R15" s="843">
        <v>45047</v>
      </c>
      <c r="S15" s="850"/>
      <c r="T15" s="850"/>
      <c r="U15" s="851"/>
      <c r="V15" s="840"/>
    </row>
    <row r="16" spans="1:22" ht="18" x14ac:dyDescent="0.35">
      <c r="A16" s="878" t="s">
        <v>353</v>
      </c>
      <c r="B16" s="1">
        <v>1</v>
      </c>
      <c r="C16" s="1">
        <v>0</v>
      </c>
      <c r="D16" s="1">
        <v>4</v>
      </c>
      <c r="E16" s="1">
        <v>0</v>
      </c>
      <c r="F16" s="1">
        <v>0</v>
      </c>
      <c r="G16" s="1">
        <v>0</v>
      </c>
      <c r="H16" s="1">
        <v>4</v>
      </c>
      <c r="I16" s="1">
        <v>0</v>
      </c>
      <c r="J16" s="1">
        <v>0</v>
      </c>
      <c r="K16" s="1">
        <v>0</v>
      </c>
      <c r="L16" s="1">
        <v>1</v>
      </c>
      <c r="M16" s="890">
        <v>11</v>
      </c>
      <c r="N16" s="879">
        <f t="shared" si="0"/>
        <v>21</v>
      </c>
      <c r="O16" s="74"/>
      <c r="P16" s="844"/>
      <c r="Q16" s="849" t="s">
        <v>2</v>
      </c>
      <c r="R16" s="827">
        <v>45412</v>
      </c>
      <c r="S16" s="820"/>
      <c r="T16" s="820"/>
      <c r="U16" s="852"/>
      <c r="V16" s="840"/>
    </row>
    <row r="17" spans="1:22" ht="14.4" x14ac:dyDescent="0.3">
      <c r="A17" s="878" t="s">
        <v>330</v>
      </c>
      <c r="B17" s="1">
        <v>0</v>
      </c>
      <c r="C17" s="1">
        <v>0</v>
      </c>
      <c r="D17" s="1">
        <v>1.3259999999999998</v>
      </c>
      <c r="E17" s="1">
        <v>0</v>
      </c>
      <c r="F17" s="1">
        <v>0.255</v>
      </c>
      <c r="G17" s="1">
        <v>0</v>
      </c>
      <c r="H17" s="1">
        <v>0</v>
      </c>
      <c r="I17" s="1">
        <v>5.0999999999999996</v>
      </c>
      <c r="J17" s="1">
        <v>0</v>
      </c>
      <c r="K17" s="1">
        <v>0.51</v>
      </c>
      <c r="L17" s="1">
        <v>2.5499999999999998</v>
      </c>
      <c r="M17" s="890">
        <v>13.26</v>
      </c>
      <c r="N17" s="879">
        <f t="shared" si="0"/>
        <v>23.000999999999998</v>
      </c>
      <c r="O17" s="74"/>
      <c r="P17" s="844"/>
      <c r="Q17" s="856"/>
      <c r="R17" s="129"/>
      <c r="S17" s="129"/>
      <c r="T17" s="129"/>
      <c r="U17" s="857"/>
      <c r="V17" s="840"/>
    </row>
    <row r="18" spans="1:22" ht="18" x14ac:dyDescent="0.3">
      <c r="A18" s="878" t="s">
        <v>3539</v>
      </c>
      <c r="B18" s="1">
        <v>0</v>
      </c>
      <c r="C18" s="1">
        <v>0</v>
      </c>
      <c r="D18" s="1">
        <v>0.22</v>
      </c>
      <c r="E18" s="1">
        <v>0</v>
      </c>
      <c r="F18" s="1">
        <v>0</v>
      </c>
      <c r="G18" s="1">
        <v>0</v>
      </c>
      <c r="H18" s="1">
        <v>0</v>
      </c>
      <c r="I18" s="1">
        <v>0</v>
      </c>
      <c r="J18" s="1">
        <v>0</v>
      </c>
      <c r="K18" s="1">
        <v>0</v>
      </c>
      <c r="L18" s="1">
        <v>0</v>
      </c>
      <c r="M18" s="890">
        <v>0</v>
      </c>
      <c r="N18" s="879">
        <f t="shared" si="0"/>
        <v>0.22</v>
      </c>
      <c r="O18" s="74"/>
      <c r="P18" s="844"/>
      <c r="Q18" s="853" t="s">
        <v>1</v>
      </c>
      <c r="R18" s="854"/>
      <c r="S18" s="854"/>
      <c r="T18" s="854"/>
      <c r="U18" s="855"/>
      <c r="V18" s="840"/>
    </row>
    <row r="19" spans="1:22" ht="14.4" x14ac:dyDescent="0.3">
      <c r="A19" s="878" t="s">
        <v>2855</v>
      </c>
      <c r="B19" s="1">
        <v>0.9</v>
      </c>
      <c r="C19" s="1">
        <v>0</v>
      </c>
      <c r="D19" s="1">
        <v>0</v>
      </c>
      <c r="E19" s="1">
        <v>0</v>
      </c>
      <c r="F19" s="1">
        <v>0</v>
      </c>
      <c r="G19" s="1">
        <v>0</v>
      </c>
      <c r="H19" s="1">
        <v>0</v>
      </c>
      <c r="I19" s="1">
        <v>0</v>
      </c>
      <c r="J19" s="1">
        <v>0</v>
      </c>
      <c r="K19" s="1">
        <v>0</v>
      </c>
      <c r="L19" s="1">
        <v>0</v>
      </c>
      <c r="M19" s="890">
        <v>5.0000000000000001E-3</v>
      </c>
      <c r="N19" s="879">
        <f t="shared" si="0"/>
        <v>0.90500000000000003</v>
      </c>
      <c r="O19" s="74"/>
      <c r="P19" s="844"/>
      <c r="Q19" s="845"/>
      <c r="R19" s="158"/>
      <c r="S19" s="158"/>
      <c r="T19" s="158"/>
      <c r="U19" s="846"/>
      <c r="V19" s="840"/>
    </row>
    <row r="20" spans="1:22" ht="16.2" customHeight="1" x14ac:dyDescent="0.3">
      <c r="A20" s="878" t="s">
        <v>1106</v>
      </c>
      <c r="B20" s="1">
        <v>0</v>
      </c>
      <c r="C20" s="1">
        <v>0</v>
      </c>
      <c r="D20" s="1">
        <v>0</v>
      </c>
      <c r="E20" s="1">
        <v>0</v>
      </c>
      <c r="F20" s="1">
        <v>0</v>
      </c>
      <c r="G20" s="1">
        <v>0</v>
      </c>
      <c r="H20" s="1">
        <v>0</v>
      </c>
      <c r="I20" s="1">
        <v>0</v>
      </c>
      <c r="J20" s="1">
        <v>0</v>
      </c>
      <c r="K20" s="1">
        <v>0</v>
      </c>
      <c r="L20" s="1">
        <v>0</v>
      </c>
      <c r="M20" s="890">
        <v>0</v>
      </c>
      <c r="N20" s="879">
        <f t="shared" si="0"/>
        <v>0</v>
      </c>
      <c r="O20" s="74"/>
      <c r="P20" s="844"/>
      <c r="Q20" s="1185" t="s">
        <v>3624</v>
      </c>
      <c r="R20" s="1186"/>
      <c r="S20" s="1186"/>
      <c r="T20" s="1186"/>
      <c r="U20" s="1187"/>
      <c r="V20" s="840"/>
    </row>
    <row r="21" spans="1:22" ht="15.6" customHeight="1" x14ac:dyDescent="0.3">
      <c r="A21" s="878" t="s">
        <v>393</v>
      </c>
      <c r="B21" s="1">
        <v>1</v>
      </c>
      <c r="C21" s="1">
        <v>1</v>
      </c>
      <c r="D21" s="1">
        <v>4</v>
      </c>
      <c r="E21" s="1">
        <v>0</v>
      </c>
      <c r="F21" s="1">
        <v>0</v>
      </c>
      <c r="G21" s="1">
        <v>0</v>
      </c>
      <c r="H21" s="1">
        <v>0</v>
      </c>
      <c r="I21" s="1">
        <v>0</v>
      </c>
      <c r="J21" s="1">
        <v>0</v>
      </c>
      <c r="K21" s="1">
        <v>2</v>
      </c>
      <c r="L21" s="1">
        <v>4</v>
      </c>
      <c r="M21" s="890">
        <v>4</v>
      </c>
      <c r="N21" s="879">
        <f t="shared" si="0"/>
        <v>16</v>
      </c>
      <c r="O21" s="74"/>
      <c r="P21" s="844"/>
      <c r="Q21" s="1196" t="s">
        <v>4088</v>
      </c>
      <c r="R21" s="1197"/>
      <c r="S21" s="1197"/>
      <c r="T21" s="1197"/>
      <c r="U21" s="1198"/>
      <c r="V21" s="840"/>
    </row>
    <row r="22" spans="1:22" ht="14.4" x14ac:dyDescent="0.3">
      <c r="A22" s="878" t="s">
        <v>388</v>
      </c>
      <c r="B22" s="1">
        <v>0</v>
      </c>
      <c r="C22" s="1">
        <v>0.2</v>
      </c>
      <c r="D22" s="1">
        <v>0</v>
      </c>
      <c r="E22" s="1">
        <v>0</v>
      </c>
      <c r="F22" s="1">
        <v>0</v>
      </c>
      <c r="G22" s="1">
        <v>0</v>
      </c>
      <c r="H22" s="1">
        <v>0</v>
      </c>
      <c r="I22" s="1">
        <v>0.2</v>
      </c>
      <c r="J22" s="1">
        <v>0</v>
      </c>
      <c r="K22" s="1">
        <v>0</v>
      </c>
      <c r="L22" s="1">
        <v>0</v>
      </c>
      <c r="M22" s="890">
        <v>0</v>
      </c>
      <c r="N22" s="879">
        <f t="shared" si="0"/>
        <v>0.4</v>
      </c>
      <c r="O22" s="74"/>
      <c r="P22" s="844"/>
      <c r="Q22" s="847" t="s">
        <v>4089</v>
      </c>
      <c r="R22" s="830"/>
      <c r="S22" s="830"/>
      <c r="T22" s="830"/>
      <c r="U22" s="794"/>
      <c r="V22" s="840"/>
    </row>
    <row r="23" spans="1:22" ht="14.4" x14ac:dyDescent="0.3">
      <c r="A23" s="878" t="s">
        <v>3540</v>
      </c>
      <c r="B23" s="1">
        <v>0</v>
      </c>
      <c r="C23" s="1">
        <v>0</v>
      </c>
      <c r="D23" s="1">
        <v>0</v>
      </c>
      <c r="E23" s="1">
        <v>0</v>
      </c>
      <c r="F23" s="1">
        <v>0</v>
      </c>
      <c r="G23" s="1">
        <v>0.185</v>
      </c>
      <c r="H23" s="1">
        <v>0</v>
      </c>
      <c r="I23" s="1">
        <v>0</v>
      </c>
      <c r="J23" s="1">
        <v>0</v>
      </c>
      <c r="K23" s="1">
        <v>0</v>
      </c>
      <c r="L23" s="1">
        <v>0</v>
      </c>
      <c r="M23" s="890">
        <v>0</v>
      </c>
      <c r="N23" s="879">
        <f t="shared" si="0"/>
        <v>0.185</v>
      </c>
      <c r="O23" s="74"/>
      <c r="P23" s="844"/>
      <c r="Q23" s="793"/>
      <c r="R23" s="106"/>
      <c r="S23" s="106"/>
      <c r="T23" s="106"/>
      <c r="U23" s="800"/>
      <c r="V23" s="840"/>
    </row>
    <row r="24" spans="1:22" ht="14.4" x14ac:dyDescent="0.3">
      <c r="A24" s="878" t="s">
        <v>352</v>
      </c>
      <c r="B24" s="1">
        <v>0</v>
      </c>
      <c r="C24" s="1">
        <v>0</v>
      </c>
      <c r="D24" s="1">
        <v>4</v>
      </c>
      <c r="E24" s="1">
        <v>0</v>
      </c>
      <c r="F24" s="1">
        <v>0</v>
      </c>
      <c r="G24" s="1">
        <v>0</v>
      </c>
      <c r="H24" s="1">
        <v>0</v>
      </c>
      <c r="I24" s="1">
        <v>0</v>
      </c>
      <c r="J24" s="1">
        <v>0</v>
      </c>
      <c r="K24" s="1">
        <v>1</v>
      </c>
      <c r="L24" s="1">
        <v>0</v>
      </c>
      <c r="M24" s="890">
        <v>8</v>
      </c>
      <c r="N24" s="879">
        <f t="shared" si="0"/>
        <v>13</v>
      </c>
      <c r="O24" s="74"/>
      <c r="P24" s="844"/>
      <c r="Q24" s="793"/>
      <c r="R24" s="105"/>
      <c r="S24" s="105"/>
      <c r="T24" s="105"/>
      <c r="U24" s="796"/>
      <c r="V24" s="840"/>
    </row>
    <row r="25" spans="1:22" ht="14.4" x14ac:dyDescent="0.3">
      <c r="A25" s="878" t="s">
        <v>318</v>
      </c>
      <c r="B25" s="1">
        <v>1</v>
      </c>
      <c r="C25" s="1">
        <v>0</v>
      </c>
      <c r="D25" s="1">
        <v>2.5</v>
      </c>
      <c r="E25" s="1">
        <v>1.5</v>
      </c>
      <c r="F25" s="1">
        <v>1.5</v>
      </c>
      <c r="G25" s="1">
        <v>1</v>
      </c>
      <c r="H25" s="1">
        <v>0</v>
      </c>
      <c r="I25" s="1">
        <v>2</v>
      </c>
      <c r="J25" s="1">
        <v>1</v>
      </c>
      <c r="K25" s="1">
        <v>2</v>
      </c>
      <c r="L25" s="1">
        <v>0.5</v>
      </c>
      <c r="M25" s="890">
        <v>2</v>
      </c>
      <c r="N25" s="879">
        <f t="shared" si="0"/>
        <v>15</v>
      </c>
      <c r="O25" s="74"/>
      <c r="P25" s="844"/>
      <c r="Q25" s="795"/>
      <c r="R25" s="105"/>
      <c r="S25" s="105"/>
      <c r="T25" s="105"/>
      <c r="U25" s="796"/>
      <c r="V25" s="840"/>
    </row>
    <row r="26" spans="1:22" ht="14.4" x14ac:dyDescent="0.3">
      <c r="A26" s="878" t="s">
        <v>3764</v>
      </c>
      <c r="B26" s="1">
        <v>0</v>
      </c>
      <c r="C26" s="1">
        <v>0</v>
      </c>
      <c r="D26" s="1">
        <v>0</v>
      </c>
      <c r="E26" s="1">
        <v>0</v>
      </c>
      <c r="F26" s="1">
        <v>0</v>
      </c>
      <c r="G26" s="1">
        <v>0</v>
      </c>
      <c r="H26" s="1">
        <v>0</v>
      </c>
      <c r="I26" s="1">
        <v>0</v>
      </c>
      <c r="J26" s="1">
        <v>0</v>
      </c>
      <c r="K26" s="1">
        <v>0</v>
      </c>
      <c r="L26" s="1">
        <v>0</v>
      </c>
      <c r="M26" s="890">
        <v>0</v>
      </c>
      <c r="N26" s="879">
        <f t="shared" ref="N26" si="1">SUM(B26:M26)</f>
        <v>0</v>
      </c>
      <c r="O26" s="74"/>
      <c r="P26" s="844"/>
      <c r="Q26" s="1185" t="s">
        <v>4239</v>
      </c>
      <c r="R26" s="1186"/>
      <c r="S26" s="1186"/>
      <c r="T26" s="1186"/>
      <c r="U26" s="1187"/>
      <c r="V26" s="840"/>
    </row>
    <row r="27" spans="1:22" ht="14.4" x14ac:dyDescent="0.3">
      <c r="A27" s="878" t="s">
        <v>1107</v>
      </c>
      <c r="B27" s="1">
        <v>0</v>
      </c>
      <c r="C27" s="1">
        <v>0</v>
      </c>
      <c r="D27" s="1">
        <v>0</v>
      </c>
      <c r="E27" s="1">
        <v>0</v>
      </c>
      <c r="F27" s="1">
        <v>0</v>
      </c>
      <c r="G27" s="1">
        <v>0</v>
      </c>
      <c r="H27" s="1">
        <v>0</v>
      </c>
      <c r="I27" s="1">
        <v>0</v>
      </c>
      <c r="J27" s="1">
        <v>0</v>
      </c>
      <c r="K27" s="1">
        <v>0</v>
      </c>
      <c r="L27" s="1">
        <v>0</v>
      </c>
      <c r="M27" s="890">
        <v>0</v>
      </c>
      <c r="N27" s="879">
        <f t="shared" si="0"/>
        <v>0</v>
      </c>
      <c r="O27" s="74"/>
      <c r="P27" s="844"/>
      <c r="Q27" s="795"/>
      <c r="R27" s="105"/>
      <c r="S27" s="105"/>
      <c r="T27" s="105"/>
      <c r="U27" s="796"/>
      <c r="V27" s="840"/>
    </row>
    <row r="28" spans="1:22" ht="14.4" x14ac:dyDescent="0.3">
      <c r="A28" s="878" t="s">
        <v>371</v>
      </c>
      <c r="B28" s="1">
        <v>2</v>
      </c>
      <c r="C28" s="1">
        <v>0</v>
      </c>
      <c r="D28" s="1">
        <v>4</v>
      </c>
      <c r="E28" s="1">
        <v>0</v>
      </c>
      <c r="F28" s="1">
        <v>0</v>
      </c>
      <c r="G28" s="1">
        <v>1</v>
      </c>
      <c r="H28" s="1">
        <v>3</v>
      </c>
      <c r="I28" s="1">
        <v>0</v>
      </c>
      <c r="J28" s="1">
        <v>7</v>
      </c>
      <c r="K28" s="1">
        <v>3</v>
      </c>
      <c r="L28" s="1">
        <v>6</v>
      </c>
      <c r="M28" s="890">
        <v>1</v>
      </c>
      <c r="N28" s="879">
        <f t="shared" si="0"/>
        <v>27</v>
      </c>
      <c r="O28" s="74"/>
      <c r="P28" s="844"/>
      <c r="Q28" s="795"/>
      <c r="R28" s="105"/>
      <c r="S28" s="105"/>
      <c r="T28" s="105"/>
      <c r="U28" s="796"/>
      <c r="V28" s="840"/>
    </row>
    <row r="29" spans="1:22" ht="15" thickBot="1" x14ac:dyDescent="0.35">
      <c r="A29" s="878" t="s">
        <v>3541</v>
      </c>
      <c r="B29" s="1">
        <v>0</v>
      </c>
      <c r="C29" s="1">
        <v>0</v>
      </c>
      <c r="D29" s="1">
        <v>0</v>
      </c>
      <c r="E29" s="1">
        <v>0</v>
      </c>
      <c r="F29" s="1">
        <v>0</v>
      </c>
      <c r="G29" s="1">
        <v>0</v>
      </c>
      <c r="H29" s="1">
        <v>0</v>
      </c>
      <c r="I29" s="1">
        <v>0</v>
      </c>
      <c r="J29" s="1">
        <v>0</v>
      </c>
      <c r="K29" s="1">
        <v>4</v>
      </c>
      <c r="L29" s="1">
        <v>0</v>
      </c>
      <c r="M29" s="890">
        <v>0</v>
      </c>
      <c r="N29" s="879">
        <f t="shared" si="0"/>
        <v>4</v>
      </c>
      <c r="O29" s="74"/>
      <c r="P29" s="844"/>
      <c r="Q29" s="797"/>
      <c r="R29" s="798"/>
      <c r="S29" s="798"/>
      <c r="T29" s="798"/>
      <c r="U29" s="799"/>
      <c r="V29" s="840"/>
    </row>
    <row r="30" spans="1:22" ht="15" thickBot="1" x14ac:dyDescent="0.35">
      <c r="A30" s="878" t="s">
        <v>1108</v>
      </c>
      <c r="B30" s="1">
        <v>0</v>
      </c>
      <c r="C30" s="1">
        <v>0</v>
      </c>
      <c r="D30" s="1">
        <v>0</v>
      </c>
      <c r="E30" s="1">
        <v>0</v>
      </c>
      <c r="F30" s="1">
        <v>0</v>
      </c>
      <c r="G30" s="1">
        <v>0</v>
      </c>
      <c r="H30" s="1">
        <v>0</v>
      </c>
      <c r="I30" s="1">
        <v>0</v>
      </c>
      <c r="J30" s="1">
        <v>0</v>
      </c>
      <c r="K30" s="1">
        <v>0</v>
      </c>
      <c r="L30" s="1">
        <v>0</v>
      </c>
      <c r="M30" s="890">
        <v>4</v>
      </c>
      <c r="N30" s="879">
        <f t="shared" si="0"/>
        <v>4</v>
      </c>
      <c r="O30" s="74"/>
      <c r="P30" s="862"/>
      <c r="Q30" s="841"/>
      <c r="R30" s="841"/>
      <c r="S30" s="841"/>
      <c r="T30" s="841"/>
      <c r="U30" s="841"/>
      <c r="V30" s="842"/>
    </row>
    <row r="31" spans="1:22" ht="14.4" x14ac:dyDescent="0.25">
      <c r="A31" s="878" t="s">
        <v>3542</v>
      </c>
      <c r="B31" s="1">
        <v>0</v>
      </c>
      <c r="C31" s="1">
        <v>0</v>
      </c>
      <c r="D31" s="1">
        <v>0</v>
      </c>
      <c r="E31" s="1">
        <v>0</v>
      </c>
      <c r="F31" s="1">
        <v>0</v>
      </c>
      <c r="G31" s="1">
        <v>0</v>
      </c>
      <c r="H31" s="1">
        <v>0</v>
      </c>
      <c r="I31" s="1">
        <v>0</v>
      </c>
      <c r="J31" s="1">
        <v>0</v>
      </c>
      <c r="K31" s="1">
        <v>0</v>
      </c>
      <c r="L31" s="1">
        <v>0</v>
      </c>
      <c r="M31" s="890">
        <v>0</v>
      </c>
      <c r="N31" s="879">
        <f t="shared" si="0"/>
        <v>0</v>
      </c>
      <c r="O31" s="74"/>
      <c r="P31" s="74"/>
      <c r="Q31" s="74"/>
      <c r="R31" s="74"/>
      <c r="S31" s="74"/>
      <c r="T31" s="74"/>
      <c r="U31" s="74"/>
      <c r="V31" s="74"/>
    </row>
    <row r="32" spans="1:22" ht="14.4" x14ac:dyDescent="0.25">
      <c r="A32" s="878" t="s">
        <v>3760</v>
      </c>
      <c r="B32" s="1">
        <v>0</v>
      </c>
      <c r="C32" s="1">
        <v>0</v>
      </c>
      <c r="D32" s="1">
        <v>0</v>
      </c>
      <c r="E32" s="1">
        <v>0</v>
      </c>
      <c r="F32" s="1">
        <v>0</v>
      </c>
      <c r="G32" s="1">
        <v>0</v>
      </c>
      <c r="H32" s="1">
        <v>0</v>
      </c>
      <c r="I32" s="1">
        <v>0</v>
      </c>
      <c r="J32" s="1">
        <v>0</v>
      </c>
      <c r="K32" s="1">
        <v>0</v>
      </c>
      <c r="L32" s="1">
        <v>0</v>
      </c>
      <c r="M32" s="890">
        <v>0</v>
      </c>
      <c r="N32" s="879">
        <f t="shared" si="0"/>
        <v>0</v>
      </c>
      <c r="O32" s="74"/>
      <c r="P32" s="74"/>
      <c r="Q32" s="74"/>
      <c r="R32" s="74"/>
      <c r="S32" s="74"/>
      <c r="T32" s="74"/>
      <c r="U32" s="74"/>
      <c r="V32" s="74"/>
    </row>
    <row r="33" spans="1:22" ht="14.4" x14ac:dyDescent="0.25">
      <c r="A33" s="878" t="s">
        <v>3761</v>
      </c>
      <c r="B33" s="1">
        <v>0</v>
      </c>
      <c r="C33" s="1">
        <v>0</v>
      </c>
      <c r="D33" s="1">
        <v>0</v>
      </c>
      <c r="E33" s="1">
        <v>0</v>
      </c>
      <c r="F33" s="1">
        <v>0</v>
      </c>
      <c r="G33" s="1">
        <v>0</v>
      </c>
      <c r="H33" s="1">
        <v>0</v>
      </c>
      <c r="I33" s="1">
        <v>0</v>
      </c>
      <c r="J33" s="1">
        <v>0</v>
      </c>
      <c r="K33" s="1">
        <v>0</v>
      </c>
      <c r="L33" s="1">
        <v>1</v>
      </c>
      <c r="M33" s="890">
        <v>0</v>
      </c>
      <c r="N33" s="879">
        <f t="shared" si="0"/>
        <v>1</v>
      </c>
      <c r="O33" s="74"/>
      <c r="P33" s="74"/>
      <c r="Q33" s="74"/>
      <c r="R33" s="74"/>
      <c r="S33" s="74"/>
      <c r="T33" s="74"/>
      <c r="U33" s="74"/>
      <c r="V33" s="74"/>
    </row>
    <row r="34" spans="1:22" ht="14.4" x14ac:dyDescent="0.25">
      <c r="A34" s="878" t="s">
        <v>401</v>
      </c>
      <c r="B34" s="1">
        <v>0</v>
      </c>
      <c r="C34" s="1">
        <v>0</v>
      </c>
      <c r="D34" s="1">
        <v>0.5</v>
      </c>
      <c r="E34" s="1">
        <v>5</v>
      </c>
      <c r="F34" s="1">
        <v>0</v>
      </c>
      <c r="G34" s="1">
        <v>0</v>
      </c>
      <c r="H34" s="1">
        <v>0</v>
      </c>
      <c r="I34" s="1">
        <v>0</v>
      </c>
      <c r="J34" s="1">
        <v>0</v>
      </c>
      <c r="K34" s="1">
        <v>0</v>
      </c>
      <c r="L34" s="1">
        <v>0</v>
      </c>
      <c r="M34" s="890">
        <v>0</v>
      </c>
      <c r="N34" s="879">
        <f t="shared" ref="N34:N35" si="2">SUM(B34:M34)</f>
        <v>5.5</v>
      </c>
      <c r="O34" s="74"/>
      <c r="P34" s="74"/>
      <c r="Q34" s="74"/>
      <c r="R34" s="74"/>
      <c r="S34" s="74"/>
      <c r="T34" s="74"/>
      <c r="U34" s="74"/>
      <c r="V34" s="74"/>
    </row>
    <row r="35" spans="1:22" ht="14.4" x14ac:dyDescent="0.25">
      <c r="A35" s="878" t="s">
        <v>3762</v>
      </c>
      <c r="B35" s="1">
        <v>0</v>
      </c>
      <c r="C35" s="1">
        <v>0</v>
      </c>
      <c r="D35" s="1">
        <v>0</v>
      </c>
      <c r="E35" s="1">
        <v>0</v>
      </c>
      <c r="F35" s="1">
        <v>0</v>
      </c>
      <c r="G35" s="1">
        <v>0</v>
      </c>
      <c r="H35" s="1">
        <v>0</v>
      </c>
      <c r="I35" s="1">
        <v>0</v>
      </c>
      <c r="J35" s="1">
        <v>0</v>
      </c>
      <c r="K35" s="1">
        <v>0</v>
      </c>
      <c r="L35" s="1">
        <v>0</v>
      </c>
      <c r="M35" s="890">
        <v>0</v>
      </c>
      <c r="N35" s="879">
        <f t="shared" si="2"/>
        <v>0</v>
      </c>
      <c r="O35" s="74"/>
      <c r="P35" s="74"/>
      <c r="Q35" s="74"/>
      <c r="R35" s="74"/>
      <c r="S35" s="74"/>
      <c r="T35" s="74"/>
      <c r="U35" s="74"/>
      <c r="V35" s="74"/>
    </row>
    <row r="36" spans="1:22" ht="14.4" x14ac:dyDescent="0.25">
      <c r="A36" s="878" t="s">
        <v>381</v>
      </c>
      <c r="B36" s="1">
        <v>0</v>
      </c>
      <c r="C36" s="1">
        <v>1</v>
      </c>
      <c r="D36" s="1">
        <v>0</v>
      </c>
      <c r="E36" s="1">
        <v>0</v>
      </c>
      <c r="F36" s="1">
        <v>0</v>
      </c>
      <c r="G36" s="1">
        <v>1</v>
      </c>
      <c r="H36" s="1">
        <v>0</v>
      </c>
      <c r="I36" s="1">
        <v>0</v>
      </c>
      <c r="J36" s="1">
        <v>0</v>
      </c>
      <c r="K36" s="1">
        <v>0</v>
      </c>
      <c r="L36" s="1">
        <v>0</v>
      </c>
      <c r="M36" s="890">
        <v>0</v>
      </c>
      <c r="N36" s="879">
        <f t="shared" ref="N36:N40" si="3">SUM(B36:M36)</f>
        <v>2</v>
      </c>
      <c r="O36" s="74"/>
      <c r="P36" s="74"/>
      <c r="Q36" s="74"/>
      <c r="R36" s="74"/>
      <c r="S36" s="74"/>
      <c r="T36" s="74"/>
      <c r="U36" s="74"/>
      <c r="V36" s="74"/>
    </row>
    <row r="37" spans="1:22" ht="14.4" x14ac:dyDescent="0.25">
      <c r="A37" s="878" t="s">
        <v>408</v>
      </c>
      <c r="B37" s="1">
        <v>0</v>
      </c>
      <c r="C37" s="1">
        <v>0</v>
      </c>
      <c r="D37" s="1">
        <v>0</v>
      </c>
      <c r="E37" s="1">
        <v>0</v>
      </c>
      <c r="F37" s="1">
        <v>0.25</v>
      </c>
      <c r="G37" s="1">
        <v>0</v>
      </c>
      <c r="H37" s="1">
        <v>0</v>
      </c>
      <c r="I37" s="1">
        <v>0</v>
      </c>
      <c r="J37" s="1">
        <v>0</v>
      </c>
      <c r="K37" s="1">
        <v>0</v>
      </c>
      <c r="L37" s="1">
        <v>0</v>
      </c>
      <c r="M37" s="890">
        <v>0</v>
      </c>
      <c r="N37" s="879">
        <f t="shared" si="3"/>
        <v>0.25</v>
      </c>
      <c r="O37" s="74"/>
      <c r="P37" s="74"/>
      <c r="Q37" s="74"/>
      <c r="R37" s="74"/>
      <c r="S37" s="74"/>
      <c r="T37" s="74"/>
      <c r="U37" s="74"/>
      <c r="V37" s="74"/>
    </row>
    <row r="38" spans="1:22" ht="14.4" x14ac:dyDescent="0.25">
      <c r="A38" s="878" t="s">
        <v>3162</v>
      </c>
      <c r="B38" s="1">
        <v>0</v>
      </c>
      <c r="C38" s="1">
        <v>0</v>
      </c>
      <c r="D38" s="1">
        <v>0</v>
      </c>
      <c r="E38" s="1">
        <v>0</v>
      </c>
      <c r="F38" s="1">
        <v>1</v>
      </c>
      <c r="G38" s="1">
        <v>1</v>
      </c>
      <c r="H38" s="1">
        <v>0</v>
      </c>
      <c r="I38" s="1">
        <v>0</v>
      </c>
      <c r="J38" s="1">
        <v>0</v>
      </c>
      <c r="K38" s="1">
        <v>0</v>
      </c>
      <c r="L38" s="1">
        <v>0</v>
      </c>
      <c r="M38" s="890">
        <v>0</v>
      </c>
      <c r="N38" s="879">
        <f t="shared" si="3"/>
        <v>2</v>
      </c>
      <c r="O38" s="74"/>
      <c r="P38" s="74"/>
      <c r="Q38" s="74"/>
      <c r="R38" s="74"/>
      <c r="S38" s="74"/>
      <c r="T38" s="74"/>
      <c r="U38" s="74"/>
      <c r="V38" s="74"/>
    </row>
    <row r="39" spans="1:22" ht="14.4" x14ac:dyDescent="0.25">
      <c r="A39" s="878" t="s">
        <v>3763</v>
      </c>
      <c r="B39" s="1">
        <v>0</v>
      </c>
      <c r="C39" s="1">
        <v>0</v>
      </c>
      <c r="D39" s="1">
        <v>0</v>
      </c>
      <c r="E39" s="1">
        <v>0</v>
      </c>
      <c r="F39" s="1">
        <v>0</v>
      </c>
      <c r="G39" s="1">
        <v>0</v>
      </c>
      <c r="H39" s="1">
        <v>0</v>
      </c>
      <c r="I39" s="1">
        <v>0</v>
      </c>
      <c r="J39" s="1">
        <v>0</v>
      </c>
      <c r="K39" s="1">
        <v>0</v>
      </c>
      <c r="L39" s="1">
        <v>0</v>
      </c>
      <c r="M39" s="890">
        <v>0</v>
      </c>
      <c r="N39" s="879">
        <f t="shared" ref="N39" si="4">SUM(B39:M39)</f>
        <v>0</v>
      </c>
      <c r="O39" s="74"/>
      <c r="P39" s="74"/>
      <c r="Q39" s="74"/>
      <c r="R39" s="74"/>
      <c r="S39" s="74"/>
      <c r="T39" s="74"/>
      <c r="U39" s="74"/>
      <c r="V39" s="74"/>
    </row>
    <row r="40" spans="1:22" ht="14.4" x14ac:dyDescent="0.25">
      <c r="A40" s="878" t="s">
        <v>3163</v>
      </c>
      <c r="B40" s="1">
        <v>0</v>
      </c>
      <c r="C40" s="1">
        <v>0</v>
      </c>
      <c r="D40" s="1">
        <v>0.31</v>
      </c>
      <c r="E40" s="1">
        <v>0</v>
      </c>
      <c r="F40" s="1">
        <v>5.0000000000000001E-3</v>
      </c>
      <c r="G40" s="1">
        <v>0</v>
      </c>
      <c r="H40" s="1">
        <v>0</v>
      </c>
      <c r="I40" s="1">
        <v>0</v>
      </c>
      <c r="J40" s="1">
        <v>0</v>
      </c>
      <c r="K40" s="1">
        <v>0</v>
      </c>
      <c r="L40" s="1">
        <v>0</v>
      </c>
      <c r="M40" s="890">
        <v>0</v>
      </c>
      <c r="N40" s="879">
        <f t="shared" si="3"/>
        <v>0.315</v>
      </c>
      <c r="O40" s="74"/>
      <c r="P40" s="74"/>
      <c r="Q40" s="74"/>
      <c r="R40" s="74"/>
      <c r="S40" s="74"/>
      <c r="T40" s="74"/>
      <c r="U40" s="74"/>
      <c r="V40" s="74"/>
    </row>
    <row r="41" spans="1:22" x14ac:dyDescent="0.25">
      <c r="A41" s="886" t="s">
        <v>1000</v>
      </c>
      <c r="B41" s="896">
        <f t="shared" ref="B41:M41" si="5">SUM(B7:B40)</f>
        <v>6.01</v>
      </c>
      <c r="C41" s="896">
        <f t="shared" si="5"/>
        <v>4.25</v>
      </c>
      <c r="D41" s="896">
        <f t="shared" si="5"/>
        <v>20.965999999999998</v>
      </c>
      <c r="E41" s="896">
        <f t="shared" si="5"/>
        <v>7.1050000000000004</v>
      </c>
      <c r="F41" s="896">
        <f t="shared" si="5"/>
        <v>7.2299999999999995</v>
      </c>
      <c r="G41" s="896">
        <f t="shared" si="5"/>
        <v>5.3819999999999997</v>
      </c>
      <c r="H41" s="896">
        <f t="shared" si="5"/>
        <v>16.094999999999999</v>
      </c>
      <c r="I41" s="896">
        <f t="shared" si="5"/>
        <v>7.5</v>
      </c>
      <c r="J41" s="896">
        <f t="shared" si="5"/>
        <v>8.2200000000000006</v>
      </c>
      <c r="K41" s="896">
        <f t="shared" si="5"/>
        <v>12.51</v>
      </c>
      <c r="L41" s="896">
        <f t="shared" si="5"/>
        <v>15.05</v>
      </c>
      <c r="M41" s="897">
        <f t="shared" si="5"/>
        <v>47.265000000000001</v>
      </c>
      <c r="N41" s="895">
        <f t="shared" ref="N41" si="6">SUM(N7:N40)</f>
        <v>157.583</v>
      </c>
      <c r="O41" s="74"/>
      <c r="P41" s="74"/>
      <c r="Q41" s="74"/>
      <c r="R41" s="74"/>
      <c r="S41" s="74"/>
      <c r="T41" s="74"/>
      <c r="U41" s="74"/>
      <c r="V41" s="74"/>
    </row>
    <row r="42" spans="1:22" ht="13.8" thickBot="1" x14ac:dyDescent="0.3">
      <c r="A42" s="887"/>
      <c r="B42" s="888"/>
      <c r="C42" s="888"/>
      <c r="D42" s="888"/>
      <c r="E42" s="888"/>
      <c r="F42" s="888"/>
      <c r="G42" s="888"/>
      <c r="H42" s="888"/>
      <c r="I42" s="888"/>
      <c r="J42" s="888"/>
      <c r="K42" s="888"/>
      <c r="L42" s="888"/>
      <c r="M42" s="888"/>
      <c r="N42" s="889"/>
      <c r="O42" s="74"/>
      <c r="P42" s="74"/>
      <c r="Q42" s="74"/>
      <c r="R42" s="74"/>
      <c r="S42" s="74"/>
      <c r="T42" s="74"/>
      <c r="U42" s="74"/>
      <c r="V42" s="74"/>
    </row>
    <row r="43" spans="1:22" ht="20.399999999999999" customHeight="1" x14ac:dyDescent="0.3">
      <c r="A43" s="875" t="s">
        <v>1109</v>
      </c>
      <c r="B43" s="876"/>
      <c r="C43" s="876"/>
      <c r="D43" s="876"/>
      <c r="E43" s="876"/>
      <c r="F43" s="876"/>
      <c r="G43" s="876"/>
      <c r="H43" s="876"/>
      <c r="I43" s="876"/>
      <c r="J43" s="876"/>
      <c r="K43" s="876"/>
      <c r="L43" s="876"/>
      <c r="M43" s="876"/>
      <c r="N43" s="877"/>
      <c r="O43" s="74"/>
      <c r="P43" s="74"/>
      <c r="Q43" s="74"/>
      <c r="R43" s="74"/>
      <c r="S43" s="74"/>
      <c r="T43" s="74"/>
      <c r="U43" s="74"/>
      <c r="V43" s="74"/>
    </row>
    <row r="44" spans="1:22" x14ac:dyDescent="0.25">
      <c r="A44" s="891" t="s">
        <v>1103</v>
      </c>
      <c r="B44" s="892" t="str">
        <f>_xlfn.TEXTJOIN("-",TRUE, TEXT(IF((MONTH($R$15)) &gt; 20,(MONTH($R$15))*30, (MONTH($R$15))*29), "mmm"),  IF(13-MONTH($R$15) &lt; 1,MID(YEAR($R$15), 3, 2)+1, MID(YEAR($R$15), 3, 2)))</f>
        <v>May-23</v>
      </c>
      <c r="C44" s="892" t="str">
        <f>_xlfn.TEXTJOIN("-",TRUE, TEXT(IF((MONTH($R$15)+1) &gt; 20,(MONTH($R$15)+1)*30, (MONTH($R$15)+1)*29), "mmm"),  IF(13-MONTH($R$15) &lt; 2,MID(YEAR($R$15), 3, 2)+1, MID(YEAR($R$15), 3, 2)))</f>
        <v>Jun-23</v>
      </c>
      <c r="D44" s="892" t="str">
        <f>_xlfn.TEXTJOIN("-",TRUE, TEXT(IF((MONTH($R$15)+2) &gt; 20,(MONTH($R$15)+2)*30, (MONTH($R$15)+2)*29), "mmm"),  IF(13-MONTH($R$15) &lt; 3,MID(YEAR($R$15), 3, 2)+1, MID(YEAR($R$15), 3, 2)))</f>
        <v>Jul-23</v>
      </c>
      <c r="E44" s="892" t="str">
        <f>_xlfn.TEXTJOIN("-",TRUE, TEXT(IF((MONTH($R$15)+3) &gt; 20,(MONTH($R$15)+3)*30, (MONTH($R$15)+3)*29), "mmm"),  IF(13-MONTH($R$15) &lt; 4,MID(YEAR($R$15), 3, 2)+1, MID(YEAR($R$15), 3, 2)))</f>
        <v>Aug-23</v>
      </c>
      <c r="F44" s="892" t="str">
        <f>_xlfn.TEXTJOIN("-",TRUE, TEXT(IF((MONTH($R$15)+4) &gt; 20,(MONTH($R$15)+4)*30, (MONTH($R$15)+4)*29), "mmm"),  IF(13-MONTH($R$15) &lt; 5,MID(YEAR($R$15), 3, 2)+1, MID(YEAR($R$15), 3, 2)))</f>
        <v>Sep-23</v>
      </c>
      <c r="G44" s="892" t="str">
        <f>_xlfn.TEXTJOIN("-",TRUE, TEXT(IF((MONTH($R$15)+5) &gt; 20,(MONTH($R$15)+5)*30, (MONTH($R$15)+5)*29), "mmm"),  IF(13-MONTH($R$15) &lt; 6,MID(YEAR($R$15), 3, 2)+1, MID(YEAR($R$15), 3, 2)))</f>
        <v>Oct-23</v>
      </c>
      <c r="H44" s="892" t="str">
        <f>_xlfn.TEXTJOIN("-",TRUE, TEXT(IF((MONTH($R$15)+6) &gt; 20,(MONTH($R$15)+6)*30, (MONTH($R$15)+6)*29), "mmm"),  IF(13-MONTH($R$15) &lt; 7,MID(YEAR($R$15), 3, 2)+1, MID(YEAR($R$15), 3, 2)))</f>
        <v>Nov-23</v>
      </c>
      <c r="I44" s="892" t="str">
        <f>_xlfn.TEXTJOIN("-",TRUE, TEXT(IF((MONTH($R$15)+7) &gt; 20,(MONTH($R$15)+7)*30, (MONTH($R$15)+7)*29), "mmm"),  IF(13-MONTH($R$15) &lt; 8,MID(YEAR($R$15), 3, 2)+1, MID(YEAR($R$15), 3, 2)))</f>
        <v>Dec-23</v>
      </c>
      <c r="J44" s="892" t="str">
        <f>_xlfn.TEXTJOIN("-",TRUE, TEXT(IF((MONTH($R$15)+8) &gt; 20,(MONTH($R$15)+8)*30, (MONTH($R$15)+8)*29), "mmm"),  IF(13-MONTH($R$15) &lt; 9,MID(YEAR($R$15), 3, 2)+1, MID(YEAR($R$15), 3, 2)))</f>
        <v>Jan-24</v>
      </c>
      <c r="K44" s="892" t="str">
        <f>_xlfn.TEXTJOIN("-",TRUE, TEXT(IF((MONTH($R$15)+9) &gt; 20,(MONTH($R$15)+9)*30, (MONTH($R$15)+9)*29), "mmm"),  IF(13-MONTH($R$15) &lt; 10,MID(YEAR($R$15), 3, 2)+1, MID(YEAR($R$15), 3, 2)))</f>
        <v>Feb-24</v>
      </c>
      <c r="L44" s="892" t="str">
        <f>_xlfn.TEXTJOIN("-",TRUE, TEXT(IF((MONTH($R$15)+10) &gt; 20,(MONTH($R$15)+10)*30, (MONTH($R$15)+10)*29), "mmm"),  IF(13-MONTH($R$15) &lt; 11,MID(YEAR($R$15), 3, 2)+1, MID(YEAR($R$15), 3, 2)))</f>
        <v>Mar-24</v>
      </c>
      <c r="M44" s="893" t="str">
        <f>_xlfn.TEXTJOIN("-",TRUE, TEXT(IF((MONTH($R$15)+11) &gt; 20,(MONTH($R$15)+11)*30, (MONTH($R$15)+11)*29), "mmm"),  IF(13-MONTH($R$15) &lt; 12,MID(YEAR($R$15), 3, 2)+1, MID(YEAR($R$15), 3, 2)))</f>
        <v>Apr-24</v>
      </c>
      <c r="N44" s="894" t="s">
        <v>969</v>
      </c>
      <c r="O44" s="74"/>
      <c r="P44" s="74"/>
      <c r="Q44" s="74"/>
      <c r="R44" s="74"/>
      <c r="S44" s="74"/>
      <c r="T44" s="74"/>
      <c r="U44" s="74"/>
      <c r="V44" s="74"/>
    </row>
    <row r="45" spans="1:22" ht="14.4" x14ac:dyDescent="0.25">
      <c r="A45" s="878" t="s">
        <v>1104</v>
      </c>
      <c r="B45" s="1">
        <v>0</v>
      </c>
      <c r="C45" s="1">
        <v>0</v>
      </c>
      <c r="D45" s="1">
        <v>0</v>
      </c>
      <c r="E45" s="1">
        <v>0</v>
      </c>
      <c r="F45" s="1">
        <v>0</v>
      </c>
      <c r="G45" s="1">
        <v>0</v>
      </c>
      <c r="H45" s="1">
        <v>0</v>
      </c>
      <c r="I45" s="1">
        <v>0</v>
      </c>
      <c r="J45" s="1">
        <v>0</v>
      </c>
      <c r="K45" s="1">
        <v>0</v>
      </c>
      <c r="L45" s="1">
        <v>0</v>
      </c>
      <c r="M45" s="890">
        <v>0</v>
      </c>
      <c r="N45" s="879">
        <f t="shared" ref="N45:N79" si="7">SUM(B45:M45)</f>
        <v>0</v>
      </c>
      <c r="O45" s="74"/>
      <c r="P45" s="74"/>
      <c r="Q45" s="74"/>
      <c r="R45" s="74"/>
      <c r="S45" s="74"/>
      <c r="T45" s="74"/>
      <c r="U45" s="74"/>
      <c r="V45" s="74"/>
    </row>
    <row r="46" spans="1:22" ht="14.4" x14ac:dyDescent="0.25">
      <c r="A46" s="878" t="s">
        <v>3537</v>
      </c>
      <c r="B46" s="1">
        <v>0</v>
      </c>
      <c r="C46" s="1">
        <v>0</v>
      </c>
      <c r="D46" s="1">
        <v>0</v>
      </c>
      <c r="E46" s="1">
        <v>0</v>
      </c>
      <c r="F46" s="1">
        <v>0</v>
      </c>
      <c r="G46" s="1">
        <v>0</v>
      </c>
      <c r="H46" s="1">
        <v>0</v>
      </c>
      <c r="I46" s="1">
        <v>0</v>
      </c>
      <c r="J46" s="1">
        <v>0</v>
      </c>
      <c r="K46" s="1">
        <v>0</v>
      </c>
      <c r="L46" s="1">
        <v>0</v>
      </c>
      <c r="M46" s="890">
        <v>0</v>
      </c>
      <c r="N46" s="879">
        <f t="shared" si="7"/>
        <v>0</v>
      </c>
      <c r="O46" s="74"/>
      <c r="P46" s="74"/>
      <c r="Q46" s="74"/>
      <c r="R46" s="74"/>
      <c r="S46" s="74"/>
      <c r="T46" s="74"/>
      <c r="U46" s="74"/>
      <c r="V46" s="74"/>
    </row>
    <row r="47" spans="1:22" ht="14.4" x14ac:dyDescent="0.25">
      <c r="A47" s="878" t="s">
        <v>307</v>
      </c>
      <c r="B47" s="1">
        <v>0</v>
      </c>
      <c r="C47" s="1">
        <v>0</v>
      </c>
      <c r="D47" s="1">
        <v>0</v>
      </c>
      <c r="E47" s="1">
        <v>0</v>
      </c>
      <c r="F47" s="1">
        <v>1</v>
      </c>
      <c r="G47" s="1">
        <v>0</v>
      </c>
      <c r="H47" s="1">
        <v>2</v>
      </c>
      <c r="I47" s="1">
        <v>0</v>
      </c>
      <c r="J47" s="1">
        <v>0</v>
      </c>
      <c r="K47" s="1">
        <v>0</v>
      </c>
      <c r="L47" s="1">
        <v>0</v>
      </c>
      <c r="M47" s="890">
        <v>1</v>
      </c>
      <c r="N47" s="879">
        <f t="shared" si="7"/>
        <v>4</v>
      </c>
      <c r="O47" s="74"/>
      <c r="P47" s="74"/>
      <c r="Q47" s="74"/>
      <c r="R47" s="74"/>
      <c r="S47" s="74"/>
      <c r="T47" s="74"/>
      <c r="U47" s="74"/>
      <c r="V47" s="74"/>
    </row>
    <row r="48" spans="1:22" ht="14.4" x14ac:dyDescent="0.25">
      <c r="A48" s="878" t="s">
        <v>323</v>
      </c>
      <c r="B48" s="1">
        <v>1</v>
      </c>
      <c r="C48" s="1">
        <v>0</v>
      </c>
      <c r="D48" s="1">
        <v>1</v>
      </c>
      <c r="E48" s="1">
        <v>2</v>
      </c>
      <c r="F48" s="1">
        <v>1</v>
      </c>
      <c r="G48" s="1">
        <v>0</v>
      </c>
      <c r="H48" s="1">
        <v>2</v>
      </c>
      <c r="I48" s="1">
        <v>0</v>
      </c>
      <c r="J48" s="1">
        <v>1</v>
      </c>
      <c r="K48" s="1">
        <v>0</v>
      </c>
      <c r="L48" s="1">
        <v>0</v>
      </c>
      <c r="M48" s="890">
        <v>0</v>
      </c>
      <c r="N48" s="879">
        <f t="shared" si="7"/>
        <v>8</v>
      </c>
      <c r="O48" s="74"/>
      <c r="P48" s="74"/>
      <c r="Q48" s="74"/>
      <c r="R48" s="74"/>
      <c r="S48" s="74"/>
      <c r="T48" s="74"/>
      <c r="U48" s="74"/>
      <c r="V48" s="74"/>
    </row>
    <row r="49" spans="1:22" ht="14.4" x14ac:dyDescent="0.25">
      <c r="A49" s="878" t="s">
        <v>3538</v>
      </c>
      <c r="B49" s="1">
        <v>0</v>
      </c>
      <c r="C49" s="1">
        <v>0</v>
      </c>
      <c r="D49" s="1">
        <v>0</v>
      </c>
      <c r="E49" s="1">
        <v>0</v>
      </c>
      <c r="F49" s="1">
        <v>0</v>
      </c>
      <c r="G49" s="1">
        <v>1</v>
      </c>
      <c r="H49" s="1">
        <v>1</v>
      </c>
      <c r="I49" s="1">
        <v>0</v>
      </c>
      <c r="J49" s="1">
        <v>0</v>
      </c>
      <c r="K49" s="1">
        <v>0</v>
      </c>
      <c r="L49" s="1">
        <v>0</v>
      </c>
      <c r="M49" s="890">
        <v>0</v>
      </c>
      <c r="N49" s="879">
        <f t="shared" si="7"/>
        <v>2</v>
      </c>
      <c r="O49" s="74"/>
      <c r="P49" s="74"/>
      <c r="Q49" s="74"/>
      <c r="R49" s="74"/>
      <c r="S49" s="74"/>
      <c r="T49" s="74"/>
      <c r="U49" s="74"/>
      <c r="V49" s="74"/>
    </row>
    <row r="50" spans="1:22" ht="14.4" x14ac:dyDescent="0.25">
      <c r="A50" s="878" t="s">
        <v>1105</v>
      </c>
      <c r="B50" s="1">
        <v>0</v>
      </c>
      <c r="C50" s="1">
        <v>0</v>
      </c>
      <c r="D50" s="1">
        <v>0</v>
      </c>
      <c r="E50" s="1">
        <v>0</v>
      </c>
      <c r="F50" s="1">
        <v>0</v>
      </c>
      <c r="G50" s="1">
        <v>0</v>
      </c>
      <c r="H50" s="1">
        <v>0</v>
      </c>
      <c r="I50" s="1">
        <v>0</v>
      </c>
      <c r="J50" s="1">
        <v>0</v>
      </c>
      <c r="K50" s="1">
        <v>0</v>
      </c>
      <c r="L50" s="1">
        <v>0</v>
      </c>
      <c r="M50" s="890">
        <v>0</v>
      </c>
      <c r="N50" s="879">
        <f t="shared" si="7"/>
        <v>0</v>
      </c>
      <c r="O50" s="74"/>
      <c r="P50" s="74"/>
      <c r="Q50" s="74"/>
      <c r="R50" s="74"/>
      <c r="S50" s="74"/>
      <c r="T50" s="74"/>
      <c r="U50" s="74"/>
      <c r="V50" s="74"/>
    </row>
    <row r="51" spans="1:22" ht="14.4" x14ac:dyDescent="0.25">
      <c r="A51" s="878" t="s">
        <v>382</v>
      </c>
      <c r="B51" s="1">
        <v>0</v>
      </c>
      <c r="C51" s="1">
        <v>0</v>
      </c>
      <c r="D51" s="1">
        <v>0</v>
      </c>
      <c r="E51" s="1">
        <v>0</v>
      </c>
      <c r="F51" s="1">
        <v>0</v>
      </c>
      <c r="G51" s="1">
        <v>0</v>
      </c>
      <c r="H51" s="1">
        <v>0</v>
      </c>
      <c r="I51" s="1">
        <v>1</v>
      </c>
      <c r="J51" s="1">
        <v>0</v>
      </c>
      <c r="K51" s="1">
        <v>0</v>
      </c>
      <c r="L51" s="1">
        <v>0</v>
      </c>
      <c r="M51" s="890">
        <v>0</v>
      </c>
      <c r="N51" s="879">
        <f t="shared" si="7"/>
        <v>1</v>
      </c>
      <c r="O51" s="74"/>
      <c r="P51" s="74"/>
      <c r="Q51" s="74"/>
      <c r="R51" s="74"/>
      <c r="S51" s="74"/>
      <c r="T51" s="74"/>
      <c r="U51" s="74"/>
      <c r="V51" s="74"/>
    </row>
    <row r="52" spans="1:22" ht="14.4" x14ac:dyDescent="0.25">
      <c r="A52" s="878" t="s">
        <v>398</v>
      </c>
      <c r="B52" s="1">
        <v>0</v>
      </c>
      <c r="C52" s="1">
        <v>1</v>
      </c>
      <c r="D52" s="1">
        <v>0</v>
      </c>
      <c r="E52" s="1">
        <v>0</v>
      </c>
      <c r="F52" s="1">
        <v>0</v>
      </c>
      <c r="G52" s="1">
        <v>1</v>
      </c>
      <c r="H52" s="1">
        <v>0</v>
      </c>
      <c r="I52" s="1">
        <v>0</v>
      </c>
      <c r="J52" s="1">
        <v>0</v>
      </c>
      <c r="K52" s="1">
        <v>0</v>
      </c>
      <c r="L52" s="1">
        <v>0</v>
      </c>
      <c r="M52" s="890">
        <v>0</v>
      </c>
      <c r="N52" s="879">
        <f t="shared" si="7"/>
        <v>2</v>
      </c>
      <c r="O52" s="74"/>
      <c r="P52" s="74"/>
      <c r="Q52" s="74"/>
      <c r="R52" s="74"/>
      <c r="S52" s="74"/>
      <c r="T52" s="74"/>
      <c r="U52" s="74"/>
      <c r="V52" s="74"/>
    </row>
    <row r="53" spans="1:22" ht="14.4" x14ac:dyDescent="0.25">
      <c r="A53" s="878" t="s">
        <v>327</v>
      </c>
      <c r="B53" s="1">
        <v>0</v>
      </c>
      <c r="C53" s="1">
        <v>1</v>
      </c>
      <c r="D53" s="1">
        <v>0</v>
      </c>
      <c r="E53" s="1">
        <v>0</v>
      </c>
      <c r="F53" s="1">
        <v>0</v>
      </c>
      <c r="G53" s="1">
        <v>0</v>
      </c>
      <c r="H53" s="1">
        <v>0</v>
      </c>
      <c r="I53" s="1">
        <v>0</v>
      </c>
      <c r="J53" s="1">
        <v>0</v>
      </c>
      <c r="K53" s="1">
        <v>0</v>
      </c>
      <c r="L53" s="1">
        <v>0</v>
      </c>
      <c r="M53" s="890">
        <v>0</v>
      </c>
      <c r="N53" s="879">
        <f t="shared" si="7"/>
        <v>1</v>
      </c>
      <c r="O53" s="74"/>
      <c r="P53" s="74"/>
      <c r="Q53" s="74"/>
      <c r="R53" s="74"/>
      <c r="S53" s="74"/>
      <c r="T53" s="74"/>
      <c r="U53" s="74"/>
      <c r="V53" s="74"/>
    </row>
    <row r="54" spans="1:22" ht="14.4" x14ac:dyDescent="0.25">
      <c r="A54" s="878" t="s">
        <v>353</v>
      </c>
      <c r="B54" s="1">
        <v>1</v>
      </c>
      <c r="C54" s="1">
        <v>0</v>
      </c>
      <c r="D54" s="1">
        <v>1</v>
      </c>
      <c r="E54" s="1">
        <v>0</v>
      </c>
      <c r="F54" s="1">
        <v>0</v>
      </c>
      <c r="G54" s="1">
        <v>0</v>
      </c>
      <c r="H54" s="1">
        <v>1</v>
      </c>
      <c r="I54" s="1">
        <v>0</v>
      </c>
      <c r="J54" s="1">
        <v>0</v>
      </c>
      <c r="K54" s="1">
        <v>0</v>
      </c>
      <c r="L54" s="1">
        <v>1</v>
      </c>
      <c r="M54" s="890">
        <v>5</v>
      </c>
      <c r="N54" s="879">
        <f t="shared" si="7"/>
        <v>9</v>
      </c>
      <c r="O54" s="74"/>
      <c r="P54" s="74"/>
      <c r="Q54" s="74"/>
      <c r="R54" s="74"/>
      <c r="S54" s="74"/>
      <c r="T54" s="74"/>
      <c r="U54" s="74"/>
      <c r="V54" s="74"/>
    </row>
    <row r="55" spans="1:22" ht="14.4" x14ac:dyDescent="0.25">
      <c r="A55" s="878" t="s">
        <v>330</v>
      </c>
      <c r="B55" s="1">
        <v>0</v>
      </c>
      <c r="C55" s="1">
        <v>0</v>
      </c>
      <c r="D55" s="1">
        <v>3</v>
      </c>
      <c r="E55" s="1">
        <v>0</v>
      </c>
      <c r="F55" s="1">
        <v>1</v>
      </c>
      <c r="G55" s="1">
        <v>0</v>
      </c>
      <c r="H55" s="1">
        <v>0</v>
      </c>
      <c r="I55" s="1">
        <v>1</v>
      </c>
      <c r="J55" s="1">
        <v>0</v>
      </c>
      <c r="K55" s="1">
        <v>1</v>
      </c>
      <c r="L55" s="1">
        <v>1</v>
      </c>
      <c r="M55" s="890">
        <v>2</v>
      </c>
      <c r="N55" s="879">
        <f t="shared" si="7"/>
        <v>9</v>
      </c>
      <c r="O55" s="74"/>
      <c r="P55" s="74"/>
      <c r="Q55" s="74"/>
      <c r="R55" s="74"/>
      <c r="S55" s="74"/>
      <c r="T55" s="74"/>
      <c r="U55" s="74"/>
      <c r="V55" s="74"/>
    </row>
    <row r="56" spans="1:22" ht="14.4" x14ac:dyDescent="0.25">
      <c r="A56" s="878" t="s">
        <v>3539</v>
      </c>
      <c r="B56" s="1">
        <v>0</v>
      </c>
      <c r="C56" s="1">
        <v>0</v>
      </c>
      <c r="D56" s="1">
        <v>1</v>
      </c>
      <c r="E56" s="1">
        <v>0</v>
      </c>
      <c r="F56" s="1">
        <v>0</v>
      </c>
      <c r="G56" s="1">
        <v>0</v>
      </c>
      <c r="H56" s="1">
        <v>0</v>
      </c>
      <c r="I56" s="1">
        <v>0</v>
      </c>
      <c r="J56" s="1">
        <v>0</v>
      </c>
      <c r="K56" s="1">
        <v>0</v>
      </c>
      <c r="L56" s="1">
        <v>0</v>
      </c>
      <c r="M56" s="890">
        <v>0</v>
      </c>
      <c r="N56" s="879">
        <f t="shared" si="7"/>
        <v>1</v>
      </c>
      <c r="O56" s="74"/>
      <c r="P56" s="74"/>
      <c r="Q56" s="74"/>
      <c r="R56" s="74"/>
      <c r="S56" s="74"/>
      <c r="T56" s="74"/>
      <c r="U56" s="74"/>
      <c r="V56" s="74"/>
    </row>
    <row r="57" spans="1:22" ht="14.4" x14ac:dyDescent="0.25">
      <c r="A57" s="878" t="s">
        <v>2855</v>
      </c>
      <c r="B57" s="1">
        <v>1</v>
      </c>
      <c r="C57" s="1">
        <v>0</v>
      </c>
      <c r="D57" s="1">
        <v>0</v>
      </c>
      <c r="E57" s="1">
        <v>0</v>
      </c>
      <c r="F57" s="1">
        <v>0</v>
      </c>
      <c r="G57" s="1">
        <v>0</v>
      </c>
      <c r="H57" s="1">
        <v>0</v>
      </c>
      <c r="I57" s="1">
        <v>0</v>
      </c>
      <c r="J57" s="1">
        <v>0</v>
      </c>
      <c r="K57" s="1">
        <v>0</v>
      </c>
      <c r="L57" s="1">
        <v>0</v>
      </c>
      <c r="M57" s="890">
        <v>1</v>
      </c>
      <c r="N57" s="879">
        <f t="shared" si="7"/>
        <v>2</v>
      </c>
      <c r="O57" s="74"/>
      <c r="P57" s="74"/>
      <c r="Q57" s="74"/>
      <c r="R57" s="74"/>
      <c r="S57" s="74"/>
      <c r="T57" s="74"/>
      <c r="U57" s="74"/>
      <c r="V57" s="74"/>
    </row>
    <row r="58" spans="1:22" ht="14.4" x14ac:dyDescent="0.25">
      <c r="A58" s="878" t="s">
        <v>1106</v>
      </c>
      <c r="B58" s="1">
        <v>0</v>
      </c>
      <c r="C58" s="1">
        <v>0</v>
      </c>
      <c r="D58" s="1">
        <v>0</v>
      </c>
      <c r="E58" s="1">
        <v>0</v>
      </c>
      <c r="F58" s="1">
        <v>0</v>
      </c>
      <c r="G58" s="1">
        <v>0</v>
      </c>
      <c r="H58" s="1">
        <v>0</v>
      </c>
      <c r="I58" s="1">
        <v>0</v>
      </c>
      <c r="J58" s="1">
        <v>0</v>
      </c>
      <c r="K58" s="1">
        <v>0</v>
      </c>
      <c r="L58" s="1">
        <v>0</v>
      </c>
      <c r="M58" s="890">
        <v>0</v>
      </c>
      <c r="N58" s="879">
        <f t="shared" si="7"/>
        <v>0</v>
      </c>
      <c r="O58" s="74"/>
      <c r="P58" s="74"/>
      <c r="Q58" s="74"/>
      <c r="R58" s="74"/>
      <c r="S58" s="74"/>
      <c r="T58" s="74"/>
      <c r="U58" s="74"/>
      <c r="V58" s="74"/>
    </row>
    <row r="59" spans="1:22" ht="14.4" x14ac:dyDescent="0.25">
      <c r="A59" s="878" t="s">
        <v>393</v>
      </c>
      <c r="B59" s="1">
        <v>1</v>
      </c>
      <c r="C59" s="1">
        <v>1</v>
      </c>
      <c r="D59" s="1">
        <v>1</v>
      </c>
      <c r="E59" s="1">
        <v>0</v>
      </c>
      <c r="F59" s="1">
        <v>0</v>
      </c>
      <c r="G59" s="1">
        <v>0</v>
      </c>
      <c r="H59" s="1">
        <v>0</v>
      </c>
      <c r="I59" s="1">
        <v>0</v>
      </c>
      <c r="J59" s="1">
        <v>0</v>
      </c>
      <c r="K59" s="1">
        <v>1</v>
      </c>
      <c r="L59" s="1">
        <v>2</v>
      </c>
      <c r="M59" s="890">
        <v>1</v>
      </c>
      <c r="N59" s="879">
        <f t="shared" si="7"/>
        <v>7</v>
      </c>
      <c r="O59" s="74"/>
      <c r="P59" s="74"/>
      <c r="Q59" s="74"/>
      <c r="R59" s="74"/>
      <c r="S59" s="74"/>
      <c r="T59" s="74"/>
      <c r="U59" s="74"/>
      <c r="V59" s="74"/>
    </row>
    <row r="60" spans="1:22" ht="14.4" x14ac:dyDescent="0.25">
      <c r="A60" s="878" t="s">
        <v>388</v>
      </c>
      <c r="B60" s="1">
        <v>0</v>
      </c>
      <c r="C60" s="1">
        <v>1</v>
      </c>
      <c r="D60" s="1">
        <v>0</v>
      </c>
      <c r="E60" s="1">
        <v>0</v>
      </c>
      <c r="F60" s="1">
        <v>0</v>
      </c>
      <c r="G60" s="1">
        <v>0</v>
      </c>
      <c r="H60" s="1">
        <v>0</v>
      </c>
      <c r="I60" s="1">
        <v>1</v>
      </c>
      <c r="J60" s="1">
        <v>0</v>
      </c>
      <c r="K60" s="1">
        <v>0</v>
      </c>
      <c r="L60" s="1">
        <v>0</v>
      </c>
      <c r="M60" s="890">
        <v>0</v>
      </c>
      <c r="N60" s="879">
        <f t="shared" si="7"/>
        <v>2</v>
      </c>
      <c r="O60" s="74"/>
      <c r="P60" s="74"/>
      <c r="Q60" s="74"/>
      <c r="R60" s="74"/>
      <c r="S60" s="74"/>
      <c r="T60" s="74"/>
      <c r="U60" s="74"/>
      <c r="V60" s="74"/>
    </row>
    <row r="61" spans="1:22" ht="14.4" x14ac:dyDescent="0.25">
      <c r="A61" s="878" t="s">
        <v>3540</v>
      </c>
      <c r="B61" s="1">
        <v>0</v>
      </c>
      <c r="C61" s="1">
        <v>0</v>
      </c>
      <c r="D61" s="1">
        <v>0</v>
      </c>
      <c r="E61" s="1">
        <v>0</v>
      </c>
      <c r="F61" s="1">
        <v>0</v>
      </c>
      <c r="G61" s="1">
        <v>1</v>
      </c>
      <c r="H61" s="1">
        <v>0</v>
      </c>
      <c r="I61" s="1">
        <v>0</v>
      </c>
      <c r="J61" s="1">
        <v>0</v>
      </c>
      <c r="K61" s="1">
        <v>0</v>
      </c>
      <c r="L61" s="1">
        <v>0</v>
      </c>
      <c r="M61" s="890">
        <v>0</v>
      </c>
      <c r="N61" s="879">
        <f t="shared" si="7"/>
        <v>1</v>
      </c>
      <c r="O61" s="74"/>
      <c r="P61" s="74"/>
      <c r="Q61" s="74"/>
      <c r="R61" s="74"/>
      <c r="S61" s="74"/>
      <c r="T61" s="74"/>
      <c r="U61" s="74"/>
      <c r="V61" s="74"/>
    </row>
    <row r="62" spans="1:22" ht="14.4" x14ac:dyDescent="0.25">
      <c r="A62" s="878" t="s">
        <v>352</v>
      </c>
      <c r="B62" s="1">
        <v>0</v>
      </c>
      <c r="C62" s="1">
        <v>0</v>
      </c>
      <c r="D62" s="1">
        <v>1</v>
      </c>
      <c r="E62" s="1">
        <v>0</v>
      </c>
      <c r="F62" s="1">
        <v>0</v>
      </c>
      <c r="G62" s="1">
        <v>0</v>
      </c>
      <c r="H62" s="1">
        <v>0</v>
      </c>
      <c r="I62" s="1">
        <v>0</v>
      </c>
      <c r="J62" s="1">
        <v>0</v>
      </c>
      <c r="K62" s="1">
        <v>1</v>
      </c>
      <c r="L62" s="1">
        <v>0</v>
      </c>
      <c r="M62" s="890">
        <v>2</v>
      </c>
      <c r="N62" s="879">
        <f t="shared" ref="N62:N70" si="8">SUM(B62:M62)</f>
        <v>4</v>
      </c>
      <c r="O62" s="74"/>
      <c r="P62" s="74"/>
      <c r="Q62" s="74"/>
      <c r="R62" s="74"/>
      <c r="S62" s="74"/>
      <c r="T62" s="74"/>
      <c r="U62" s="74"/>
      <c r="V62" s="74"/>
    </row>
    <row r="63" spans="1:22" ht="14.4" x14ac:dyDescent="0.25">
      <c r="A63" s="878" t="s">
        <v>318</v>
      </c>
      <c r="B63" s="1">
        <v>1</v>
      </c>
      <c r="C63" s="1">
        <v>0</v>
      </c>
      <c r="D63" s="1">
        <v>3</v>
      </c>
      <c r="E63" s="1">
        <v>2</v>
      </c>
      <c r="F63" s="1">
        <v>2</v>
      </c>
      <c r="G63" s="1">
        <v>1</v>
      </c>
      <c r="H63" s="1">
        <v>0</v>
      </c>
      <c r="I63" s="1">
        <v>1</v>
      </c>
      <c r="J63" s="1">
        <v>2</v>
      </c>
      <c r="K63" s="1">
        <v>1</v>
      </c>
      <c r="L63" s="1">
        <v>1</v>
      </c>
      <c r="M63" s="890">
        <v>1</v>
      </c>
      <c r="N63" s="879">
        <f t="shared" si="8"/>
        <v>15</v>
      </c>
      <c r="O63" s="74"/>
      <c r="P63" s="74"/>
      <c r="Q63" s="74"/>
      <c r="R63" s="74"/>
      <c r="S63" s="74"/>
      <c r="T63" s="74"/>
      <c r="U63" s="74"/>
      <c r="V63" s="74"/>
    </row>
    <row r="64" spans="1:22" ht="14.4" x14ac:dyDescent="0.25">
      <c r="A64" s="878" t="s">
        <v>3764</v>
      </c>
      <c r="B64" s="1">
        <v>0</v>
      </c>
      <c r="C64" s="1">
        <v>0</v>
      </c>
      <c r="D64" s="1">
        <v>0</v>
      </c>
      <c r="E64" s="1">
        <v>0</v>
      </c>
      <c r="F64" s="1">
        <v>0</v>
      </c>
      <c r="G64" s="1">
        <v>0</v>
      </c>
      <c r="H64" s="1">
        <v>0</v>
      </c>
      <c r="I64" s="1">
        <v>0</v>
      </c>
      <c r="J64" s="1">
        <v>0</v>
      </c>
      <c r="K64" s="1">
        <v>0</v>
      </c>
      <c r="L64" s="1">
        <v>0</v>
      </c>
      <c r="M64" s="890">
        <v>0</v>
      </c>
      <c r="N64" s="879">
        <f t="shared" ref="N64" si="9">SUM(B64:M64)</f>
        <v>0</v>
      </c>
      <c r="O64" s="74"/>
      <c r="P64" s="74"/>
      <c r="Q64" s="74"/>
      <c r="R64" s="74"/>
      <c r="S64" s="74"/>
      <c r="T64" s="74"/>
      <c r="U64" s="74"/>
      <c r="V64" s="74"/>
    </row>
    <row r="65" spans="1:22" ht="14.4" x14ac:dyDescent="0.25">
      <c r="A65" s="878" t="s">
        <v>1107</v>
      </c>
      <c r="B65" s="1">
        <v>0</v>
      </c>
      <c r="C65" s="1">
        <v>0</v>
      </c>
      <c r="D65" s="1">
        <v>0</v>
      </c>
      <c r="E65" s="1">
        <v>0</v>
      </c>
      <c r="F65" s="1">
        <v>0</v>
      </c>
      <c r="G65" s="1">
        <v>0</v>
      </c>
      <c r="H65" s="1">
        <v>0</v>
      </c>
      <c r="I65" s="1">
        <v>0</v>
      </c>
      <c r="J65" s="1">
        <v>0</v>
      </c>
      <c r="K65" s="1">
        <v>0</v>
      </c>
      <c r="L65" s="1">
        <v>0</v>
      </c>
      <c r="M65" s="890">
        <v>0</v>
      </c>
      <c r="N65" s="879">
        <f t="shared" si="8"/>
        <v>0</v>
      </c>
      <c r="O65" s="74"/>
      <c r="P65" s="74"/>
      <c r="Q65" s="74"/>
      <c r="R65" s="74"/>
      <c r="S65" s="74"/>
      <c r="T65" s="74"/>
      <c r="U65" s="74"/>
      <c r="V65" s="74"/>
    </row>
    <row r="66" spans="1:22" ht="14.4" x14ac:dyDescent="0.25">
      <c r="A66" s="878" t="s">
        <v>371</v>
      </c>
      <c r="B66" s="1">
        <v>1</v>
      </c>
      <c r="C66" s="1">
        <v>0</v>
      </c>
      <c r="D66" s="1">
        <v>1</v>
      </c>
      <c r="E66" s="1">
        <v>0</v>
      </c>
      <c r="F66" s="1">
        <v>0</v>
      </c>
      <c r="G66" s="1">
        <v>1</v>
      </c>
      <c r="H66" s="1">
        <v>1</v>
      </c>
      <c r="I66" s="1">
        <v>0</v>
      </c>
      <c r="J66" s="1">
        <v>3</v>
      </c>
      <c r="K66" s="1">
        <v>2</v>
      </c>
      <c r="L66" s="1">
        <v>3</v>
      </c>
      <c r="M66" s="890">
        <v>1</v>
      </c>
      <c r="N66" s="879">
        <f t="shared" si="8"/>
        <v>13</v>
      </c>
      <c r="O66" s="74"/>
      <c r="P66" s="74"/>
      <c r="Q66" s="74"/>
      <c r="R66" s="74"/>
      <c r="S66" s="74"/>
      <c r="T66" s="74"/>
      <c r="U66" s="74"/>
      <c r="V66" s="74"/>
    </row>
    <row r="67" spans="1:22" ht="14.4" x14ac:dyDescent="0.25">
      <c r="A67" s="878" t="s">
        <v>3541</v>
      </c>
      <c r="B67" s="1">
        <v>0</v>
      </c>
      <c r="C67" s="1">
        <v>0</v>
      </c>
      <c r="D67" s="1">
        <v>0</v>
      </c>
      <c r="E67" s="1">
        <v>0</v>
      </c>
      <c r="F67" s="1">
        <v>0</v>
      </c>
      <c r="G67" s="1">
        <v>0</v>
      </c>
      <c r="H67" s="1">
        <v>0</v>
      </c>
      <c r="I67" s="1">
        <v>0</v>
      </c>
      <c r="J67" s="1">
        <v>0</v>
      </c>
      <c r="K67" s="1">
        <v>1</v>
      </c>
      <c r="L67" s="1">
        <v>0</v>
      </c>
      <c r="M67" s="890">
        <v>0</v>
      </c>
      <c r="N67" s="879">
        <f t="shared" si="8"/>
        <v>1</v>
      </c>
      <c r="O67" s="74"/>
      <c r="P67" s="74"/>
      <c r="Q67" s="74"/>
      <c r="R67" s="74"/>
      <c r="S67" s="74"/>
      <c r="T67" s="74"/>
      <c r="U67" s="74"/>
      <c r="V67" s="74"/>
    </row>
    <row r="68" spans="1:22" ht="14.4" x14ac:dyDescent="0.25">
      <c r="A68" s="878" t="s">
        <v>1108</v>
      </c>
      <c r="B68" s="1">
        <v>0</v>
      </c>
      <c r="C68" s="1">
        <v>0</v>
      </c>
      <c r="D68" s="1">
        <v>0</v>
      </c>
      <c r="E68" s="1">
        <v>0</v>
      </c>
      <c r="F68" s="1">
        <v>0</v>
      </c>
      <c r="G68" s="1">
        <v>0</v>
      </c>
      <c r="H68" s="1">
        <v>0</v>
      </c>
      <c r="I68" s="1">
        <v>0</v>
      </c>
      <c r="J68" s="1">
        <v>0</v>
      </c>
      <c r="K68" s="1">
        <v>0</v>
      </c>
      <c r="L68" s="1">
        <v>0</v>
      </c>
      <c r="M68" s="890">
        <v>1</v>
      </c>
      <c r="N68" s="879">
        <f t="shared" si="8"/>
        <v>1</v>
      </c>
      <c r="O68" s="74"/>
      <c r="P68" s="74"/>
      <c r="Q68" s="74"/>
      <c r="R68" s="74"/>
      <c r="S68" s="74"/>
      <c r="T68" s="74"/>
      <c r="U68" s="74"/>
      <c r="V68" s="74"/>
    </row>
    <row r="69" spans="1:22" ht="14.4" x14ac:dyDescent="0.25">
      <c r="A69" s="878" t="s">
        <v>3542</v>
      </c>
      <c r="B69" s="1">
        <v>0</v>
      </c>
      <c r="C69" s="1">
        <v>0</v>
      </c>
      <c r="D69" s="1">
        <v>0</v>
      </c>
      <c r="E69" s="1">
        <v>0</v>
      </c>
      <c r="F69" s="1">
        <v>0</v>
      </c>
      <c r="G69" s="1">
        <v>0</v>
      </c>
      <c r="H69" s="1">
        <v>0</v>
      </c>
      <c r="I69" s="1">
        <v>0</v>
      </c>
      <c r="J69" s="1">
        <v>0</v>
      </c>
      <c r="K69" s="1">
        <v>0</v>
      </c>
      <c r="L69" s="1">
        <v>0</v>
      </c>
      <c r="M69" s="890">
        <v>0</v>
      </c>
      <c r="N69" s="879">
        <f t="shared" si="8"/>
        <v>0</v>
      </c>
      <c r="O69" s="74"/>
      <c r="P69" s="74"/>
      <c r="Q69" s="74"/>
      <c r="R69" s="74"/>
      <c r="S69" s="74"/>
      <c r="T69" s="74"/>
      <c r="U69" s="74"/>
      <c r="V69" s="74"/>
    </row>
    <row r="70" spans="1:22" ht="14.4" x14ac:dyDescent="0.25">
      <c r="A70" s="878" t="s">
        <v>3760</v>
      </c>
      <c r="B70" s="1">
        <v>0</v>
      </c>
      <c r="C70" s="1">
        <v>0</v>
      </c>
      <c r="D70" s="1">
        <v>0</v>
      </c>
      <c r="E70" s="1">
        <v>0</v>
      </c>
      <c r="F70" s="1">
        <v>0</v>
      </c>
      <c r="G70" s="1">
        <v>0</v>
      </c>
      <c r="H70" s="1">
        <v>0</v>
      </c>
      <c r="I70" s="1">
        <v>0</v>
      </c>
      <c r="J70" s="1">
        <v>0</v>
      </c>
      <c r="K70" s="1">
        <v>0</v>
      </c>
      <c r="L70" s="1">
        <v>0</v>
      </c>
      <c r="M70" s="890">
        <v>0</v>
      </c>
      <c r="N70" s="879">
        <f t="shared" si="8"/>
        <v>0</v>
      </c>
      <c r="O70" s="74"/>
      <c r="P70" s="74"/>
      <c r="Q70" s="74"/>
      <c r="R70" s="74"/>
      <c r="S70" s="74"/>
      <c r="T70" s="74"/>
      <c r="U70" s="74"/>
      <c r="V70" s="74"/>
    </row>
    <row r="71" spans="1:22" ht="14.4" x14ac:dyDescent="0.25">
      <c r="A71" s="878" t="s">
        <v>3761</v>
      </c>
      <c r="B71" s="1">
        <v>0</v>
      </c>
      <c r="C71" s="1">
        <v>0</v>
      </c>
      <c r="D71" s="1">
        <v>0</v>
      </c>
      <c r="E71" s="1">
        <v>0</v>
      </c>
      <c r="F71" s="1">
        <v>0</v>
      </c>
      <c r="G71" s="1">
        <v>0</v>
      </c>
      <c r="H71" s="1">
        <v>0</v>
      </c>
      <c r="I71" s="1">
        <v>0</v>
      </c>
      <c r="J71" s="1">
        <v>0</v>
      </c>
      <c r="K71" s="1">
        <v>0</v>
      </c>
      <c r="L71" s="1">
        <v>1</v>
      </c>
      <c r="M71" s="890">
        <v>0</v>
      </c>
      <c r="N71" s="879">
        <f t="shared" si="7"/>
        <v>1</v>
      </c>
      <c r="O71" s="74"/>
      <c r="P71" s="74"/>
      <c r="Q71" s="74"/>
      <c r="R71" s="74"/>
      <c r="S71" s="74"/>
      <c r="T71" s="74"/>
      <c r="U71" s="74"/>
      <c r="V71" s="74"/>
    </row>
    <row r="72" spans="1:22" ht="14.4" x14ac:dyDescent="0.25">
      <c r="A72" s="878" t="s">
        <v>401</v>
      </c>
      <c r="B72" s="1">
        <v>0</v>
      </c>
      <c r="C72" s="1">
        <v>0</v>
      </c>
      <c r="D72" s="1">
        <v>1</v>
      </c>
      <c r="E72" s="1">
        <v>1</v>
      </c>
      <c r="F72" s="1">
        <v>0</v>
      </c>
      <c r="G72" s="1">
        <v>0</v>
      </c>
      <c r="H72" s="1">
        <v>0</v>
      </c>
      <c r="I72" s="1">
        <v>0</v>
      </c>
      <c r="J72" s="1">
        <v>0</v>
      </c>
      <c r="K72" s="1">
        <v>0</v>
      </c>
      <c r="L72" s="1">
        <v>0</v>
      </c>
      <c r="M72" s="890">
        <v>0</v>
      </c>
      <c r="N72" s="879">
        <f t="shared" si="7"/>
        <v>2</v>
      </c>
      <c r="O72" s="74"/>
      <c r="P72" s="74"/>
      <c r="Q72" s="74"/>
      <c r="R72" s="74"/>
      <c r="S72" s="74"/>
      <c r="T72" s="74"/>
      <c r="U72" s="74"/>
      <c r="V72" s="74"/>
    </row>
    <row r="73" spans="1:22" ht="14.4" x14ac:dyDescent="0.25">
      <c r="A73" s="878" t="s">
        <v>3762</v>
      </c>
      <c r="B73" s="1">
        <v>0</v>
      </c>
      <c r="C73" s="1">
        <v>0</v>
      </c>
      <c r="D73" s="1">
        <v>0</v>
      </c>
      <c r="E73" s="1">
        <v>0</v>
      </c>
      <c r="F73" s="1">
        <v>0</v>
      </c>
      <c r="G73" s="1">
        <v>0</v>
      </c>
      <c r="H73" s="1">
        <v>0</v>
      </c>
      <c r="I73" s="1">
        <v>0</v>
      </c>
      <c r="J73" s="1">
        <v>0</v>
      </c>
      <c r="K73" s="1">
        <v>0</v>
      </c>
      <c r="L73" s="1">
        <v>0</v>
      </c>
      <c r="M73" s="890">
        <v>0</v>
      </c>
      <c r="N73" s="879">
        <f t="shared" si="7"/>
        <v>0</v>
      </c>
      <c r="O73" s="74"/>
      <c r="P73" s="74"/>
      <c r="Q73" s="74"/>
      <c r="R73" s="74"/>
      <c r="S73" s="74"/>
      <c r="T73" s="74"/>
      <c r="U73" s="74"/>
      <c r="V73" s="74"/>
    </row>
    <row r="74" spans="1:22" ht="14.4" x14ac:dyDescent="0.25">
      <c r="A74" s="878" t="s">
        <v>381</v>
      </c>
      <c r="B74" s="1">
        <v>0</v>
      </c>
      <c r="C74" s="1">
        <v>1</v>
      </c>
      <c r="D74" s="1">
        <v>0</v>
      </c>
      <c r="E74" s="1">
        <v>0</v>
      </c>
      <c r="F74" s="1">
        <v>0</v>
      </c>
      <c r="G74" s="1">
        <v>1</v>
      </c>
      <c r="H74" s="1">
        <v>0</v>
      </c>
      <c r="I74" s="1">
        <v>0</v>
      </c>
      <c r="J74" s="1">
        <v>0</v>
      </c>
      <c r="K74" s="1">
        <v>0</v>
      </c>
      <c r="L74" s="1">
        <v>0</v>
      </c>
      <c r="M74" s="890">
        <v>0</v>
      </c>
      <c r="N74" s="879">
        <f t="shared" si="7"/>
        <v>2</v>
      </c>
      <c r="O74" s="74"/>
      <c r="P74" s="74"/>
      <c r="Q74" s="74"/>
      <c r="R74" s="74"/>
      <c r="S74" s="74"/>
      <c r="T74" s="74"/>
      <c r="U74" s="74"/>
      <c r="V74" s="74"/>
    </row>
    <row r="75" spans="1:22" ht="14.4" x14ac:dyDescent="0.25">
      <c r="A75" s="878" t="s">
        <v>408</v>
      </c>
      <c r="B75" s="1">
        <v>0</v>
      </c>
      <c r="C75" s="1">
        <v>0</v>
      </c>
      <c r="D75" s="1">
        <v>0</v>
      </c>
      <c r="E75" s="1">
        <v>0</v>
      </c>
      <c r="F75" s="1">
        <v>1</v>
      </c>
      <c r="G75" s="1">
        <v>0</v>
      </c>
      <c r="H75" s="1">
        <v>0</v>
      </c>
      <c r="I75" s="1">
        <v>0</v>
      </c>
      <c r="J75" s="1">
        <v>0</v>
      </c>
      <c r="K75" s="1">
        <v>0</v>
      </c>
      <c r="L75" s="1">
        <v>0</v>
      </c>
      <c r="M75" s="890">
        <v>0</v>
      </c>
      <c r="N75" s="879">
        <f t="shared" si="7"/>
        <v>1</v>
      </c>
      <c r="O75" s="74"/>
      <c r="P75" s="74"/>
      <c r="Q75" s="74"/>
      <c r="R75" s="74"/>
      <c r="S75" s="74"/>
      <c r="T75" s="74"/>
      <c r="U75" s="74"/>
      <c r="V75" s="74"/>
    </row>
    <row r="76" spans="1:22" ht="14.4" x14ac:dyDescent="0.25">
      <c r="A76" s="878" t="s">
        <v>3162</v>
      </c>
      <c r="B76" s="1">
        <v>0</v>
      </c>
      <c r="C76" s="1">
        <v>0</v>
      </c>
      <c r="D76" s="1">
        <v>0</v>
      </c>
      <c r="E76" s="1">
        <v>0</v>
      </c>
      <c r="F76" s="1">
        <v>1</v>
      </c>
      <c r="G76" s="1">
        <v>1</v>
      </c>
      <c r="H76" s="1">
        <v>0</v>
      </c>
      <c r="I76" s="1">
        <v>0</v>
      </c>
      <c r="J76" s="1">
        <v>0</v>
      </c>
      <c r="K76" s="1">
        <v>0</v>
      </c>
      <c r="L76" s="1">
        <v>0</v>
      </c>
      <c r="M76" s="890">
        <v>0</v>
      </c>
      <c r="N76" s="879">
        <f t="shared" si="7"/>
        <v>2</v>
      </c>
      <c r="O76" s="74"/>
      <c r="P76" s="74"/>
      <c r="Q76" s="74"/>
      <c r="R76" s="74"/>
      <c r="S76" s="74"/>
      <c r="T76" s="74"/>
      <c r="U76" s="74"/>
      <c r="V76" s="74"/>
    </row>
    <row r="77" spans="1:22" ht="14.4" x14ac:dyDescent="0.25">
      <c r="A77" s="878" t="s">
        <v>3763</v>
      </c>
      <c r="B77" s="1">
        <v>0</v>
      </c>
      <c r="C77" s="1">
        <v>0</v>
      </c>
      <c r="D77" s="1">
        <v>0</v>
      </c>
      <c r="E77" s="1">
        <v>0</v>
      </c>
      <c r="F77" s="1">
        <v>0</v>
      </c>
      <c r="G77" s="1">
        <v>0</v>
      </c>
      <c r="H77" s="1">
        <v>0</v>
      </c>
      <c r="I77" s="1">
        <v>0</v>
      </c>
      <c r="J77" s="1">
        <v>0</v>
      </c>
      <c r="K77" s="1">
        <v>0</v>
      </c>
      <c r="L77" s="1">
        <v>0</v>
      </c>
      <c r="M77" s="890">
        <v>0</v>
      </c>
      <c r="N77" s="879">
        <f t="shared" ref="N77" si="10">SUM(B77:M77)</f>
        <v>0</v>
      </c>
      <c r="O77" s="74"/>
      <c r="P77" s="74"/>
      <c r="Q77" s="74"/>
      <c r="R77" s="74"/>
      <c r="S77" s="74"/>
      <c r="T77" s="74"/>
      <c r="U77" s="74"/>
      <c r="V77" s="74"/>
    </row>
    <row r="78" spans="1:22" ht="14.4" x14ac:dyDescent="0.25">
      <c r="A78" s="878" t="s">
        <v>3163</v>
      </c>
      <c r="B78" s="1">
        <v>0</v>
      </c>
      <c r="C78" s="1">
        <v>0</v>
      </c>
      <c r="D78" s="1">
        <v>1</v>
      </c>
      <c r="E78" s="1">
        <v>0</v>
      </c>
      <c r="F78" s="1">
        <v>1</v>
      </c>
      <c r="G78" s="1">
        <v>0</v>
      </c>
      <c r="H78" s="1">
        <v>0</v>
      </c>
      <c r="I78" s="1">
        <v>0</v>
      </c>
      <c r="J78" s="1">
        <v>0</v>
      </c>
      <c r="K78" s="1">
        <v>0</v>
      </c>
      <c r="L78" s="1">
        <v>0</v>
      </c>
      <c r="M78" s="890">
        <v>0</v>
      </c>
      <c r="N78" s="879">
        <f t="shared" ref="N78" si="11">SUM(B78:M78)</f>
        <v>2</v>
      </c>
      <c r="O78" s="74"/>
      <c r="P78" s="74"/>
      <c r="Q78" s="74"/>
      <c r="R78" s="74"/>
      <c r="S78" s="74"/>
      <c r="T78" s="74"/>
      <c r="U78" s="74"/>
      <c r="V78" s="74"/>
    </row>
    <row r="79" spans="1:22" ht="13.8" thickBot="1" x14ac:dyDescent="0.3">
      <c r="A79" s="880" t="s">
        <v>1000</v>
      </c>
      <c r="B79" s="881">
        <f t="shared" ref="B79:M79" si="12">SUM(B45:B78)</f>
        <v>6</v>
      </c>
      <c r="C79" s="881">
        <f t="shared" si="12"/>
        <v>5</v>
      </c>
      <c r="D79" s="881">
        <f t="shared" si="12"/>
        <v>14</v>
      </c>
      <c r="E79" s="881">
        <f t="shared" si="12"/>
        <v>5</v>
      </c>
      <c r="F79" s="881">
        <f t="shared" si="12"/>
        <v>8</v>
      </c>
      <c r="G79" s="881">
        <f t="shared" si="12"/>
        <v>7</v>
      </c>
      <c r="H79" s="881">
        <f t="shared" si="12"/>
        <v>7</v>
      </c>
      <c r="I79" s="881">
        <f t="shared" si="12"/>
        <v>4</v>
      </c>
      <c r="J79" s="881">
        <f t="shared" si="12"/>
        <v>6</v>
      </c>
      <c r="K79" s="881">
        <f t="shared" si="12"/>
        <v>7</v>
      </c>
      <c r="L79" s="881">
        <f t="shared" si="12"/>
        <v>9</v>
      </c>
      <c r="M79" s="898">
        <f t="shared" si="12"/>
        <v>15</v>
      </c>
      <c r="N79" s="882">
        <f t="shared" si="7"/>
        <v>93</v>
      </c>
      <c r="O79" s="74"/>
      <c r="P79" s="74"/>
      <c r="Q79" s="74"/>
      <c r="R79" s="74"/>
      <c r="S79" s="74"/>
      <c r="T79" s="74"/>
      <c r="U79" s="74"/>
      <c r="V79" s="74"/>
    </row>
    <row r="80" spans="1:22" x14ac:dyDescent="0.25">
      <c r="A80" s="74"/>
      <c r="B80" s="74"/>
      <c r="C80" s="74"/>
      <c r="D80" s="74"/>
      <c r="E80" s="74"/>
      <c r="F80" s="74"/>
      <c r="G80" s="74"/>
      <c r="H80" s="74"/>
      <c r="I80" s="74"/>
      <c r="J80" s="74"/>
      <c r="K80" s="74"/>
      <c r="L80" s="74"/>
      <c r="M80" s="74"/>
      <c r="N80" s="74"/>
      <c r="O80" s="74"/>
      <c r="P80" s="74"/>
      <c r="Q80" s="74"/>
      <c r="R80" s="74"/>
      <c r="S80" s="74"/>
      <c r="T80" s="74"/>
      <c r="U80" s="74"/>
      <c r="V80" s="74"/>
    </row>
  </sheetData>
  <customSheetViews>
    <customSheetView guid="{5F8FD084-40FB-49AA-B447-CD935F604D55}" scale="60" topLeftCell="D43">
      <selection activeCell="N50" sqref="N50"/>
      <pageMargins left="0.75" right="0.75" top="1" bottom="1" header="0.5" footer="0.5"/>
      <pageSetup scale="75" orientation="landscape" r:id="rId1"/>
      <headerFooter alignWithMargins="0"/>
    </customSheetView>
    <customSheetView guid="{5FD7D287-AC38-49FE-8AA5-C4506E353DCC}" scale="60" showPageBreaks="1">
      <selection activeCell="P33" sqref="P33"/>
      <pageMargins left="0.75" right="0.75" top="1" bottom="1" header="0.5" footer="0.5"/>
      <pageSetup scale="75" orientation="landscape" r:id="rId2"/>
      <headerFooter alignWithMargins="0"/>
    </customSheetView>
  </customSheetViews>
  <mergeCells count="6">
    <mergeCell ref="Q26:U26"/>
    <mergeCell ref="A1:N1"/>
    <mergeCell ref="A2:N3"/>
    <mergeCell ref="A4:N4"/>
    <mergeCell ref="Q20:U20"/>
    <mergeCell ref="Q21:U21"/>
  </mergeCells>
  <pageMargins left="0.75" right="0.75" top="1" bottom="1" header="0.5" footer="0.5"/>
  <pageSetup scale="75" orientation="landscape" r:id="rId3"/>
  <headerFooter alignWithMargins="0"/>
  <drawing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60CEF1-1881-4135-92D0-1D4427689F72}">
  <sheetPr codeName="Sheet13">
    <tabColor theme="2" tint="-0.499984740745262"/>
  </sheetPr>
  <dimension ref="A1:AC67"/>
  <sheetViews>
    <sheetView zoomScale="75" zoomScaleNormal="75" workbookViewId="0">
      <selection activeCell="AD41" sqref="AD41"/>
    </sheetView>
  </sheetViews>
  <sheetFormatPr defaultColWidth="9.109375" defaultRowHeight="14.4" x14ac:dyDescent="0.3"/>
  <cols>
    <col min="1" max="1" width="24.5546875" style="63" customWidth="1"/>
    <col min="2" max="2" width="6.44140625" style="63" customWidth="1"/>
    <col min="3" max="3" width="8.6640625" style="63" bestFit="1" customWidth="1"/>
    <col min="4" max="10" width="9.109375" style="63"/>
    <col min="11" max="11" width="9.109375" style="63" customWidth="1"/>
    <col min="12" max="12" width="13.109375" style="63" customWidth="1"/>
    <col min="13" max="13" width="9.109375" style="63"/>
    <col min="14" max="14" width="8.88671875" style="63" customWidth="1"/>
    <col min="15" max="15" width="10.5546875" style="63" customWidth="1"/>
    <col min="16" max="17" width="10.6640625" style="63" customWidth="1"/>
    <col min="18" max="19" width="2.6640625" style="63" customWidth="1"/>
    <col min="20" max="20" width="6.33203125" style="63" customWidth="1"/>
    <col min="21" max="21" width="14.6640625" style="63" customWidth="1"/>
    <col min="22" max="22" width="15.33203125" style="63" customWidth="1"/>
    <col min="23" max="24" width="10.33203125" style="63" bestFit="1" customWidth="1"/>
    <col min="25" max="25" width="27.6640625" style="63" customWidth="1"/>
    <col min="26" max="26" width="6.6640625" style="63" customWidth="1"/>
    <col min="27" max="16384" width="9.109375" style="63"/>
  </cols>
  <sheetData>
    <row r="1" spans="1:29" ht="15" thickBot="1" x14ac:dyDescent="0.35">
      <c r="A1" s="547"/>
      <c r="B1" s="547"/>
      <c r="C1" s="547"/>
      <c r="D1" s="547"/>
      <c r="E1" s="547"/>
      <c r="F1" s="547"/>
      <c r="G1" s="547"/>
      <c r="H1" s="547"/>
      <c r="I1" s="547"/>
      <c r="J1" s="547"/>
      <c r="K1" s="547"/>
      <c r="L1" s="547"/>
      <c r="M1" s="547"/>
      <c r="N1" s="547"/>
      <c r="O1" s="547"/>
      <c r="P1" s="547"/>
      <c r="Q1" s="547"/>
      <c r="R1" s="547"/>
      <c r="S1" s="547"/>
      <c r="T1" s="547"/>
      <c r="U1" s="547"/>
      <c r="V1" s="547"/>
      <c r="W1" s="547"/>
      <c r="X1" s="547"/>
      <c r="Y1" s="547"/>
      <c r="Z1" s="547"/>
      <c r="AA1" s="547"/>
      <c r="AB1" s="547"/>
      <c r="AC1" s="547"/>
    </row>
    <row r="2" spans="1:29" ht="46.2" customHeight="1" x14ac:dyDescent="0.3">
      <c r="A2" s="1199" t="s">
        <v>997</v>
      </c>
      <c r="B2" s="1200"/>
      <c r="C2" s="1200"/>
      <c r="D2" s="1200"/>
      <c r="E2" s="1200"/>
      <c r="F2" s="1200"/>
      <c r="G2" s="1200"/>
      <c r="H2" s="1200"/>
      <c r="I2" s="1200"/>
      <c r="J2" s="1200"/>
      <c r="K2" s="1200"/>
      <c r="L2" s="1200"/>
      <c r="M2" s="1200"/>
      <c r="N2" s="1200"/>
      <c r="O2" s="1200"/>
      <c r="P2" s="1200"/>
      <c r="Q2" s="1201"/>
      <c r="R2" s="547"/>
      <c r="S2" s="547"/>
      <c r="T2" s="547"/>
      <c r="U2" s="547"/>
      <c r="V2" s="547"/>
      <c r="W2" s="547"/>
      <c r="X2" s="547"/>
      <c r="Y2" s="547"/>
      <c r="Z2" s="547"/>
      <c r="AA2" s="547"/>
      <c r="AB2" s="547"/>
      <c r="AC2" s="547"/>
    </row>
    <row r="3" spans="1:29" ht="24" customHeight="1" x14ac:dyDescent="0.3">
      <c r="A3" s="869" t="s">
        <v>1013</v>
      </c>
      <c r="B3" s="866"/>
      <c r="C3" s="867" t="str">
        <f>_xlfn.TEXTJOIN("-",TRUE, TEXT(IF((MONTH($V$13)) &gt; 20,(MONTH($V$13))*30, (MONTH($V$13))*29), "mmm"),  IF(13-MONTH($V$13) &lt; 1,MID(YEAR($V$13), 3, 2)+1, MID(YEAR($V$13), 3, 2)))</f>
        <v>Jan-24</v>
      </c>
      <c r="D3" s="867" t="str">
        <f>_xlfn.TEXTJOIN("-",TRUE, TEXT(IF((MONTH($V$13)+1) &gt; 20,(MONTH($V$13)+1)*30, (MONTH($V$13)+1)*29), "mmm"),  IF(13-MONTH($V$13) &lt; 2,MID(YEAR($V$13), 3, 2)+1, MID(YEAR($V$13), 3, 2)))</f>
        <v>Feb-24</v>
      </c>
      <c r="E3" s="867" t="str">
        <f>_xlfn.TEXTJOIN("-",TRUE, TEXT(IF((MONTH($V$13)+2) &gt; 20,(MONTH($V$13)+2)*30, (MONTH($V$13)+2)*29), "mmm"),  IF(13-MONTH($V$13) &lt; 3,MID(YEAR($V$13), 3, 2)+1, MID(YEAR($V$13), 3, 2)))</f>
        <v>Mar-24</v>
      </c>
      <c r="F3" s="867" t="str">
        <f>_xlfn.TEXTJOIN("-",TRUE, TEXT(IF((MONTH($V$13)+3) &gt; 20,(MONTH($V$13)+3)*30, (MONTH($V$13)+3)*29), "mmm"),  IF(13-MONTH($V$13) &lt; 4,MID(YEAR($V$13), 3, 2)+1, MID(YEAR($V$13), 3, 2)))</f>
        <v>Apr-24</v>
      </c>
      <c r="G3" s="867" t="str">
        <f>_xlfn.TEXTJOIN("-",TRUE, TEXT(IF((MONTH($V$13)+4) &gt; 20,(MONTH($V$13)+4)*30, (MONTH($V$13)+4)*29), "mmm"),  IF(13-MONTH($V$13) &lt; 5,MID(YEAR($V$13), 3, 2)+1, MID(YEAR($V$13), 3, 2)))</f>
        <v>May-24</v>
      </c>
      <c r="H3" s="867" t="str">
        <f>_xlfn.TEXTJOIN("-",TRUE, TEXT(IF((MONTH($V$13)+5) &gt; 20,(MONTH($V$13)+5)*30, (MONTH($V$13)+5)*29), "mmm"),  IF(13-MONTH($V$13) &lt; 6,MID(YEAR($V$13), 3, 2)+1, MID(YEAR($V$13), 3, 2)))</f>
        <v>Jun-24</v>
      </c>
      <c r="I3" s="867" t="str">
        <f>_xlfn.TEXTJOIN("-",TRUE, TEXT(IF((MONTH($V$13)+6) &gt; 20,(MONTH($V$13)+6)*30, (MONTH($V$13)+6)*29), "mmm"),  IF(13-MONTH($V$13) &lt; 7,MID(YEAR($V$13), 3, 2)+1, MID(YEAR($V$13), 3, 2)))</f>
        <v>Jul-24</v>
      </c>
      <c r="J3" s="867" t="str">
        <f>_xlfn.TEXTJOIN("-",TRUE, TEXT(IF((MONTH($V$13)+7) &gt; 20,(MONTH($V$13)+7)*30, (MONTH($V$13)+7)*29), "mmm"),  IF(13-MONTH($V$13) &lt; 8,MID(YEAR($V$13), 3, 2)+1, MID(YEAR($V$13), 3, 2)))</f>
        <v>Aug-24</v>
      </c>
      <c r="K3" s="867" t="str">
        <f>_xlfn.TEXTJOIN("-",TRUE, TEXT(IF((MONTH($V$13)+8) &gt; 20,(MONTH($V$13)+8)*30, (MONTH($V$13)+8)*29), "mmm"),  IF(13-MONTH($V$13) &lt; 9,MID(YEAR($V$13), 3, 2)+1, MID(YEAR($V$13), 3, 2)))</f>
        <v>Sep-24</v>
      </c>
      <c r="L3" s="867" t="str">
        <f>_xlfn.TEXTJOIN("-",TRUE, TEXT(IF((MONTH($V$13)+9) &gt; 20,(MONTH($V$13)+9)*30, (MONTH($V$13)+9)*29), "mmm"),  IF(13-MONTH($V$13) &lt; 10,MID(YEAR($V$13), 3, 2)+1, MID(YEAR($V$13), 3, 2)))</f>
        <v>Oct-24</v>
      </c>
      <c r="M3" s="867" t="str">
        <f>_xlfn.TEXTJOIN("-",TRUE, TEXT(IF((MONTH($V$13)+10) &gt; 20,(MONTH($V$13)+10)*30, (MONTH($V$13)+10)*29), "mmm"),  IF(13-MONTH($V$13) &lt; 11,MID(YEAR($V$13), 3, 2)+1, MID(YEAR($V$13), 3, 2)))</f>
        <v>Nov-24</v>
      </c>
      <c r="N3" s="867" t="str">
        <f>_xlfn.TEXTJOIN("-",TRUE, TEXT(IF((MONTH($V$13)+11) &gt; 20,(MONTH($V$13)+11)*30, (MONTH($V$13)+11)*29), "mmm"),  IF(13-MONTH($V$13) &lt; 12,MID(YEAR($V$13), 3, 2)+1, MID(YEAR($V$13), 3, 2)))</f>
        <v>Dec-24</v>
      </c>
      <c r="O3" s="866" t="s">
        <v>969</v>
      </c>
      <c r="P3" s="866" t="s">
        <v>970</v>
      </c>
      <c r="Q3" s="1067" t="s">
        <v>971</v>
      </c>
      <c r="R3" s="547"/>
      <c r="S3" s="547"/>
      <c r="T3" s="1068"/>
      <c r="U3" s="1069" t="str">
        <f>MID($V13,6,2)</f>
        <v/>
      </c>
      <c r="V3" s="1069"/>
      <c r="W3" s="1069"/>
      <c r="X3" s="1069"/>
      <c r="Y3" s="1070"/>
      <c r="Z3" s="547"/>
      <c r="AA3" s="547"/>
      <c r="AB3" s="547"/>
      <c r="AC3" s="547"/>
    </row>
    <row r="4" spans="1:29" x14ac:dyDescent="0.3">
      <c r="A4" s="545" t="s">
        <v>972</v>
      </c>
      <c r="B4" s="864" t="s">
        <v>336</v>
      </c>
      <c r="C4" s="868">
        <v>7</v>
      </c>
      <c r="D4" s="863">
        <v>8</v>
      </c>
      <c r="E4" s="863">
        <v>5</v>
      </c>
      <c r="F4" s="863">
        <v>6</v>
      </c>
      <c r="G4" s="863">
        <v>8</v>
      </c>
      <c r="H4" s="863">
        <v>8</v>
      </c>
      <c r="I4" s="863">
        <v>4</v>
      </c>
      <c r="J4" s="863">
        <v>4</v>
      </c>
      <c r="K4" s="863">
        <v>4</v>
      </c>
      <c r="L4" s="863">
        <v>6</v>
      </c>
      <c r="M4" s="863">
        <v>4</v>
      </c>
      <c r="N4" s="863">
        <v>3</v>
      </c>
      <c r="O4" s="1071">
        <f t="shared" ref="O4:O9" si="0">SUM(C4:N4)</f>
        <v>67</v>
      </c>
      <c r="P4" s="1072">
        <f>O4/O10*100</f>
        <v>51.538461538461533</v>
      </c>
      <c r="Q4" s="1073">
        <f t="shared" ref="Q4:Q9" si="1">P4</f>
        <v>51.538461538461533</v>
      </c>
      <c r="R4" s="547"/>
      <c r="S4" s="547"/>
      <c r="T4" s="1074"/>
      <c r="U4" s="832"/>
      <c r="V4" s="832"/>
      <c r="W4" s="832"/>
      <c r="X4" s="832"/>
      <c r="Y4" s="1075"/>
      <c r="Z4" s="547"/>
      <c r="AA4" s="547"/>
      <c r="AB4" s="547"/>
      <c r="AC4" s="547"/>
    </row>
    <row r="5" spans="1:29" x14ac:dyDescent="0.3">
      <c r="A5" s="545" t="s">
        <v>973</v>
      </c>
      <c r="B5" s="864" t="s">
        <v>342</v>
      </c>
      <c r="C5" s="863">
        <v>0</v>
      </c>
      <c r="D5" s="863">
        <v>0</v>
      </c>
      <c r="E5" s="863">
        <v>0</v>
      </c>
      <c r="F5" s="863">
        <v>0</v>
      </c>
      <c r="G5" s="863">
        <v>0</v>
      </c>
      <c r="H5" s="863">
        <v>0</v>
      </c>
      <c r="I5" s="863">
        <v>0</v>
      </c>
      <c r="J5" s="863">
        <v>0</v>
      </c>
      <c r="K5" s="863">
        <v>0</v>
      </c>
      <c r="L5" s="863">
        <v>0</v>
      </c>
      <c r="M5" s="863">
        <v>0</v>
      </c>
      <c r="N5" s="863">
        <v>0</v>
      </c>
      <c r="O5" s="1071">
        <f t="shared" si="0"/>
        <v>0</v>
      </c>
      <c r="P5" s="1072">
        <f>O5/O10*100</f>
        <v>0</v>
      </c>
      <c r="Q5" s="1073">
        <f t="shared" si="1"/>
        <v>0</v>
      </c>
      <c r="R5" s="547"/>
      <c r="S5" s="547"/>
      <c r="T5" s="1074"/>
      <c r="U5" s="832"/>
      <c r="V5" s="832"/>
      <c r="W5" s="834"/>
      <c r="X5" s="832"/>
      <c r="Y5" s="1075"/>
      <c r="Z5" s="547"/>
      <c r="AA5" s="547"/>
      <c r="AB5" s="547"/>
      <c r="AC5" s="547"/>
    </row>
    <row r="6" spans="1:29" x14ac:dyDescent="0.3">
      <c r="A6" s="545" t="s">
        <v>974</v>
      </c>
      <c r="B6" s="864" t="s">
        <v>329</v>
      </c>
      <c r="C6" s="863">
        <v>2</v>
      </c>
      <c r="D6" s="863">
        <v>3</v>
      </c>
      <c r="E6" s="863">
        <v>3</v>
      </c>
      <c r="F6" s="863">
        <v>4</v>
      </c>
      <c r="G6" s="863">
        <v>3</v>
      </c>
      <c r="H6" s="863">
        <v>5</v>
      </c>
      <c r="I6" s="863">
        <v>1</v>
      </c>
      <c r="J6" s="863">
        <v>1</v>
      </c>
      <c r="K6" s="863">
        <v>1</v>
      </c>
      <c r="L6" s="863">
        <v>3</v>
      </c>
      <c r="M6" s="863">
        <v>1</v>
      </c>
      <c r="N6" s="863">
        <v>0</v>
      </c>
      <c r="O6" s="1071">
        <f t="shared" si="0"/>
        <v>27</v>
      </c>
      <c r="P6" s="1072">
        <f>O6/O10*100</f>
        <v>20.76923076923077</v>
      </c>
      <c r="Q6" s="1073">
        <f t="shared" si="1"/>
        <v>20.76923076923077</v>
      </c>
      <c r="R6" s="547"/>
      <c r="S6" s="547"/>
      <c r="T6" s="1074"/>
      <c r="U6" s="832"/>
      <c r="V6" s="832"/>
      <c r="W6" s="834"/>
      <c r="X6" s="832"/>
      <c r="Y6" s="1075"/>
      <c r="Z6" s="547"/>
      <c r="AA6" s="547"/>
      <c r="AB6" s="547"/>
      <c r="AC6" s="547"/>
    </row>
    <row r="7" spans="1:29" x14ac:dyDescent="0.3">
      <c r="A7" s="545" t="s">
        <v>975</v>
      </c>
      <c r="B7" s="864" t="s">
        <v>379</v>
      </c>
      <c r="C7" s="863">
        <v>0</v>
      </c>
      <c r="D7" s="863">
        <v>0</v>
      </c>
      <c r="E7" s="863">
        <v>0</v>
      </c>
      <c r="F7" s="863">
        <v>0</v>
      </c>
      <c r="G7" s="863">
        <v>0</v>
      </c>
      <c r="H7" s="863">
        <v>0</v>
      </c>
      <c r="I7" s="863">
        <v>0</v>
      </c>
      <c r="J7" s="863">
        <v>0</v>
      </c>
      <c r="K7" s="863">
        <v>0</v>
      </c>
      <c r="L7" s="863">
        <v>0</v>
      </c>
      <c r="M7" s="863">
        <v>0</v>
      </c>
      <c r="N7" s="863">
        <v>0</v>
      </c>
      <c r="O7" s="1071">
        <f t="shared" si="0"/>
        <v>0</v>
      </c>
      <c r="P7" s="1072">
        <f>O7/O10*100</f>
        <v>0</v>
      </c>
      <c r="Q7" s="1073">
        <f t="shared" si="1"/>
        <v>0</v>
      </c>
      <c r="R7" s="547"/>
      <c r="S7" s="547"/>
      <c r="T7" s="1074"/>
      <c r="U7" s="832"/>
      <c r="V7" s="832"/>
      <c r="W7" s="834"/>
      <c r="X7" s="832"/>
      <c r="Y7" s="1075"/>
      <c r="Z7" s="547"/>
      <c r="AA7" s="547"/>
      <c r="AB7" s="547"/>
      <c r="AC7" s="547"/>
    </row>
    <row r="8" spans="1:29" x14ac:dyDescent="0.3">
      <c r="A8" s="545" t="s">
        <v>976</v>
      </c>
      <c r="B8" s="864" t="s">
        <v>332</v>
      </c>
      <c r="C8" s="868">
        <v>4</v>
      </c>
      <c r="D8" s="863">
        <v>3</v>
      </c>
      <c r="E8" s="868">
        <v>2</v>
      </c>
      <c r="F8" s="863">
        <v>2</v>
      </c>
      <c r="G8" s="863">
        <v>2</v>
      </c>
      <c r="H8" s="863">
        <v>4</v>
      </c>
      <c r="I8" s="863">
        <v>3</v>
      </c>
      <c r="J8" s="863">
        <v>1</v>
      </c>
      <c r="K8" s="863">
        <v>5</v>
      </c>
      <c r="L8" s="863">
        <v>1</v>
      </c>
      <c r="M8" s="863">
        <v>2</v>
      </c>
      <c r="N8" s="863">
        <v>4</v>
      </c>
      <c r="O8" s="1071">
        <f t="shared" si="0"/>
        <v>33</v>
      </c>
      <c r="P8" s="1072">
        <f>O8/O10*100</f>
        <v>25.384615384615383</v>
      </c>
      <c r="Q8" s="1073">
        <f t="shared" si="1"/>
        <v>25.384615384615383</v>
      </c>
      <c r="R8" s="547"/>
      <c r="S8" s="547"/>
      <c r="T8" s="1074"/>
      <c r="U8" s="832"/>
      <c r="V8" s="832"/>
      <c r="W8" s="834"/>
      <c r="X8" s="832"/>
      <c r="Y8" s="1075"/>
      <c r="Z8" s="547"/>
      <c r="AA8" s="547"/>
      <c r="AB8" s="547"/>
      <c r="AC8" s="547"/>
    </row>
    <row r="9" spans="1:29" x14ac:dyDescent="0.3">
      <c r="A9" s="545" t="s">
        <v>977</v>
      </c>
      <c r="B9" s="864" t="s">
        <v>347</v>
      </c>
      <c r="C9" s="863">
        <v>0</v>
      </c>
      <c r="D9" s="863">
        <v>0</v>
      </c>
      <c r="E9" s="863">
        <v>0</v>
      </c>
      <c r="F9" s="863">
        <v>0</v>
      </c>
      <c r="G9" s="863">
        <v>1</v>
      </c>
      <c r="H9" s="863">
        <v>0</v>
      </c>
      <c r="I9" s="863">
        <v>1</v>
      </c>
      <c r="J9" s="863">
        <v>0</v>
      </c>
      <c r="K9" s="863">
        <v>1</v>
      </c>
      <c r="L9" s="863">
        <v>0</v>
      </c>
      <c r="M9" s="863">
        <v>0</v>
      </c>
      <c r="N9" s="863">
        <v>0</v>
      </c>
      <c r="O9" s="1071">
        <f t="shared" si="0"/>
        <v>3</v>
      </c>
      <c r="P9" s="1072">
        <f>O9/O10*100</f>
        <v>2.3076923076923079</v>
      </c>
      <c r="Q9" s="1073">
        <f t="shared" si="1"/>
        <v>2.3076923076923079</v>
      </c>
      <c r="R9" s="547"/>
      <c r="S9" s="547"/>
      <c r="T9" s="1074"/>
      <c r="U9" s="832"/>
      <c r="V9" s="832"/>
      <c r="W9" s="834"/>
      <c r="X9" s="832"/>
      <c r="Y9" s="1075"/>
      <c r="Z9" s="547"/>
      <c r="AA9" s="547"/>
      <c r="AB9" s="547"/>
      <c r="AC9" s="547"/>
    </row>
    <row r="10" spans="1:29" x14ac:dyDescent="0.3">
      <c r="A10" s="865" t="s">
        <v>293</v>
      </c>
      <c r="B10" s="1067"/>
      <c r="C10" s="1076">
        <f>SUM(C4:C9)</f>
        <v>13</v>
      </c>
      <c r="D10" s="1076">
        <f t="shared" ref="D10:N10" si="2">SUM(D4:D9)</f>
        <v>14</v>
      </c>
      <c r="E10" s="1076">
        <f t="shared" si="2"/>
        <v>10</v>
      </c>
      <c r="F10" s="1076">
        <f>SUM(F4:F9)</f>
        <v>12</v>
      </c>
      <c r="G10" s="1076">
        <f>SUM(G4:G9)</f>
        <v>14</v>
      </c>
      <c r="H10" s="1076">
        <f t="shared" si="2"/>
        <v>17</v>
      </c>
      <c r="I10" s="1076">
        <f t="shared" si="2"/>
        <v>9</v>
      </c>
      <c r="J10" s="1076">
        <f t="shared" si="2"/>
        <v>6</v>
      </c>
      <c r="K10" s="1076">
        <f t="shared" si="2"/>
        <v>11</v>
      </c>
      <c r="L10" s="1076">
        <f t="shared" si="2"/>
        <v>10</v>
      </c>
      <c r="M10" s="1076">
        <f t="shared" si="2"/>
        <v>7</v>
      </c>
      <c r="N10" s="1076">
        <f t="shared" si="2"/>
        <v>7</v>
      </c>
      <c r="O10" s="1077">
        <f>SUM(O4:O9)</f>
        <v>130</v>
      </c>
      <c r="P10" s="1078">
        <f>SUM(P4:P9)</f>
        <v>100</v>
      </c>
      <c r="Q10" s="1079">
        <f>SUM(Q4:Q9)</f>
        <v>100</v>
      </c>
      <c r="R10" s="547"/>
      <c r="S10" s="547"/>
      <c r="T10" s="1074"/>
      <c r="U10" s="832"/>
      <c r="V10" s="832"/>
      <c r="W10" s="834"/>
      <c r="X10" s="832"/>
      <c r="Y10" s="1075"/>
      <c r="Z10" s="547"/>
      <c r="AA10" s="547"/>
      <c r="AB10" s="547"/>
      <c r="AC10" s="547"/>
    </row>
    <row r="11" spans="1:29" x14ac:dyDescent="0.3">
      <c r="A11" s="548"/>
      <c r="B11" s="870"/>
      <c r="C11" s="870"/>
      <c r="D11" s="870"/>
      <c r="E11" s="870"/>
      <c r="F11" s="870"/>
      <c r="G11" s="870"/>
      <c r="H11" s="870"/>
      <c r="I11" s="870"/>
      <c r="J11" s="870"/>
      <c r="K11" s="870"/>
      <c r="L11" s="870"/>
      <c r="M11" s="870"/>
      <c r="N11" s="870"/>
      <c r="O11" s="870"/>
      <c r="P11" s="870"/>
      <c r="Q11" s="871"/>
      <c r="R11" s="547"/>
      <c r="S11" s="547"/>
      <c r="T11" s="1080"/>
      <c r="U11" s="832"/>
      <c r="V11" s="832"/>
      <c r="W11" s="832"/>
      <c r="X11" s="832"/>
      <c r="Y11" s="1075"/>
      <c r="Z11" s="547"/>
      <c r="AA11" s="547"/>
      <c r="AB11" s="547"/>
      <c r="AC11" s="547"/>
    </row>
    <row r="12" spans="1:29" ht="15" thickBot="1" x14ac:dyDescent="0.35">
      <c r="A12" s="548"/>
      <c r="B12" s="870"/>
      <c r="C12" s="870"/>
      <c r="D12" s="870"/>
      <c r="E12" s="870"/>
      <c r="F12" s="870"/>
      <c r="G12" s="870"/>
      <c r="H12" s="870"/>
      <c r="I12" s="870"/>
      <c r="J12" s="870"/>
      <c r="K12" s="870"/>
      <c r="L12" s="870"/>
      <c r="M12" s="1081"/>
      <c r="N12" s="1082"/>
      <c r="O12" s="1083" t="s">
        <v>978</v>
      </c>
      <c r="P12" s="1082"/>
      <c r="Q12" s="1084"/>
      <c r="R12" s="547"/>
      <c r="S12" s="547"/>
      <c r="T12" s="1074"/>
      <c r="U12" s="832"/>
      <c r="V12" s="832"/>
      <c r="W12" s="832"/>
      <c r="X12" s="832"/>
      <c r="Y12" s="1075"/>
      <c r="Z12" s="547"/>
      <c r="AA12" s="547"/>
      <c r="AB12" s="547"/>
      <c r="AC12" s="547"/>
    </row>
    <row r="13" spans="1:29" ht="18" x14ac:dyDescent="0.3">
      <c r="A13" s="548"/>
      <c r="B13" s="870"/>
      <c r="C13" s="870"/>
      <c r="D13" s="870"/>
      <c r="E13" s="870"/>
      <c r="F13" s="870"/>
      <c r="G13" s="870"/>
      <c r="H13" s="870"/>
      <c r="I13" s="870"/>
      <c r="J13" s="870"/>
      <c r="K13" s="870"/>
      <c r="L13" s="870"/>
      <c r="M13" s="1206"/>
      <c r="N13" s="1207"/>
      <c r="O13" s="872" t="s">
        <v>969</v>
      </c>
      <c r="P13" s="872" t="s">
        <v>970</v>
      </c>
      <c r="Q13" s="100" t="s">
        <v>971</v>
      </c>
      <c r="R13" s="547"/>
      <c r="S13" s="547"/>
      <c r="T13" s="1074"/>
      <c r="U13" s="549" t="s">
        <v>0</v>
      </c>
      <c r="V13" s="710">
        <v>45292</v>
      </c>
      <c r="W13" s="550"/>
      <c r="X13" s="550"/>
      <c r="Y13" s="1085"/>
      <c r="Z13" s="547"/>
      <c r="AA13" s="547"/>
      <c r="AB13" s="547"/>
      <c r="AC13" s="547"/>
    </row>
    <row r="14" spans="1:29" ht="18.600000000000001" customHeight="1" thickBot="1" x14ac:dyDescent="0.35">
      <c r="A14" s="548"/>
      <c r="B14" s="870"/>
      <c r="C14" s="870"/>
      <c r="D14" s="870"/>
      <c r="E14" s="870"/>
      <c r="F14" s="870"/>
      <c r="G14" s="870"/>
      <c r="H14" s="870"/>
      <c r="I14" s="870"/>
      <c r="J14" s="870"/>
      <c r="K14" s="870"/>
      <c r="L14" s="870"/>
      <c r="M14" s="1208" t="s">
        <v>979</v>
      </c>
      <c r="N14" s="1209"/>
      <c r="O14" s="873">
        <f>SUM(O4:O5)</f>
        <v>67</v>
      </c>
      <c r="P14" s="874">
        <f>O14/O10*100</f>
        <v>51.538461538461533</v>
      </c>
      <c r="Q14" s="546">
        <f>P14</f>
        <v>51.538461538461533</v>
      </c>
      <c r="R14" s="547"/>
      <c r="S14" s="547"/>
      <c r="T14" s="1074"/>
      <c r="U14" s="551" t="s">
        <v>2</v>
      </c>
      <c r="V14" s="711">
        <v>45688</v>
      </c>
      <c r="W14" s="552"/>
      <c r="X14" s="552"/>
      <c r="Y14" s="1086"/>
      <c r="Z14" s="547"/>
      <c r="AA14" s="547"/>
      <c r="AB14" s="547"/>
      <c r="AC14" s="547"/>
    </row>
    <row r="15" spans="1:29" ht="16.2" customHeight="1" x14ac:dyDescent="0.3">
      <c r="A15" s="548"/>
      <c r="B15" s="870"/>
      <c r="C15" s="870"/>
      <c r="D15" s="870"/>
      <c r="E15" s="870"/>
      <c r="F15" s="870"/>
      <c r="G15" s="870"/>
      <c r="H15" s="870"/>
      <c r="I15" s="870"/>
      <c r="J15" s="870"/>
      <c r="K15" s="870"/>
      <c r="L15" s="870"/>
      <c r="M15" s="1210" t="s">
        <v>980</v>
      </c>
      <c r="N15" s="1211"/>
      <c r="O15" s="873">
        <f>SUM(O6:O7)</f>
        <v>27</v>
      </c>
      <c r="P15" s="874">
        <f>O15/O10*100</f>
        <v>20.76923076923077</v>
      </c>
      <c r="Q15" s="546">
        <f>P15</f>
        <v>20.76923076923077</v>
      </c>
      <c r="R15" s="547"/>
      <c r="S15" s="547"/>
      <c r="T15" s="1074"/>
      <c r="U15" s="553"/>
      <c r="V15" s="835"/>
      <c r="W15" s="835"/>
      <c r="X15" s="835"/>
      <c r="Y15" s="1087"/>
      <c r="Z15" s="547"/>
      <c r="AA15" s="547"/>
      <c r="AB15" s="547"/>
      <c r="AC15" s="547"/>
    </row>
    <row r="16" spans="1:29" ht="14.25" customHeight="1" thickBot="1" x14ac:dyDescent="0.35">
      <c r="A16" s="548"/>
      <c r="B16" s="870"/>
      <c r="C16" s="870"/>
      <c r="D16" s="870"/>
      <c r="E16" s="870"/>
      <c r="F16" s="870"/>
      <c r="G16" s="870"/>
      <c r="H16" s="870"/>
      <c r="I16" s="870"/>
      <c r="J16" s="870"/>
      <c r="K16" s="870"/>
      <c r="L16" s="870"/>
      <c r="M16" s="1212" t="s">
        <v>981</v>
      </c>
      <c r="N16" s="1213"/>
      <c r="O16" s="873">
        <f>SUM(O8:O9)</f>
        <v>36</v>
      </c>
      <c r="P16" s="874">
        <f>O16/O10*100</f>
        <v>27.692307692307693</v>
      </c>
      <c r="Q16" s="546">
        <f>P16</f>
        <v>27.692307692307693</v>
      </c>
      <c r="R16" s="547"/>
      <c r="S16" s="547"/>
      <c r="T16" s="1074"/>
      <c r="U16" s="1202" t="s">
        <v>1</v>
      </c>
      <c r="V16" s="1203"/>
      <c r="W16" s="1203"/>
      <c r="X16" s="1203"/>
      <c r="Y16" s="1204"/>
      <c r="Z16" s="547"/>
      <c r="AA16" s="547"/>
      <c r="AB16" s="547"/>
      <c r="AC16" s="547"/>
    </row>
    <row r="17" spans="1:29" x14ac:dyDescent="0.3">
      <c r="A17" s="548"/>
      <c r="B17" s="870"/>
      <c r="C17" s="870"/>
      <c r="D17" s="870"/>
      <c r="E17" s="870"/>
      <c r="F17" s="870"/>
      <c r="G17" s="870"/>
      <c r="H17" s="870"/>
      <c r="I17" s="870"/>
      <c r="J17" s="870"/>
      <c r="K17" s="870"/>
      <c r="L17" s="870"/>
      <c r="M17" s="1088"/>
      <c r="N17" s="1089"/>
      <c r="O17" s="1090"/>
      <c r="P17" s="1090"/>
      <c r="Q17" s="1091">
        <f>SUM(Q14:Q16)</f>
        <v>100</v>
      </c>
      <c r="R17" s="547"/>
      <c r="S17" s="547"/>
      <c r="T17" s="1074"/>
      <c r="U17" s="1215"/>
      <c r="V17" s="1216"/>
      <c r="W17" s="1216"/>
      <c r="X17" s="1216"/>
      <c r="Y17" s="1217"/>
      <c r="Z17" s="547"/>
      <c r="AA17" s="547"/>
      <c r="AB17" s="547"/>
      <c r="AC17" s="547"/>
    </row>
    <row r="18" spans="1:29" ht="19.95" customHeight="1" x14ac:dyDescent="0.3">
      <c r="A18" s="548"/>
      <c r="B18" s="870"/>
      <c r="C18" s="870"/>
      <c r="D18" s="870"/>
      <c r="E18" s="870"/>
      <c r="F18" s="870"/>
      <c r="G18" s="870"/>
      <c r="H18" s="870"/>
      <c r="I18" s="870"/>
      <c r="J18" s="870"/>
      <c r="K18" s="870"/>
      <c r="L18" s="870"/>
      <c r="M18" s="870"/>
      <c r="N18" s="870"/>
      <c r="O18" s="870"/>
      <c r="P18" s="870"/>
      <c r="Q18" s="871"/>
      <c r="R18" s="547"/>
      <c r="S18" s="547"/>
      <c r="T18" s="1074"/>
      <c r="U18" s="1185" t="s">
        <v>3965</v>
      </c>
      <c r="V18" s="1186"/>
      <c r="W18" s="1186"/>
      <c r="X18" s="1186"/>
      <c r="Y18" s="1214"/>
      <c r="Z18" s="547"/>
      <c r="AA18" s="547"/>
      <c r="AB18" s="547"/>
      <c r="AC18" s="547"/>
    </row>
    <row r="19" spans="1:29" x14ac:dyDescent="0.3">
      <c r="A19" s="548"/>
      <c r="B19" s="870"/>
      <c r="C19" s="870"/>
      <c r="D19" s="870"/>
      <c r="E19" s="870"/>
      <c r="F19" s="870"/>
      <c r="G19" s="870"/>
      <c r="H19" s="870"/>
      <c r="I19" s="870"/>
      <c r="J19" s="870"/>
      <c r="K19" s="870"/>
      <c r="L19" s="870"/>
      <c r="M19" s="870"/>
      <c r="N19" s="870"/>
      <c r="O19" s="870"/>
      <c r="P19" s="870"/>
      <c r="Q19" s="871"/>
      <c r="R19" s="547"/>
      <c r="S19" s="547"/>
      <c r="T19" s="1074"/>
      <c r="U19" s="1218" t="s">
        <v>3964</v>
      </c>
      <c r="V19" s="1219"/>
      <c r="W19" s="1219"/>
      <c r="X19" s="1219"/>
      <c r="Y19" s="1220"/>
      <c r="Z19" s="547"/>
      <c r="AA19" s="547"/>
      <c r="AB19" s="547"/>
      <c r="AC19" s="547"/>
    </row>
    <row r="20" spans="1:29" x14ac:dyDescent="0.3">
      <c r="A20" s="548"/>
      <c r="B20" s="870"/>
      <c r="C20" s="870"/>
      <c r="D20" s="870"/>
      <c r="E20" s="870"/>
      <c r="F20" s="870"/>
      <c r="G20" s="870"/>
      <c r="H20" s="870"/>
      <c r="I20" s="870"/>
      <c r="J20" s="870"/>
      <c r="K20" s="870"/>
      <c r="L20" s="870"/>
      <c r="M20" s="870"/>
      <c r="N20" s="870"/>
      <c r="O20" s="870"/>
      <c r="P20" s="870"/>
      <c r="Q20" s="871"/>
      <c r="R20" s="547"/>
      <c r="S20" s="547"/>
      <c r="T20" s="1074"/>
      <c r="U20" s="1185" t="s">
        <v>3615</v>
      </c>
      <c r="V20" s="1186"/>
      <c r="W20" s="1186"/>
      <c r="X20" s="1186"/>
      <c r="Y20" s="1214"/>
      <c r="Z20" s="547"/>
      <c r="AA20" s="547"/>
      <c r="AB20" s="547"/>
      <c r="AC20" s="547"/>
    </row>
    <row r="21" spans="1:29" x14ac:dyDescent="0.3">
      <c r="A21" s="548"/>
      <c r="B21" s="870"/>
      <c r="C21" s="870"/>
      <c r="D21" s="870"/>
      <c r="E21" s="870"/>
      <c r="F21" s="870"/>
      <c r="G21" s="870"/>
      <c r="H21" s="870"/>
      <c r="I21" s="870"/>
      <c r="J21" s="870"/>
      <c r="K21" s="870"/>
      <c r="L21" s="870"/>
      <c r="M21" s="870"/>
      <c r="N21" s="870"/>
      <c r="O21" s="870"/>
      <c r="P21" s="870"/>
      <c r="Q21" s="871"/>
      <c r="R21" s="547"/>
      <c r="S21" s="547"/>
      <c r="T21" s="1074"/>
      <c r="U21" s="712" t="s">
        <v>4341</v>
      </c>
      <c r="V21" s="62"/>
      <c r="W21" s="62"/>
      <c r="X21" s="62"/>
      <c r="Y21" s="1092"/>
      <c r="Z21" s="547"/>
      <c r="AA21" s="547"/>
      <c r="AB21" s="547"/>
      <c r="AC21" s="547"/>
    </row>
    <row r="22" spans="1:29" x14ac:dyDescent="0.3">
      <c r="A22" s="548"/>
      <c r="B22" s="870"/>
      <c r="C22" s="870"/>
      <c r="D22" s="870"/>
      <c r="E22" s="870"/>
      <c r="F22" s="870"/>
      <c r="G22" s="870"/>
      <c r="H22" s="870"/>
      <c r="I22" s="870"/>
      <c r="J22" s="870"/>
      <c r="K22" s="870"/>
      <c r="L22" s="870"/>
      <c r="M22" s="870"/>
      <c r="N22" s="870"/>
      <c r="O22" s="870"/>
      <c r="P22" s="870"/>
      <c r="Q22" s="871"/>
      <c r="R22" s="547"/>
      <c r="S22" s="547"/>
      <c r="T22" s="1074"/>
      <c r="U22" s="1185"/>
      <c r="V22" s="1186"/>
      <c r="W22" s="1186"/>
      <c r="X22" s="1186"/>
      <c r="Y22" s="1214"/>
      <c r="Z22" s="547"/>
      <c r="AA22" s="547"/>
      <c r="AB22" s="547"/>
      <c r="AC22" s="547"/>
    </row>
    <row r="23" spans="1:29" x14ac:dyDescent="0.3">
      <c r="A23" s="548"/>
      <c r="B23" s="870"/>
      <c r="C23" s="870"/>
      <c r="D23" s="870"/>
      <c r="E23" s="870"/>
      <c r="F23" s="870"/>
      <c r="G23" s="870"/>
      <c r="H23" s="870"/>
      <c r="I23" s="870"/>
      <c r="J23" s="870"/>
      <c r="K23" s="870"/>
      <c r="L23" s="870"/>
      <c r="M23" s="870"/>
      <c r="N23" s="870"/>
      <c r="O23" s="870"/>
      <c r="P23" s="870"/>
      <c r="Q23" s="871"/>
      <c r="R23" s="547"/>
      <c r="S23" s="547"/>
      <c r="T23" s="1074"/>
      <c r="U23" s="1185"/>
      <c r="V23" s="1186"/>
      <c r="W23" s="1186"/>
      <c r="X23" s="1186"/>
      <c r="Y23" s="1214"/>
      <c r="Z23" s="547"/>
      <c r="AA23" s="547"/>
      <c r="AB23" s="547"/>
      <c r="AC23" s="547"/>
    </row>
    <row r="24" spans="1:29" x14ac:dyDescent="0.3">
      <c r="A24" s="548"/>
      <c r="B24" s="870"/>
      <c r="C24" s="870"/>
      <c r="D24" s="870"/>
      <c r="E24" s="870"/>
      <c r="F24" s="870"/>
      <c r="G24" s="870"/>
      <c r="H24" s="870"/>
      <c r="I24" s="870"/>
      <c r="J24" s="870"/>
      <c r="K24" s="870"/>
      <c r="L24" s="870"/>
      <c r="M24" s="870"/>
      <c r="N24" s="870"/>
      <c r="O24" s="870"/>
      <c r="P24" s="870"/>
      <c r="Q24" s="871"/>
      <c r="R24" s="547"/>
      <c r="S24" s="547"/>
      <c r="T24" s="1074"/>
      <c r="U24" s="1185"/>
      <c r="V24" s="1186"/>
      <c r="W24" s="1186"/>
      <c r="X24" s="1186"/>
      <c r="Y24" s="1214"/>
      <c r="Z24" s="547"/>
      <c r="AA24" s="547"/>
      <c r="AB24" s="547"/>
      <c r="AC24" s="547"/>
    </row>
    <row r="25" spans="1:29" x14ac:dyDescent="0.3">
      <c r="A25" s="548"/>
      <c r="B25" s="870"/>
      <c r="C25" s="870"/>
      <c r="D25" s="870"/>
      <c r="E25" s="870"/>
      <c r="F25" s="870"/>
      <c r="G25" s="870"/>
      <c r="H25" s="870"/>
      <c r="I25" s="870"/>
      <c r="J25" s="870"/>
      <c r="K25" s="870"/>
      <c r="L25" s="870"/>
      <c r="M25" s="870"/>
      <c r="N25" s="870"/>
      <c r="O25" s="870"/>
      <c r="P25" s="870"/>
      <c r="Q25" s="871"/>
      <c r="R25" s="547"/>
      <c r="S25" s="547"/>
      <c r="T25" s="1074"/>
      <c r="U25" s="1185"/>
      <c r="V25" s="1186"/>
      <c r="W25" s="1186"/>
      <c r="X25" s="1186"/>
      <c r="Y25" s="1214"/>
      <c r="Z25" s="547"/>
      <c r="AA25" s="547"/>
      <c r="AB25" s="547"/>
      <c r="AC25" s="547"/>
    </row>
    <row r="26" spans="1:29" ht="15" thickBot="1" x14ac:dyDescent="0.35">
      <c r="A26" s="548"/>
      <c r="B26" s="870"/>
      <c r="C26" s="870"/>
      <c r="D26" s="870"/>
      <c r="E26" s="870"/>
      <c r="F26" s="870"/>
      <c r="G26" s="870"/>
      <c r="H26" s="870"/>
      <c r="I26" s="870"/>
      <c r="J26" s="870"/>
      <c r="K26" s="870"/>
      <c r="L26" s="870"/>
      <c r="M26" s="870"/>
      <c r="N26" s="870"/>
      <c r="O26" s="870"/>
      <c r="P26" s="870"/>
      <c r="Q26" s="871"/>
      <c r="R26" s="547"/>
      <c r="S26" s="547"/>
      <c r="T26" s="1074"/>
      <c r="U26" s="1221"/>
      <c r="V26" s="1222"/>
      <c r="W26" s="1222"/>
      <c r="X26" s="1222"/>
      <c r="Y26" s="1223"/>
      <c r="Z26" s="547"/>
      <c r="AA26" s="547"/>
      <c r="AB26" s="547"/>
      <c r="AC26" s="547"/>
    </row>
    <row r="27" spans="1:29" x14ac:dyDescent="0.3">
      <c r="A27" s="548"/>
      <c r="B27" s="870"/>
      <c r="C27" s="870"/>
      <c r="D27" s="870"/>
      <c r="E27" s="870"/>
      <c r="F27" s="870"/>
      <c r="G27" s="870"/>
      <c r="H27" s="870"/>
      <c r="I27" s="870"/>
      <c r="J27" s="870"/>
      <c r="K27" s="870"/>
      <c r="L27" s="870"/>
      <c r="M27" s="870"/>
      <c r="N27" s="870"/>
      <c r="O27" s="870"/>
      <c r="P27" s="870"/>
      <c r="Q27" s="871"/>
      <c r="R27" s="547"/>
      <c r="S27" s="547"/>
      <c r="T27" s="1074"/>
      <c r="U27" s="832"/>
      <c r="V27" s="832"/>
      <c r="W27" s="832"/>
      <c r="X27" s="832"/>
      <c r="Y27" s="1075"/>
      <c r="Z27" s="547"/>
      <c r="AA27" s="547"/>
      <c r="AB27" s="547"/>
      <c r="AC27" s="547"/>
    </row>
    <row r="28" spans="1:29" x14ac:dyDescent="0.3">
      <c r="A28" s="548"/>
      <c r="B28" s="870"/>
      <c r="C28" s="870"/>
      <c r="D28" s="870"/>
      <c r="E28" s="870"/>
      <c r="F28" s="870"/>
      <c r="G28" s="870"/>
      <c r="H28" s="870"/>
      <c r="I28" s="870"/>
      <c r="J28" s="870"/>
      <c r="K28" s="870"/>
      <c r="L28" s="870"/>
      <c r="M28" s="870"/>
      <c r="N28" s="870"/>
      <c r="O28" s="870"/>
      <c r="P28" s="870"/>
      <c r="Q28" s="871"/>
      <c r="R28" s="547"/>
      <c r="S28" s="547"/>
      <c r="T28" s="1093"/>
      <c r="U28" s="1094"/>
      <c r="V28" s="1094"/>
      <c r="W28" s="1094"/>
      <c r="X28" s="1094"/>
      <c r="Y28" s="1095"/>
      <c r="Z28" s="547"/>
      <c r="AA28" s="547"/>
      <c r="AB28" s="547"/>
      <c r="AC28" s="547"/>
    </row>
    <row r="29" spans="1:29" ht="26.4" x14ac:dyDescent="0.3">
      <c r="A29" s="1096" t="s">
        <v>982</v>
      </c>
      <c r="B29" s="1097"/>
      <c r="C29" s="1098" t="str">
        <f>_xlfn.TEXTJOIN("-",TRUE, TEXT(IF((MONTH($V$13)) &gt; 20,(MONTH($V$13))*30, (MONTH($V$13))*29), "mmm"),  IF(13-MONTH($V$13) &lt; 1,MID(YEAR($V$13), 3, 2)+1, MID(YEAR($V$13), 3, 2)))</f>
        <v>Jan-24</v>
      </c>
      <c r="D29" s="1098" t="str">
        <f>_xlfn.TEXTJOIN("-",TRUE, TEXT(IF((MONTH($V$13)+1) &gt; 20,(MONTH($V$13)+1)*30, (MONTH($V$13)+1)*29), "mmm"),  IF(13-MONTH($V$13) &lt; 2,MID(YEAR($V$13), 3, 2)+1, MID(YEAR($V$13), 3, 2)))</f>
        <v>Feb-24</v>
      </c>
      <c r="E29" s="1098" t="str">
        <f>_xlfn.TEXTJOIN("-",TRUE, TEXT(IF((MONTH($V$13)+2) &gt; 20,(MONTH($V$13)+2)*30, (MONTH($V$13)+2)*29), "mmm"),  IF(13-MONTH($V$13) &lt; 3,MID(YEAR($V$13), 3, 2)+1, MID(YEAR($V$13), 3, 2)))</f>
        <v>Mar-24</v>
      </c>
      <c r="F29" s="1098" t="str">
        <f>_xlfn.TEXTJOIN("-",TRUE, TEXT(IF((MONTH($V$13)+3) &gt; 20,(MONTH($V$13)+3)*30, (MONTH($V$13)+3)*29), "mmm"),  IF(13-MONTH($V$13) &lt; 4,MID(YEAR($V$13), 3, 2)+1, MID(YEAR($V$13), 3, 2)))</f>
        <v>Apr-24</v>
      </c>
      <c r="G29" s="1098" t="str">
        <f>_xlfn.TEXTJOIN("-",TRUE, TEXT(IF((MONTH($V$13)+4) &gt; 20,(MONTH($V$13)+4)*30, (MONTH($V$13)+4)*29), "mmm"),  IF(13-MONTH($V$13) &lt; 5,MID(YEAR($V$13), 3, 2)+1, MID(YEAR($V$13), 3, 2)))</f>
        <v>May-24</v>
      </c>
      <c r="H29" s="1098" t="str">
        <f>_xlfn.TEXTJOIN("-",TRUE, TEXT(IF((MONTH($V$13)+5) &gt; 20,(MONTH($V$13)+5)*30, (MONTH($V$13)+5)*29), "mmm"),  IF(13-MONTH($V$13) &lt; 6,MID(YEAR($V$13), 3, 2)+1, MID(YEAR($V$13), 3, 2)))</f>
        <v>Jun-24</v>
      </c>
      <c r="I29" s="1098" t="str">
        <f>_xlfn.TEXTJOIN("-",TRUE, TEXT(IF((MONTH($V$13)+6) &gt; 20,(MONTH($V$13)+6)*30, (MONTH($V$13)+6)*29), "mmm"),  IF(13-MONTH($V$13) &lt; 7,MID(YEAR($V$13), 3, 2)+1, MID(YEAR($V$13), 3, 2)))</f>
        <v>Jul-24</v>
      </c>
      <c r="J29" s="1098" t="str">
        <f>_xlfn.TEXTJOIN("-",TRUE, TEXT(IF((MONTH($V$13)+7) &gt; 20,(MONTH($V$13)+7)*30, (MONTH($V$13)+7)*29), "mmm"),  IF(13-MONTH($V$13) &lt; 8,MID(YEAR($V$13), 3, 2)+1, MID(YEAR($V$13), 3, 2)))</f>
        <v>Aug-24</v>
      </c>
      <c r="K29" s="1098" t="str">
        <f>_xlfn.TEXTJOIN("-",TRUE, TEXT(IF((MONTH($V$13)+8) &gt; 20,(MONTH($V$13)+8)*30, (MONTH($V$13)+8)*29), "mmm"),  IF(13-MONTH($V$13) &lt; 9,MID(YEAR($V$13), 3, 2)+1, MID(YEAR($V$13), 3, 2)))</f>
        <v>Sep-24</v>
      </c>
      <c r="L29" s="1098" t="str">
        <f>_xlfn.TEXTJOIN("-",TRUE, TEXT(IF((MONTH($V$13)+9) &gt; 20,(MONTH($V$13)+9)*30, (MONTH($V$13)+9)*29), "mmm"),  IF(13-MONTH($V$13) &lt; 10,MID(YEAR($V$13), 3, 2)+1, MID(YEAR($V$13), 3, 2)))</f>
        <v>Oct-24</v>
      </c>
      <c r="M29" s="1098" t="str">
        <f>_xlfn.TEXTJOIN("-",TRUE, TEXT(IF((MONTH($V$13)+10) &gt; 20,(MONTH($V$13)+10)*30, (MONTH($V$13)+10)*29), "mmm"),  IF(13-MONTH($V$13) &lt; 11,MID(YEAR($V$13), 3, 2)+1, MID(YEAR($V$13), 3, 2)))</f>
        <v>Nov-24</v>
      </c>
      <c r="N29" s="1098" t="str">
        <f>_xlfn.TEXTJOIN("-",TRUE, TEXT(IF((MONTH($V$13)+11) &gt; 20,(MONTH($V$13)+11)*30, (MONTH($V$13)+11)*29), "mmm"),  IF(13-MONTH($V$13) &lt; 12,MID(YEAR($V$13), 3, 2)+1, MID(YEAR($V$13), 3, 2)))</f>
        <v>Dec-24</v>
      </c>
      <c r="O29" s="1097" t="s">
        <v>969</v>
      </c>
      <c r="P29" s="1097" t="s">
        <v>970</v>
      </c>
      <c r="Q29" s="1099" t="s">
        <v>971</v>
      </c>
      <c r="R29" s="547"/>
      <c r="S29" s="547"/>
      <c r="T29" s="547"/>
      <c r="U29" s="547"/>
      <c r="V29" s="547"/>
      <c r="W29" s="547"/>
      <c r="X29" s="547"/>
      <c r="Y29" s="547"/>
      <c r="Z29" s="547"/>
      <c r="AA29" s="547"/>
      <c r="AB29" s="547"/>
      <c r="AC29" s="547"/>
    </row>
    <row r="30" spans="1:29" x14ac:dyDescent="0.3">
      <c r="A30" s="1100" t="s">
        <v>328</v>
      </c>
      <c r="B30" s="1101"/>
      <c r="C30" s="863">
        <v>13</v>
      </c>
      <c r="D30" s="863">
        <v>14</v>
      </c>
      <c r="E30" s="863">
        <v>10</v>
      </c>
      <c r="F30" s="863">
        <v>12</v>
      </c>
      <c r="G30" s="863">
        <v>13</v>
      </c>
      <c r="H30" s="863">
        <v>17</v>
      </c>
      <c r="I30" s="863">
        <v>8</v>
      </c>
      <c r="J30" s="863">
        <v>6</v>
      </c>
      <c r="K30" s="863">
        <v>10</v>
      </c>
      <c r="L30" s="863">
        <v>10</v>
      </c>
      <c r="M30" s="863">
        <v>7</v>
      </c>
      <c r="N30" s="863">
        <v>7</v>
      </c>
      <c r="O30" s="1102">
        <f t="shared" ref="O30:O53" si="3">SUM(C30:N30)</f>
        <v>127</v>
      </c>
      <c r="P30" s="1103">
        <f t="shared" ref="P30:P54" si="4">O30/$O$55*100</f>
        <v>97.692307692307693</v>
      </c>
      <c r="Q30" s="1104">
        <f t="shared" ref="Q30:Q53" si="5">P30</f>
        <v>97.692307692307693</v>
      </c>
      <c r="R30" s="547"/>
      <c r="S30" s="547"/>
      <c r="T30" s="106"/>
      <c r="U30" s="547"/>
      <c r="V30" s="547"/>
      <c r="W30" s="547"/>
      <c r="X30" s="547"/>
      <c r="Y30" s="547"/>
      <c r="Z30" s="547"/>
      <c r="AA30" s="547"/>
      <c r="AB30" s="547"/>
      <c r="AC30" s="547"/>
    </row>
    <row r="31" spans="1:29" x14ac:dyDescent="0.3">
      <c r="A31" s="1105" t="s">
        <v>341</v>
      </c>
      <c r="B31" s="864"/>
      <c r="C31" s="863">
        <v>0</v>
      </c>
      <c r="D31" s="863">
        <v>0</v>
      </c>
      <c r="E31" s="863">
        <v>0</v>
      </c>
      <c r="F31" s="863">
        <v>0</v>
      </c>
      <c r="G31" s="863">
        <v>1</v>
      </c>
      <c r="H31" s="863">
        <v>0</v>
      </c>
      <c r="I31" s="863">
        <v>1</v>
      </c>
      <c r="J31" s="863">
        <v>0</v>
      </c>
      <c r="K31" s="863">
        <v>1</v>
      </c>
      <c r="L31" s="863">
        <v>0</v>
      </c>
      <c r="M31" s="863">
        <v>0</v>
      </c>
      <c r="N31" s="863">
        <v>0</v>
      </c>
      <c r="O31" s="1071">
        <f t="shared" si="3"/>
        <v>3</v>
      </c>
      <c r="P31" s="1106">
        <f t="shared" si="4"/>
        <v>2.3076923076923079</v>
      </c>
      <c r="Q31" s="1073">
        <f t="shared" si="5"/>
        <v>2.3076923076923079</v>
      </c>
      <c r="R31" s="547"/>
      <c r="S31" s="547"/>
      <c r="T31" s="106"/>
      <c r="U31" s="547"/>
      <c r="V31" s="547"/>
      <c r="W31" s="547"/>
      <c r="X31" s="547"/>
      <c r="Y31" s="547"/>
      <c r="Z31" s="547"/>
      <c r="AA31" s="547"/>
      <c r="AB31" s="547"/>
      <c r="AC31" s="547"/>
    </row>
    <row r="32" spans="1:29" x14ac:dyDescent="0.3">
      <c r="A32" s="1105" t="s">
        <v>384</v>
      </c>
      <c r="B32" s="864"/>
      <c r="C32" s="863">
        <v>0</v>
      </c>
      <c r="D32" s="863">
        <v>0</v>
      </c>
      <c r="E32" s="863">
        <v>0</v>
      </c>
      <c r="F32" s="863">
        <v>0</v>
      </c>
      <c r="G32" s="863">
        <v>0</v>
      </c>
      <c r="H32" s="863">
        <v>0</v>
      </c>
      <c r="I32" s="863">
        <v>0</v>
      </c>
      <c r="J32" s="863">
        <v>0</v>
      </c>
      <c r="K32" s="863">
        <v>0</v>
      </c>
      <c r="L32" s="863">
        <v>0</v>
      </c>
      <c r="M32" s="863">
        <v>0</v>
      </c>
      <c r="N32" s="863">
        <v>0</v>
      </c>
      <c r="O32" s="1071">
        <f>SUM(C32:N32)</f>
        <v>0</v>
      </c>
      <c r="P32" s="1106">
        <f t="shared" si="4"/>
        <v>0</v>
      </c>
      <c r="Q32" s="1073">
        <f>P32</f>
        <v>0</v>
      </c>
      <c r="R32" s="547"/>
      <c r="S32" s="547"/>
      <c r="T32" s="106"/>
      <c r="U32" s="547"/>
      <c r="V32" s="547"/>
      <c r="W32" s="547"/>
      <c r="X32" s="547"/>
      <c r="Y32" s="547"/>
      <c r="Z32" s="547"/>
      <c r="AA32" s="547"/>
      <c r="AB32" s="547"/>
      <c r="AC32" s="547"/>
    </row>
    <row r="33" spans="1:29" x14ac:dyDescent="0.3">
      <c r="A33" s="1105" t="s">
        <v>983</v>
      </c>
      <c r="B33" s="864"/>
      <c r="C33" s="863">
        <v>0</v>
      </c>
      <c r="D33" s="863">
        <v>0</v>
      </c>
      <c r="E33" s="863">
        <v>0</v>
      </c>
      <c r="F33" s="863">
        <v>0</v>
      </c>
      <c r="G33" s="863">
        <v>0</v>
      </c>
      <c r="H33" s="863">
        <v>0</v>
      </c>
      <c r="I33" s="863">
        <v>0</v>
      </c>
      <c r="J33" s="863">
        <v>0</v>
      </c>
      <c r="K33" s="863">
        <v>0</v>
      </c>
      <c r="L33" s="863">
        <v>0</v>
      </c>
      <c r="M33" s="863">
        <v>0</v>
      </c>
      <c r="N33" s="863">
        <v>0</v>
      </c>
      <c r="O33" s="1071">
        <f t="shared" si="3"/>
        <v>0</v>
      </c>
      <c r="P33" s="1106">
        <f t="shared" si="4"/>
        <v>0</v>
      </c>
      <c r="Q33" s="1073">
        <f t="shared" si="5"/>
        <v>0</v>
      </c>
      <c r="R33" s="547"/>
      <c r="S33" s="547"/>
      <c r="T33" s="106"/>
      <c r="U33" s="547"/>
      <c r="V33" s="547"/>
      <c r="W33" s="547"/>
      <c r="X33" s="547"/>
      <c r="Y33" s="547"/>
      <c r="Z33" s="547"/>
      <c r="AA33" s="547"/>
      <c r="AB33" s="547"/>
      <c r="AC33" s="547"/>
    </row>
    <row r="34" spans="1:29" x14ac:dyDescent="0.3">
      <c r="A34" s="1105" t="s">
        <v>984</v>
      </c>
      <c r="B34" s="864"/>
      <c r="C34" s="863">
        <v>0</v>
      </c>
      <c r="D34" s="863">
        <v>0</v>
      </c>
      <c r="E34" s="863">
        <v>0</v>
      </c>
      <c r="F34" s="863">
        <v>0</v>
      </c>
      <c r="G34" s="863">
        <v>0</v>
      </c>
      <c r="H34" s="863">
        <v>0</v>
      </c>
      <c r="I34" s="863">
        <v>0</v>
      </c>
      <c r="J34" s="863">
        <v>0</v>
      </c>
      <c r="K34" s="863">
        <v>0</v>
      </c>
      <c r="L34" s="863">
        <v>0</v>
      </c>
      <c r="M34" s="863">
        <v>0</v>
      </c>
      <c r="N34" s="863">
        <v>0</v>
      </c>
      <c r="O34" s="1071">
        <f>SUM(C34:N34)</f>
        <v>0</v>
      </c>
      <c r="P34" s="1106">
        <f t="shared" si="4"/>
        <v>0</v>
      </c>
      <c r="Q34" s="1073">
        <f>P34</f>
        <v>0</v>
      </c>
      <c r="R34" s="547"/>
      <c r="S34" s="547"/>
      <c r="T34" s="106"/>
      <c r="U34" s="547"/>
      <c r="V34" s="547"/>
      <c r="W34" s="547"/>
      <c r="X34" s="547"/>
      <c r="Y34" s="547"/>
      <c r="Z34" s="547"/>
      <c r="AA34" s="547"/>
      <c r="AB34" s="547"/>
      <c r="AC34" s="547"/>
    </row>
    <row r="35" spans="1:29" x14ac:dyDescent="0.25">
      <c r="A35" s="1105" t="s">
        <v>985</v>
      </c>
      <c r="B35" s="864"/>
      <c r="C35" s="863">
        <v>0</v>
      </c>
      <c r="D35" s="863">
        <v>0</v>
      </c>
      <c r="E35" s="863">
        <v>0</v>
      </c>
      <c r="F35" s="863">
        <v>0</v>
      </c>
      <c r="G35" s="863">
        <v>0</v>
      </c>
      <c r="H35" s="863">
        <v>0</v>
      </c>
      <c r="I35" s="863">
        <v>0</v>
      </c>
      <c r="J35" s="863">
        <v>0</v>
      </c>
      <c r="K35" s="863">
        <v>0</v>
      </c>
      <c r="L35" s="863">
        <v>0</v>
      </c>
      <c r="M35" s="863">
        <v>0</v>
      </c>
      <c r="N35" s="863">
        <v>0</v>
      </c>
      <c r="O35" s="1071">
        <f t="shared" si="3"/>
        <v>0</v>
      </c>
      <c r="P35" s="1106">
        <f t="shared" si="4"/>
        <v>0</v>
      </c>
      <c r="Q35" s="1073">
        <f t="shared" si="5"/>
        <v>0</v>
      </c>
      <c r="R35" s="547"/>
      <c r="S35" s="547"/>
      <c r="T35" s="784"/>
      <c r="U35" s="547"/>
      <c r="V35" s="547"/>
      <c r="W35" s="547"/>
      <c r="X35" s="547"/>
      <c r="Y35" s="547"/>
      <c r="Z35" s="547"/>
      <c r="AA35" s="547"/>
      <c r="AB35" s="547"/>
      <c r="AC35" s="547"/>
    </row>
    <row r="36" spans="1:29" x14ac:dyDescent="0.3">
      <c r="A36" s="1105" t="s">
        <v>986</v>
      </c>
      <c r="B36" s="864"/>
      <c r="C36" s="863">
        <v>0</v>
      </c>
      <c r="D36" s="863">
        <v>0</v>
      </c>
      <c r="E36" s="863">
        <v>0</v>
      </c>
      <c r="F36" s="863">
        <v>0</v>
      </c>
      <c r="G36" s="863">
        <v>0</v>
      </c>
      <c r="H36" s="863">
        <v>0</v>
      </c>
      <c r="I36" s="863">
        <v>0</v>
      </c>
      <c r="J36" s="863">
        <v>0</v>
      </c>
      <c r="K36" s="863">
        <v>0</v>
      </c>
      <c r="L36" s="863">
        <v>0</v>
      </c>
      <c r="M36" s="863">
        <v>0</v>
      </c>
      <c r="N36" s="863">
        <v>0</v>
      </c>
      <c r="O36" s="1071">
        <f t="shared" si="3"/>
        <v>0</v>
      </c>
      <c r="P36" s="1106">
        <f t="shared" si="4"/>
        <v>0</v>
      </c>
      <c r="Q36" s="1073">
        <f t="shared" si="5"/>
        <v>0</v>
      </c>
      <c r="R36" s="547"/>
      <c r="S36" s="547"/>
      <c r="T36" s="547"/>
      <c r="U36" s="547"/>
      <c r="V36" s="547"/>
      <c r="W36" s="547"/>
      <c r="X36" s="547"/>
      <c r="Y36" s="547"/>
      <c r="Z36" s="547"/>
      <c r="AA36" s="547"/>
      <c r="AB36" s="547"/>
      <c r="AC36" s="547"/>
    </row>
    <row r="37" spans="1:29" x14ac:dyDescent="0.3">
      <c r="A37" s="1105" t="s">
        <v>987</v>
      </c>
      <c r="B37" s="864"/>
      <c r="C37" s="863">
        <v>0</v>
      </c>
      <c r="D37" s="863">
        <v>0</v>
      </c>
      <c r="E37" s="863">
        <v>0</v>
      </c>
      <c r="F37" s="863">
        <v>0</v>
      </c>
      <c r="G37" s="863">
        <v>0</v>
      </c>
      <c r="H37" s="863">
        <v>0</v>
      </c>
      <c r="I37" s="863">
        <v>0</v>
      </c>
      <c r="J37" s="863">
        <v>0</v>
      </c>
      <c r="K37" s="863">
        <v>0</v>
      </c>
      <c r="L37" s="863">
        <v>0</v>
      </c>
      <c r="M37" s="863">
        <v>0</v>
      </c>
      <c r="N37" s="863">
        <v>0</v>
      </c>
      <c r="O37" s="1071">
        <f t="shared" si="3"/>
        <v>0</v>
      </c>
      <c r="P37" s="1106">
        <f t="shared" si="4"/>
        <v>0</v>
      </c>
      <c r="Q37" s="1073">
        <f t="shared" si="5"/>
        <v>0</v>
      </c>
      <c r="R37" s="547"/>
      <c r="S37" s="547"/>
      <c r="T37" s="547"/>
      <c r="U37" s="547"/>
      <c r="V37" s="547"/>
      <c r="W37" s="547"/>
      <c r="X37" s="547"/>
      <c r="Y37" s="547"/>
      <c r="Z37" s="547"/>
      <c r="AA37" s="547"/>
      <c r="AB37" s="547"/>
      <c r="AC37" s="547"/>
    </row>
    <row r="38" spans="1:29" x14ac:dyDescent="0.3">
      <c r="A38" s="1105" t="s">
        <v>988</v>
      </c>
      <c r="B38" s="864"/>
      <c r="C38" s="863">
        <v>0</v>
      </c>
      <c r="D38" s="863">
        <v>0</v>
      </c>
      <c r="E38" s="863">
        <v>0</v>
      </c>
      <c r="F38" s="863">
        <v>0</v>
      </c>
      <c r="G38" s="863">
        <v>0</v>
      </c>
      <c r="H38" s="863">
        <v>0</v>
      </c>
      <c r="I38" s="863">
        <v>0</v>
      </c>
      <c r="J38" s="863">
        <v>0</v>
      </c>
      <c r="K38" s="863">
        <v>0</v>
      </c>
      <c r="L38" s="863">
        <v>0</v>
      </c>
      <c r="M38" s="863">
        <v>0</v>
      </c>
      <c r="N38" s="863">
        <v>0</v>
      </c>
      <c r="O38" s="1071">
        <f t="shared" si="3"/>
        <v>0</v>
      </c>
      <c r="P38" s="1106">
        <f t="shared" si="4"/>
        <v>0</v>
      </c>
      <c r="Q38" s="1073">
        <f t="shared" si="5"/>
        <v>0</v>
      </c>
      <c r="R38" s="547"/>
      <c r="S38" s="547"/>
      <c r="T38" s="547"/>
      <c r="U38" s="547"/>
      <c r="V38" s="547"/>
      <c r="W38" s="547"/>
      <c r="X38" s="547"/>
      <c r="Y38" s="547"/>
      <c r="Z38" s="547"/>
      <c r="AA38" s="547"/>
      <c r="AB38" s="547"/>
      <c r="AC38" s="547"/>
    </row>
    <row r="39" spans="1:29" x14ac:dyDescent="0.3">
      <c r="A39" s="1105" t="s">
        <v>380</v>
      </c>
      <c r="B39" s="864"/>
      <c r="C39" s="863">
        <v>0</v>
      </c>
      <c r="D39" s="863">
        <v>0</v>
      </c>
      <c r="E39" s="863">
        <v>0</v>
      </c>
      <c r="F39" s="863">
        <v>0</v>
      </c>
      <c r="G39" s="863">
        <v>0</v>
      </c>
      <c r="H39" s="863">
        <v>0</v>
      </c>
      <c r="I39" s="863">
        <v>0</v>
      </c>
      <c r="J39" s="863">
        <v>0</v>
      </c>
      <c r="K39" s="863">
        <v>0</v>
      </c>
      <c r="L39" s="863">
        <v>0</v>
      </c>
      <c r="M39" s="863">
        <v>0</v>
      </c>
      <c r="N39" s="863">
        <v>0</v>
      </c>
      <c r="O39" s="1071">
        <f t="shared" si="3"/>
        <v>0</v>
      </c>
      <c r="P39" s="1106">
        <f t="shared" si="4"/>
        <v>0</v>
      </c>
      <c r="Q39" s="1073">
        <f t="shared" si="5"/>
        <v>0</v>
      </c>
      <c r="R39" s="547"/>
      <c r="S39" s="547"/>
      <c r="T39" s="547"/>
      <c r="U39" s="547"/>
      <c r="V39" s="547"/>
      <c r="W39" s="547"/>
      <c r="X39" s="547"/>
      <c r="Y39" s="547"/>
      <c r="Z39" s="547"/>
      <c r="AA39" s="547"/>
      <c r="AB39" s="547"/>
      <c r="AC39" s="547"/>
    </row>
    <row r="40" spans="1:29" x14ac:dyDescent="0.3">
      <c r="A40" s="1105" t="s">
        <v>350</v>
      </c>
      <c r="B40" s="864"/>
      <c r="C40" s="863">
        <v>0</v>
      </c>
      <c r="D40" s="863">
        <v>0</v>
      </c>
      <c r="E40" s="863">
        <v>0</v>
      </c>
      <c r="F40" s="863">
        <v>0</v>
      </c>
      <c r="G40" s="863">
        <v>0</v>
      </c>
      <c r="H40" s="863">
        <v>0</v>
      </c>
      <c r="I40" s="863">
        <v>0</v>
      </c>
      <c r="J40" s="863">
        <v>0</v>
      </c>
      <c r="K40" s="863">
        <v>0</v>
      </c>
      <c r="L40" s="863">
        <v>0</v>
      </c>
      <c r="M40" s="863">
        <v>0</v>
      </c>
      <c r="N40" s="863">
        <v>0</v>
      </c>
      <c r="O40" s="1071">
        <f t="shared" si="3"/>
        <v>0</v>
      </c>
      <c r="P40" s="1106">
        <f t="shared" si="4"/>
        <v>0</v>
      </c>
      <c r="Q40" s="1073">
        <f t="shared" si="5"/>
        <v>0</v>
      </c>
      <c r="R40" s="547"/>
      <c r="S40" s="547"/>
      <c r="T40" s="547"/>
      <c r="U40" s="547"/>
      <c r="V40" s="547"/>
      <c r="W40" s="547"/>
      <c r="X40" s="547"/>
      <c r="Y40" s="547"/>
      <c r="Z40" s="547"/>
      <c r="AA40" s="547"/>
      <c r="AB40" s="547"/>
      <c r="AC40" s="547"/>
    </row>
    <row r="41" spans="1:29" x14ac:dyDescent="0.3">
      <c r="A41" s="1105" t="s">
        <v>418</v>
      </c>
      <c r="B41" s="864"/>
      <c r="C41" s="863">
        <v>0</v>
      </c>
      <c r="D41" s="863">
        <v>0</v>
      </c>
      <c r="E41" s="863">
        <v>0</v>
      </c>
      <c r="F41" s="863">
        <v>0</v>
      </c>
      <c r="G41" s="863">
        <v>0</v>
      </c>
      <c r="H41" s="863">
        <v>0</v>
      </c>
      <c r="I41" s="863">
        <v>0</v>
      </c>
      <c r="J41" s="863">
        <v>0</v>
      </c>
      <c r="K41" s="863">
        <v>0</v>
      </c>
      <c r="L41" s="863">
        <v>0</v>
      </c>
      <c r="M41" s="863">
        <v>0</v>
      </c>
      <c r="N41" s="863">
        <v>0</v>
      </c>
      <c r="O41" s="1071">
        <f t="shared" si="3"/>
        <v>0</v>
      </c>
      <c r="P41" s="1106">
        <f t="shared" si="4"/>
        <v>0</v>
      </c>
      <c r="Q41" s="1073">
        <f t="shared" si="5"/>
        <v>0</v>
      </c>
      <c r="R41" s="547"/>
      <c r="S41" s="547"/>
      <c r="T41" s="547"/>
      <c r="U41" s="547"/>
      <c r="V41" s="547"/>
      <c r="W41" s="547"/>
      <c r="X41" s="547"/>
      <c r="Y41" s="547"/>
      <c r="Z41" s="547"/>
      <c r="AA41" s="547"/>
      <c r="AB41" s="547"/>
      <c r="AC41" s="547"/>
    </row>
    <row r="42" spans="1:29" x14ac:dyDescent="0.3">
      <c r="A42" s="1105" t="s">
        <v>989</v>
      </c>
      <c r="B42" s="864"/>
      <c r="C42" s="863">
        <v>0</v>
      </c>
      <c r="D42" s="863">
        <v>0</v>
      </c>
      <c r="E42" s="863">
        <v>0</v>
      </c>
      <c r="F42" s="863">
        <v>0</v>
      </c>
      <c r="G42" s="863">
        <v>0</v>
      </c>
      <c r="H42" s="863">
        <v>0</v>
      </c>
      <c r="I42" s="863">
        <v>0</v>
      </c>
      <c r="J42" s="863">
        <v>0</v>
      </c>
      <c r="K42" s="863">
        <v>0</v>
      </c>
      <c r="L42" s="863">
        <v>0</v>
      </c>
      <c r="M42" s="863">
        <v>0</v>
      </c>
      <c r="N42" s="863">
        <v>0</v>
      </c>
      <c r="O42" s="1071">
        <f t="shared" si="3"/>
        <v>0</v>
      </c>
      <c r="P42" s="1106">
        <f t="shared" si="4"/>
        <v>0</v>
      </c>
      <c r="Q42" s="1073">
        <f t="shared" si="5"/>
        <v>0</v>
      </c>
      <c r="R42" s="547"/>
      <c r="S42" s="547"/>
      <c r="T42" s="547"/>
      <c r="U42" s="547"/>
      <c r="V42" s="547"/>
      <c r="W42" s="547"/>
      <c r="X42" s="547"/>
      <c r="Y42" s="547"/>
      <c r="Z42" s="547"/>
      <c r="AA42" s="547"/>
      <c r="AB42" s="547"/>
      <c r="AC42" s="547"/>
    </row>
    <row r="43" spans="1:29" x14ac:dyDescent="0.3">
      <c r="A43" s="1105" t="s">
        <v>990</v>
      </c>
      <c r="B43" s="864"/>
      <c r="C43" s="863">
        <v>0</v>
      </c>
      <c r="D43" s="863">
        <v>0</v>
      </c>
      <c r="E43" s="863">
        <v>0</v>
      </c>
      <c r="F43" s="863">
        <v>0</v>
      </c>
      <c r="G43" s="863">
        <v>0</v>
      </c>
      <c r="H43" s="863">
        <v>0</v>
      </c>
      <c r="I43" s="863">
        <v>0</v>
      </c>
      <c r="J43" s="863">
        <v>0</v>
      </c>
      <c r="K43" s="863">
        <v>0</v>
      </c>
      <c r="L43" s="863">
        <v>0</v>
      </c>
      <c r="M43" s="863">
        <v>0</v>
      </c>
      <c r="N43" s="863">
        <v>0</v>
      </c>
      <c r="O43" s="1071">
        <f t="shared" si="3"/>
        <v>0</v>
      </c>
      <c r="P43" s="1106">
        <f t="shared" si="4"/>
        <v>0</v>
      </c>
      <c r="Q43" s="1073">
        <f t="shared" si="5"/>
        <v>0</v>
      </c>
      <c r="R43" s="547"/>
      <c r="S43" s="547"/>
      <c r="T43" s="547"/>
      <c r="U43" s="547"/>
      <c r="V43" s="547"/>
      <c r="W43" s="547"/>
      <c r="X43" s="547"/>
      <c r="Y43" s="547"/>
      <c r="Z43" s="547"/>
      <c r="AA43" s="547"/>
      <c r="AB43" s="547"/>
      <c r="AC43" s="547"/>
    </row>
    <row r="44" spans="1:29" x14ac:dyDescent="0.3">
      <c r="A44" s="1105" t="s">
        <v>991</v>
      </c>
      <c r="B44" s="864"/>
      <c r="C44" s="863">
        <v>0</v>
      </c>
      <c r="D44" s="863">
        <v>0</v>
      </c>
      <c r="E44" s="863">
        <v>0</v>
      </c>
      <c r="F44" s="863">
        <v>0</v>
      </c>
      <c r="G44" s="863">
        <v>0</v>
      </c>
      <c r="H44" s="863">
        <v>0</v>
      </c>
      <c r="I44" s="863">
        <v>0</v>
      </c>
      <c r="J44" s="863">
        <v>0</v>
      </c>
      <c r="K44" s="863">
        <v>0</v>
      </c>
      <c r="L44" s="863">
        <v>0</v>
      </c>
      <c r="M44" s="863">
        <v>0</v>
      </c>
      <c r="N44" s="863">
        <v>0</v>
      </c>
      <c r="O44" s="1071">
        <f t="shared" si="3"/>
        <v>0</v>
      </c>
      <c r="P44" s="1106">
        <f t="shared" si="4"/>
        <v>0</v>
      </c>
      <c r="Q44" s="1073">
        <f t="shared" si="5"/>
        <v>0</v>
      </c>
      <c r="R44" s="547"/>
      <c r="S44" s="547"/>
      <c r="T44" s="547"/>
      <c r="U44" s="547"/>
      <c r="V44" s="547"/>
      <c r="W44" s="547"/>
      <c r="X44" s="547"/>
      <c r="Y44" s="547"/>
      <c r="Z44" s="547"/>
      <c r="AA44" s="547"/>
      <c r="AB44" s="547"/>
      <c r="AC44" s="547"/>
    </row>
    <row r="45" spans="1:29" x14ac:dyDescent="0.3">
      <c r="A45" s="1105" t="s">
        <v>426</v>
      </c>
      <c r="B45" s="864"/>
      <c r="C45" s="863">
        <v>0</v>
      </c>
      <c r="D45" s="863">
        <v>0</v>
      </c>
      <c r="E45" s="863">
        <v>0</v>
      </c>
      <c r="F45" s="863">
        <v>0</v>
      </c>
      <c r="G45" s="863">
        <v>0</v>
      </c>
      <c r="H45" s="863">
        <v>0</v>
      </c>
      <c r="I45" s="863">
        <v>0</v>
      </c>
      <c r="J45" s="863">
        <v>0</v>
      </c>
      <c r="K45" s="863">
        <v>0</v>
      </c>
      <c r="L45" s="863">
        <v>0</v>
      </c>
      <c r="M45" s="863">
        <v>0</v>
      </c>
      <c r="N45" s="863">
        <v>0</v>
      </c>
      <c r="O45" s="1071">
        <f t="shared" si="3"/>
        <v>0</v>
      </c>
      <c r="P45" s="1106">
        <f t="shared" si="4"/>
        <v>0</v>
      </c>
      <c r="Q45" s="1073">
        <f t="shared" si="5"/>
        <v>0</v>
      </c>
      <c r="R45" s="547"/>
      <c r="S45" s="547"/>
      <c r="T45" s="547"/>
      <c r="U45" s="547"/>
      <c r="V45" s="547"/>
      <c r="W45" s="547"/>
      <c r="X45" s="547"/>
      <c r="Y45" s="547"/>
      <c r="Z45" s="547"/>
      <c r="AA45" s="547"/>
      <c r="AB45" s="547"/>
      <c r="AC45" s="547"/>
    </row>
    <row r="46" spans="1:29" x14ac:dyDescent="0.3">
      <c r="A46" s="1105" t="s">
        <v>992</v>
      </c>
      <c r="B46" s="864"/>
      <c r="C46" s="863">
        <v>0</v>
      </c>
      <c r="D46" s="863">
        <v>0</v>
      </c>
      <c r="E46" s="863">
        <v>0</v>
      </c>
      <c r="F46" s="863">
        <v>0</v>
      </c>
      <c r="G46" s="863">
        <v>0</v>
      </c>
      <c r="H46" s="863">
        <v>0</v>
      </c>
      <c r="I46" s="863">
        <v>0</v>
      </c>
      <c r="J46" s="863">
        <v>0</v>
      </c>
      <c r="K46" s="863">
        <v>0</v>
      </c>
      <c r="L46" s="863">
        <v>0</v>
      </c>
      <c r="M46" s="863">
        <v>0</v>
      </c>
      <c r="N46" s="863">
        <v>0</v>
      </c>
      <c r="O46" s="1071">
        <f t="shared" si="3"/>
        <v>0</v>
      </c>
      <c r="P46" s="1106">
        <f t="shared" si="4"/>
        <v>0</v>
      </c>
      <c r="Q46" s="1073">
        <f t="shared" si="5"/>
        <v>0</v>
      </c>
      <c r="R46" s="547"/>
      <c r="S46" s="547"/>
      <c r="T46" s="547"/>
      <c r="U46" s="547"/>
      <c r="V46" s="547"/>
      <c r="W46" s="547"/>
      <c r="X46" s="547"/>
      <c r="Y46" s="547"/>
      <c r="Z46" s="547"/>
      <c r="AA46" s="547"/>
      <c r="AB46" s="547"/>
      <c r="AC46" s="547"/>
    </row>
    <row r="47" spans="1:29" x14ac:dyDescent="0.3">
      <c r="A47" s="1105" t="s">
        <v>827</v>
      </c>
      <c r="B47" s="864"/>
      <c r="C47" s="863">
        <v>0</v>
      </c>
      <c r="D47" s="863">
        <v>0</v>
      </c>
      <c r="E47" s="863">
        <v>0</v>
      </c>
      <c r="F47" s="863">
        <v>0</v>
      </c>
      <c r="G47" s="863">
        <v>0</v>
      </c>
      <c r="H47" s="863">
        <v>0</v>
      </c>
      <c r="I47" s="863">
        <v>0</v>
      </c>
      <c r="J47" s="863">
        <v>0</v>
      </c>
      <c r="K47" s="863">
        <v>0</v>
      </c>
      <c r="L47" s="863">
        <v>0</v>
      </c>
      <c r="M47" s="863">
        <v>0</v>
      </c>
      <c r="N47" s="863">
        <v>0</v>
      </c>
      <c r="O47" s="1071">
        <f t="shared" si="3"/>
        <v>0</v>
      </c>
      <c r="P47" s="1106">
        <f t="shared" si="4"/>
        <v>0</v>
      </c>
      <c r="Q47" s="1073">
        <f t="shared" si="5"/>
        <v>0</v>
      </c>
      <c r="R47" s="547"/>
      <c r="S47" s="547"/>
      <c r="T47" s="547"/>
      <c r="U47" s="547"/>
      <c r="V47" s="547"/>
      <c r="W47" s="547"/>
      <c r="X47" s="547"/>
      <c r="Y47" s="547"/>
      <c r="Z47" s="547"/>
      <c r="AA47" s="547"/>
      <c r="AB47" s="547"/>
      <c r="AC47" s="547"/>
    </row>
    <row r="48" spans="1:29" x14ac:dyDescent="0.3">
      <c r="A48" s="1105" t="s">
        <v>718</v>
      </c>
      <c r="B48" s="864"/>
      <c r="C48" s="863">
        <v>0</v>
      </c>
      <c r="D48" s="863">
        <v>0</v>
      </c>
      <c r="E48" s="863">
        <v>0</v>
      </c>
      <c r="F48" s="863">
        <v>0</v>
      </c>
      <c r="G48" s="863">
        <v>0</v>
      </c>
      <c r="H48" s="863">
        <v>0</v>
      </c>
      <c r="I48" s="863">
        <v>0</v>
      </c>
      <c r="J48" s="863">
        <v>0</v>
      </c>
      <c r="K48" s="863">
        <v>0</v>
      </c>
      <c r="L48" s="863">
        <v>0</v>
      </c>
      <c r="M48" s="863">
        <v>0</v>
      </c>
      <c r="N48" s="863">
        <v>0</v>
      </c>
      <c r="O48" s="1071">
        <f t="shared" si="3"/>
        <v>0</v>
      </c>
      <c r="P48" s="1106">
        <f t="shared" si="4"/>
        <v>0</v>
      </c>
      <c r="Q48" s="1073">
        <f t="shared" si="5"/>
        <v>0</v>
      </c>
      <c r="R48" s="547"/>
      <c r="S48" s="547"/>
      <c r="T48" s="547"/>
      <c r="U48" s="547"/>
      <c r="V48" s="547"/>
      <c r="W48" s="547"/>
      <c r="X48" s="547"/>
      <c r="Y48" s="547"/>
      <c r="Z48" s="547"/>
      <c r="AA48" s="547"/>
      <c r="AB48" s="547"/>
      <c r="AC48" s="547"/>
    </row>
    <row r="49" spans="1:29" x14ac:dyDescent="0.3">
      <c r="A49" s="1105" t="s">
        <v>569</v>
      </c>
      <c r="B49" s="864"/>
      <c r="C49" s="863">
        <v>0</v>
      </c>
      <c r="D49" s="863">
        <v>0</v>
      </c>
      <c r="E49" s="863">
        <v>0</v>
      </c>
      <c r="F49" s="863">
        <v>0</v>
      </c>
      <c r="G49" s="863">
        <v>0</v>
      </c>
      <c r="H49" s="863">
        <v>0</v>
      </c>
      <c r="I49" s="863">
        <v>0</v>
      </c>
      <c r="J49" s="863">
        <v>0</v>
      </c>
      <c r="K49" s="863">
        <v>0</v>
      </c>
      <c r="L49" s="863">
        <v>0</v>
      </c>
      <c r="M49" s="863">
        <v>0</v>
      </c>
      <c r="N49" s="863">
        <v>0</v>
      </c>
      <c r="O49" s="1071">
        <f t="shared" si="3"/>
        <v>0</v>
      </c>
      <c r="P49" s="1106">
        <f t="shared" si="4"/>
        <v>0</v>
      </c>
      <c r="Q49" s="1073">
        <f t="shared" si="5"/>
        <v>0</v>
      </c>
      <c r="R49" s="547"/>
      <c r="S49" s="547"/>
      <c r="T49" s="547"/>
      <c r="U49" s="547"/>
      <c r="V49" s="547"/>
      <c r="W49" s="547"/>
      <c r="X49" s="547"/>
      <c r="Y49" s="547"/>
      <c r="Z49" s="547"/>
      <c r="AA49" s="547"/>
      <c r="AB49" s="547"/>
      <c r="AC49" s="547"/>
    </row>
    <row r="50" spans="1:29" x14ac:dyDescent="0.3">
      <c r="A50" s="1105" t="s">
        <v>993</v>
      </c>
      <c r="B50" s="864"/>
      <c r="C50" s="863">
        <v>0</v>
      </c>
      <c r="D50" s="863">
        <v>0</v>
      </c>
      <c r="E50" s="863">
        <v>0</v>
      </c>
      <c r="F50" s="863">
        <v>0</v>
      </c>
      <c r="G50" s="863">
        <v>0</v>
      </c>
      <c r="H50" s="863">
        <v>0</v>
      </c>
      <c r="I50" s="863">
        <v>0</v>
      </c>
      <c r="J50" s="863">
        <v>0</v>
      </c>
      <c r="K50" s="863">
        <v>0</v>
      </c>
      <c r="L50" s="863">
        <v>0</v>
      </c>
      <c r="M50" s="863">
        <v>0</v>
      </c>
      <c r="N50" s="863">
        <v>0</v>
      </c>
      <c r="O50" s="1071">
        <f t="shared" si="3"/>
        <v>0</v>
      </c>
      <c r="P50" s="1106">
        <f t="shared" si="4"/>
        <v>0</v>
      </c>
      <c r="Q50" s="1073">
        <f t="shared" si="5"/>
        <v>0</v>
      </c>
      <c r="R50" s="547"/>
      <c r="S50" s="547"/>
      <c r="T50" s="547"/>
      <c r="U50" s="547"/>
      <c r="V50" s="547"/>
      <c r="W50" s="547"/>
      <c r="X50" s="547"/>
      <c r="Y50" s="547"/>
      <c r="Z50" s="547"/>
      <c r="AA50" s="547"/>
      <c r="AB50" s="547"/>
      <c r="AC50" s="547"/>
    </row>
    <row r="51" spans="1:29" x14ac:dyDescent="0.3">
      <c r="A51" s="1105" t="s">
        <v>994</v>
      </c>
      <c r="B51" s="864"/>
      <c r="C51" s="863">
        <v>0</v>
      </c>
      <c r="D51" s="863">
        <v>0</v>
      </c>
      <c r="E51" s="863">
        <v>0</v>
      </c>
      <c r="F51" s="863">
        <v>0</v>
      </c>
      <c r="G51" s="863">
        <v>0</v>
      </c>
      <c r="H51" s="863">
        <v>0</v>
      </c>
      <c r="I51" s="863">
        <v>0</v>
      </c>
      <c r="J51" s="863">
        <v>0</v>
      </c>
      <c r="K51" s="863">
        <v>0</v>
      </c>
      <c r="L51" s="863">
        <v>0</v>
      </c>
      <c r="M51" s="863">
        <v>0</v>
      </c>
      <c r="N51" s="863">
        <v>0</v>
      </c>
      <c r="O51" s="1071">
        <f t="shared" si="3"/>
        <v>0</v>
      </c>
      <c r="P51" s="1106">
        <f t="shared" si="4"/>
        <v>0</v>
      </c>
      <c r="Q51" s="1073">
        <f t="shared" si="5"/>
        <v>0</v>
      </c>
      <c r="R51" s="547"/>
      <c r="S51" s="547"/>
      <c r="T51" s="547"/>
      <c r="U51" s="547"/>
      <c r="V51" s="547"/>
      <c r="W51" s="547"/>
      <c r="X51" s="547"/>
      <c r="Y51" s="547"/>
      <c r="Z51" s="547"/>
      <c r="AA51" s="547"/>
      <c r="AB51" s="547"/>
      <c r="AC51" s="547"/>
    </row>
    <row r="52" spans="1:29" x14ac:dyDescent="0.3">
      <c r="A52" s="1105" t="s">
        <v>626</v>
      </c>
      <c r="B52" s="864"/>
      <c r="C52" s="863">
        <v>0</v>
      </c>
      <c r="D52" s="863">
        <v>0</v>
      </c>
      <c r="E52" s="863">
        <v>0</v>
      </c>
      <c r="F52" s="863">
        <v>0</v>
      </c>
      <c r="G52" s="863">
        <v>0</v>
      </c>
      <c r="H52" s="863">
        <v>0</v>
      </c>
      <c r="I52" s="863">
        <v>0</v>
      </c>
      <c r="J52" s="863">
        <v>0</v>
      </c>
      <c r="K52" s="863">
        <v>0</v>
      </c>
      <c r="L52" s="863">
        <v>0</v>
      </c>
      <c r="M52" s="863">
        <v>0</v>
      </c>
      <c r="N52" s="863">
        <v>0</v>
      </c>
      <c r="O52" s="1071">
        <f t="shared" si="3"/>
        <v>0</v>
      </c>
      <c r="P52" s="1106">
        <f t="shared" si="4"/>
        <v>0</v>
      </c>
      <c r="Q52" s="1073">
        <f t="shared" si="5"/>
        <v>0</v>
      </c>
      <c r="R52" s="547"/>
      <c r="S52" s="547"/>
      <c r="T52" s="547"/>
      <c r="U52" s="547"/>
      <c r="V52" s="547"/>
      <c r="W52" s="547"/>
      <c r="X52" s="547"/>
      <c r="Y52" s="547"/>
      <c r="Z52" s="547"/>
      <c r="AA52" s="547"/>
      <c r="AB52" s="547"/>
      <c r="AC52" s="547"/>
    </row>
    <row r="53" spans="1:29" x14ac:dyDescent="0.3">
      <c r="A53" s="1105" t="s">
        <v>995</v>
      </c>
      <c r="B53" s="864"/>
      <c r="C53" s="863">
        <v>0</v>
      </c>
      <c r="D53" s="863">
        <v>0</v>
      </c>
      <c r="E53" s="863">
        <v>0</v>
      </c>
      <c r="F53" s="863">
        <v>0</v>
      </c>
      <c r="G53" s="863">
        <v>0</v>
      </c>
      <c r="H53" s="863">
        <v>0</v>
      </c>
      <c r="I53" s="863">
        <v>0</v>
      </c>
      <c r="J53" s="863">
        <v>0</v>
      </c>
      <c r="K53" s="863">
        <v>0</v>
      </c>
      <c r="L53" s="863">
        <v>0</v>
      </c>
      <c r="M53" s="863">
        <v>0</v>
      </c>
      <c r="N53" s="863">
        <v>0</v>
      </c>
      <c r="O53" s="1071">
        <f t="shared" si="3"/>
        <v>0</v>
      </c>
      <c r="P53" s="1106">
        <f t="shared" si="4"/>
        <v>0</v>
      </c>
      <c r="Q53" s="1073">
        <f t="shared" si="5"/>
        <v>0</v>
      </c>
      <c r="R53" s="547"/>
      <c r="S53" s="547"/>
      <c r="T53" s="547"/>
      <c r="U53" s="547"/>
      <c r="V53" s="547"/>
      <c r="W53" s="547"/>
      <c r="X53" s="547"/>
      <c r="Y53" s="547"/>
      <c r="Z53" s="547"/>
      <c r="AA53" s="547"/>
      <c r="AB53" s="547"/>
      <c r="AC53" s="547"/>
    </row>
    <row r="54" spans="1:29" x14ac:dyDescent="0.3">
      <c r="A54" s="1105" t="s">
        <v>996</v>
      </c>
      <c r="B54" s="864"/>
      <c r="C54" s="547">
        <v>0</v>
      </c>
      <c r="D54" s="547">
        <v>0</v>
      </c>
      <c r="E54" s="547">
        <v>0</v>
      </c>
      <c r="F54" s="547">
        <v>0</v>
      </c>
      <c r="G54" s="547">
        <v>0</v>
      </c>
      <c r="H54" s="547">
        <v>0</v>
      </c>
      <c r="I54" s="547">
        <v>0</v>
      </c>
      <c r="J54" s="547">
        <v>0</v>
      </c>
      <c r="K54" s="547">
        <v>0</v>
      </c>
      <c r="L54" s="547">
        <v>0</v>
      </c>
      <c r="M54" s="547">
        <v>0</v>
      </c>
      <c r="N54" s="547">
        <v>0</v>
      </c>
      <c r="O54" s="1071">
        <f>SUM(C54:N54)</f>
        <v>0</v>
      </c>
      <c r="P54" s="1106">
        <f t="shared" si="4"/>
        <v>0</v>
      </c>
      <c r="Q54" s="1073">
        <f>P54</f>
        <v>0</v>
      </c>
      <c r="R54" s="547"/>
      <c r="S54" s="547"/>
      <c r="T54" s="547"/>
      <c r="U54" s="547"/>
      <c r="V54" s="547"/>
      <c r="W54" s="547"/>
      <c r="X54" s="547"/>
      <c r="Y54" s="547"/>
      <c r="Z54" s="547"/>
      <c r="AA54" s="547"/>
      <c r="AB54" s="547"/>
      <c r="AC54" s="547"/>
    </row>
    <row r="55" spans="1:29" ht="15" thickBot="1" x14ac:dyDescent="0.35">
      <c r="A55" s="1107" t="s">
        <v>293</v>
      </c>
      <c r="B55" s="554"/>
      <c r="C55" s="1108">
        <f t="shared" ref="C55:Q55" si="6">SUM(C30:C54)</f>
        <v>13</v>
      </c>
      <c r="D55" s="1108">
        <f t="shared" si="6"/>
        <v>14</v>
      </c>
      <c r="E55" s="1108">
        <f t="shared" si="6"/>
        <v>10</v>
      </c>
      <c r="F55" s="1108">
        <f t="shared" si="6"/>
        <v>12</v>
      </c>
      <c r="G55" s="1108">
        <f t="shared" si="6"/>
        <v>14</v>
      </c>
      <c r="H55" s="1108">
        <f t="shared" si="6"/>
        <v>17</v>
      </c>
      <c r="I55" s="1108">
        <f t="shared" si="6"/>
        <v>9</v>
      </c>
      <c r="J55" s="1108">
        <f t="shared" si="6"/>
        <v>6</v>
      </c>
      <c r="K55" s="1108">
        <f t="shared" si="6"/>
        <v>11</v>
      </c>
      <c r="L55" s="1108">
        <f t="shared" si="6"/>
        <v>10</v>
      </c>
      <c r="M55" s="1108">
        <f t="shared" si="6"/>
        <v>7</v>
      </c>
      <c r="N55" s="1108">
        <f t="shared" si="6"/>
        <v>7</v>
      </c>
      <c r="O55" s="1109">
        <f t="shared" si="6"/>
        <v>130</v>
      </c>
      <c r="P55" s="1110">
        <f t="shared" si="6"/>
        <v>100</v>
      </c>
      <c r="Q55" s="1111">
        <f t="shared" si="6"/>
        <v>100</v>
      </c>
      <c r="R55" s="547"/>
      <c r="S55" s="547"/>
      <c r="T55" s="547"/>
      <c r="U55" s="547"/>
      <c r="V55" s="547"/>
      <c r="W55" s="547"/>
      <c r="X55" s="547"/>
      <c r="Y55" s="547"/>
      <c r="Z55" s="547"/>
      <c r="AA55" s="547"/>
      <c r="AB55" s="547"/>
      <c r="AC55" s="547"/>
    </row>
    <row r="56" spans="1:29" x14ac:dyDescent="0.3">
      <c r="A56" s="547"/>
      <c r="B56" s="547"/>
      <c r="C56" s="547"/>
      <c r="D56" s="547"/>
      <c r="E56" s="547"/>
      <c r="F56" s="547"/>
      <c r="G56" s="547"/>
      <c r="H56" s="547"/>
      <c r="I56" s="547"/>
      <c r="J56" s="547"/>
      <c r="K56" s="547"/>
      <c r="L56" s="547"/>
      <c r="M56" s="547"/>
      <c r="N56" s="547"/>
      <c r="O56" s="547"/>
      <c r="P56" s="547"/>
      <c r="Q56" s="547"/>
      <c r="R56" s="547"/>
      <c r="S56" s="547"/>
      <c r="T56" s="547"/>
      <c r="U56" s="547"/>
      <c r="V56" s="547"/>
      <c r="W56" s="547"/>
      <c r="X56" s="547"/>
      <c r="Y56" s="547"/>
      <c r="Z56" s="547"/>
      <c r="AA56" s="547"/>
      <c r="AB56" s="547"/>
      <c r="AC56" s="547"/>
    </row>
    <row r="57" spans="1:29" x14ac:dyDescent="0.3">
      <c r="A57" s="547"/>
      <c r="B57" s="547"/>
      <c r="C57" s="547"/>
      <c r="D57" s="547"/>
      <c r="E57" s="547"/>
      <c r="F57" s="547"/>
      <c r="G57" s="547"/>
      <c r="H57" s="547"/>
      <c r="I57" s="547"/>
      <c r="J57" s="547"/>
      <c r="K57" s="547"/>
      <c r="L57" s="547"/>
      <c r="M57" s="547"/>
      <c r="N57" s="547"/>
      <c r="O57" s="547"/>
      <c r="P57" s="547"/>
      <c r="Q57" s="547"/>
      <c r="R57" s="547"/>
      <c r="S57" s="547"/>
      <c r="T57" s="547"/>
      <c r="U57" s="547"/>
      <c r="V57" s="547"/>
      <c r="W57" s="547"/>
      <c r="X57" s="547"/>
      <c r="Y57" s="547"/>
      <c r="Z57" s="547"/>
      <c r="AA57" s="547"/>
      <c r="AB57" s="547"/>
      <c r="AC57" s="547"/>
    </row>
    <row r="58" spans="1:29" x14ac:dyDescent="0.3">
      <c r="A58" s="547"/>
      <c r="B58" s="547"/>
      <c r="C58" s="547"/>
      <c r="D58" s="547"/>
      <c r="E58" s="547"/>
      <c r="F58" s="547"/>
      <c r="G58" s="547"/>
      <c r="H58" s="547"/>
      <c r="I58" s="547"/>
      <c r="J58" s="547"/>
      <c r="K58" s="547"/>
      <c r="L58" s="547"/>
      <c r="M58" s="547"/>
      <c r="N58" s="547"/>
      <c r="O58" s="547"/>
      <c r="P58" s="547"/>
      <c r="Q58" s="547"/>
      <c r="R58" s="547"/>
      <c r="S58" s="547"/>
      <c r="T58" s="547"/>
      <c r="U58" s="547"/>
      <c r="V58" s="547"/>
      <c r="W58" s="547"/>
      <c r="X58" s="547"/>
      <c r="Y58" s="547"/>
      <c r="Z58" s="547"/>
      <c r="AA58" s="547"/>
      <c r="AB58" s="547"/>
      <c r="AC58" s="547"/>
    </row>
    <row r="59" spans="1:29" x14ac:dyDescent="0.3">
      <c r="A59" s="547"/>
      <c r="B59" s="547"/>
      <c r="C59" s="547"/>
      <c r="D59" s="547"/>
      <c r="E59" s="547"/>
      <c r="F59" s="547"/>
      <c r="G59" s="547"/>
      <c r="H59" s="547"/>
      <c r="I59" s="547"/>
      <c r="J59" s="547"/>
      <c r="K59" s="547"/>
      <c r="L59" s="547"/>
      <c r="M59" s="547"/>
      <c r="N59" s="547"/>
      <c r="O59" s="547"/>
      <c r="P59" s="547"/>
      <c r="Q59" s="547"/>
      <c r="R59" s="547"/>
      <c r="S59" s="547"/>
      <c r="T59" s="547"/>
      <c r="U59" s="547"/>
      <c r="V59" s="547"/>
      <c r="W59" s="547"/>
      <c r="X59" s="547"/>
      <c r="Y59" s="547"/>
      <c r="Z59" s="547"/>
      <c r="AA59" s="547"/>
      <c r="AB59" s="547"/>
      <c r="AC59" s="547"/>
    </row>
    <row r="60" spans="1:29" x14ac:dyDescent="0.3">
      <c r="A60" s="547"/>
      <c r="B60" s="547"/>
      <c r="C60" s="547"/>
      <c r="D60" s="547"/>
      <c r="E60" s="547"/>
      <c r="F60" s="547"/>
      <c r="G60" s="547"/>
      <c r="H60" s="547"/>
      <c r="I60" s="547"/>
      <c r="J60" s="547"/>
      <c r="K60" s="547"/>
      <c r="L60" s="547"/>
      <c r="M60" s="547"/>
      <c r="N60" s="547"/>
      <c r="O60" s="547"/>
      <c r="P60" s="547"/>
      <c r="Q60" s="547"/>
      <c r="R60" s="547"/>
      <c r="S60" s="547"/>
      <c r="T60" s="547"/>
      <c r="U60" s="547"/>
      <c r="V60" s="547"/>
      <c r="W60" s="547"/>
      <c r="X60" s="547"/>
      <c r="Y60" s="547"/>
      <c r="Z60" s="547"/>
      <c r="AA60" s="547"/>
      <c r="AB60" s="547"/>
      <c r="AC60" s="547"/>
    </row>
    <row r="61" spans="1:29" x14ac:dyDescent="0.3">
      <c r="A61" s="547"/>
      <c r="B61" s="547"/>
      <c r="C61" s="547"/>
      <c r="D61" s="547"/>
      <c r="E61" s="547"/>
      <c r="F61" s="547"/>
      <c r="G61" s="547"/>
      <c r="H61" s="547"/>
      <c r="I61" s="547"/>
      <c r="J61" s="547"/>
      <c r="K61" s="547"/>
      <c r="L61" s="547"/>
      <c r="M61" s="547"/>
      <c r="N61" s="547"/>
      <c r="O61" s="547"/>
      <c r="P61" s="547"/>
      <c r="Q61" s="547"/>
      <c r="R61" s="547"/>
      <c r="S61" s="547"/>
      <c r="T61" s="547"/>
      <c r="V61" s="547"/>
      <c r="W61" s="547"/>
      <c r="X61" s="547"/>
      <c r="Y61" s="547"/>
      <c r="Z61" s="547"/>
      <c r="AA61" s="547"/>
      <c r="AB61" s="547"/>
      <c r="AC61" s="547"/>
    </row>
    <row r="67" spans="13:29" ht="22.8" x14ac:dyDescent="0.3">
      <c r="M67" s="1205"/>
      <c r="N67" s="1205"/>
      <c r="O67" s="1205"/>
      <c r="P67" s="1205"/>
      <c r="Q67" s="1205"/>
      <c r="R67" s="1205"/>
      <c r="S67" s="1205"/>
      <c r="T67" s="1205"/>
      <c r="U67" s="1205"/>
      <c r="V67" s="1205"/>
      <c r="W67" s="1205"/>
      <c r="X67" s="1205"/>
      <c r="Y67" s="1205"/>
      <c r="Z67" s="1205"/>
      <c r="AA67" s="1205"/>
      <c r="AB67" s="1205"/>
      <c r="AC67" s="1205"/>
    </row>
  </sheetData>
  <customSheetViews>
    <customSheetView guid="{5F8FD084-40FB-49AA-B447-CD935F604D55}" scale="91" topLeftCell="T4">
      <selection activeCell="T31" sqref="T31"/>
      <pageMargins left="0.7" right="0.7" top="0.75" bottom="0.75" header="0.3" footer="0.3"/>
      <pageSetup orientation="portrait" r:id="rId1"/>
    </customSheetView>
    <customSheetView guid="{5FD7D287-AC38-49FE-8AA5-C4506E353DCC}" scale="91" showPageBreaks="1" topLeftCell="A2">
      <selection activeCell="T32" sqref="T32"/>
      <pageMargins left="0.7" right="0.7" top="0.75" bottom="0.75" header="0.3" footer="0.3"/>
      <pageSetup orientation="portrait" r:id="rId2"/>
    </customSheetView>
  </customSheetViews>
  <mergeCells count="16">
    <mergeCell ref="A2:Q2"/>
    <mergeCell ref="U16:Y16"/>
    <mergeCell ref="M67:AC67"/>
    <mergeCell ref="M13:N13"/>
    <mergeCell ref="M14:N14"/>
    <mergeCell ref="M15:N15"/>
    <mergeCell ref="M16:N16"/>
    <mergeCell ref="U22:Y22"/>
    <mergeCell ref="U17:Y17"/>
    <mergeCell ref="U18:Y18"/>
    <mergeCell ref="U19:Y19"/>
    <mergeCell ref="U20:Y20"/>
    <mergeCell ref="U23:Y23"/>
    <mergeCell ref="U24:Y24"/>
    <mergeCell ref="U25:Y25"/>
    <mergeCell ref="U26:Y26"/>
  </mergeCells>
  <pageMargins left="0.7" right="0.7" top="0.75" bottom="0.75" header="0.3" footer="0.3"/>
  <pageSetup orientation="landscape" r:id="rId3"/>
  <drawing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68343B-9E71-466B-B09E-1A0A48E8E791}">
  <sheetPr codeName="Sheet1">
    <tabColor theme="1" tint="0.499984740745262"/>
  </sheetPr>
  <dimension ref="A1:Y756"/>
  <sheetViews>
    <sheetView topLeftCell="A13" zoomScale="85" zoomScaleNormal="85" zoomScaleSheetLayoutView="85" workbookViewId="0">
      <selection activeCell="C56" sqref="C56"/>
    </sheetView>
  </sheetViews>
  <sheetFormatPr defaultRowHeight="14.4" x14ac:dyDescent="0.3"/>
  <cols>
    <col min="1" max="1" width="9.33203125" customWidth="1"/>
    <col min="2" max="2" width="15.109375" customWidth="1"/>
    <col min="3" max="3" width="70.6640625" customWidth="1"/>
    <col min="4" max="4" width="13.88671875" style="59" customWidth="1"/>
    <col min="5" max="5" width="17.5546875" style="60" customWidth="1"/>
    <col min="6" max="6" width="15" style="7" customWidth="1"/>
    <col min="7" max="7" width="18" style="7" hidden="1" customWidth="1"/>
    <col min="8" max="8" width="16.6640625" style="66" hidden="1" customWidth="1"/>
    <col min="9" max="9" width="7.88671875" customWidth="1"/>
    <col min="10" max="11" width="15.6640625" customWidth="1"/>
    <col min="12" max="12" width="15" customWidth="1"/>
    <col min="13" max="13" width="10.6640625" customWidth="1"/>
    <col min="14" max="14" width="9.109375" customWidth="1"/>
    <col min="15" max="15" width="12.88671875" customWidth="1"/>
    <col min="17" max="17" width="15" style="7" hidden="1" customWidth="1"/>
    <col min="18" max="18" width="16.6640625" hidden="1" customWidth="1"/>
    <col min="19" max="25" width="8.88671875" style="66"/>
  </cols>
  <sheetData>
    <row r="1" spans="1:18" ht="15" thickBot="1" x14ac:dyDescent="0.35">
      <c r="A1" s="69"/>
      <c r="B1" s="69"/>
      <c r="C1" s="69"/>
      <c r="D1" s="70"/>
      <c r="E1" s="71"/>
      <c r="F1" s="65"/>
      <c r="G1" s="65"/>
      <c r="I1" s="66"/>
      <c r="J1" s="66"/>
      <c r="K1" s="66"/>
      <c r="L1" s="66"/>
      <c r="M1" s="66"/>
      <c r="N1" s="66"/>
      <c r="O1" s="66"/>
      <c r="P1" s="66"/>
      <c r="Q1" s="65"/>
    </row>
    <row r="2" spans="1:18" ht="39.6" customHeight="1" thickBot="1" x14ac:dyDescent="0.35">
      <c r="A2" s="1230" t="s">
        <v>1014</v>
      </c>
      <c r="B2" s="1231"/>
      <c r="C2" s="1231"/>
      <c r="D2" s="1231"/>
      <c r="E2" s="1231"/>
      <c r="F2" s="1232"/>
      <c r="G2" s="826"/>
      <c r="H2" s="1035"/>
      <c r="I2" s="66"/>
      <c r="J2" s="66"/>
      <c r="K2" s="66"/>
      <c r="L2" s="66"/>
      <c r="M2" s="66"/>
      <c r="N2" s="66"/>
      <c r="O2" s="66"/>
      <c r="P2" s="66"/>
      <c r="Q2" s="517"/>
    </row>
    <row r="3" spans="1:18" ht="58.2" thickBot="1" x14ac:dyDescent="0.35">
      <c r="A3" s="82" t="s">
        <v>1015</v>
      </c>
      <c r="B3" s="900" t="s">
        <v>3</v>
      </c>
      <c r="C3" s="525" t="s">
        <v>4</v>
      </c>
      <c r="D3" s="899" t="s">
        <v>1115</v>
      </c>
      <c r="E3" s="1046" t="s">
        <v>3625</v>
      </c>
      <c r="F3" s="1047" t="s">
        <v>3688</v>
      </c>
      <c r="G3" s="1034" t="s">
        <v>4251</v>
      </c>
      <c r="H3" s="1040" t="s">
        <v>4256</v>
      </c>
      <c r="I3" s="66"/>
      <c r="J3" s="1009"/>
      <c r="K3" s="1010" t="str">
        <f>MID($Y16,6,2)</f>
        <v/>
      </c>
      <c r="L3" s="1010"/>
      <c r="M3" s="1010"/>
      <c r="N3" s="1010"/>
      <c r="O3" s="1010"/>
      <c r="P3" s="1011"/>
      <c r="Q3" s="524" t="s">
        <v>4252</v>
      </c>
      <c r="R3" s="899" t="s">
        <v>4256</v>
      </c>
    </row>
    <row r="4" spans="1:18" ht="15" customHeight="1" x14ac:dyDescent="0.3">
      <c r="A4" s="96">
        <v>5</v>
      </c>
      <c r="B4" s="526">
        <v>31764</v>
      </c>
      <c r="C4" s="527" t="s">
        <v>5</v>
      </c>
      <c r="D4" s="73">
        <v>45275</v>
      </c>
      <c r="E4" s="1048">
        <v>5</v>
      </c>
      <c r="F4" s="1049">
        <v>94</v>
      </c>
      <c r="G4" s="1045">
        <v>89</v>
      </c>
      <c r="H4" s="1036">
        <v>44972</v>
      </c>
      <c r="I4" s="66"/>
      <c r="J4" s="107"/>
      <c r="K4" s="88"/>
      <c r="L4" s="88"/>
      <c r="M4" s="88"/>
      <c r="N4" s="88"/>
      <c r="O4" s="88"/>
      <c r="P4" s="1012"/>
      <c r="Q4" s="668">
        <v>90</v>
      </c>
      <c r="R4" s="997">
        <v>44972</v>
      </c>
    </row>
    <row r="5" spans="1:18" ht="15" customHeight="1" x14ac:dyDescent="0.3">
      <c r="A5" s="96">
        <v>8</v>
      </c>
      <c r="B5" s="526">
        <v>31764</v>
      </c>
      <c r="C5" s="527" t="s">
        <v>6</v>
      </c>
      <c r="D5" s="76">
        <v>38497</v>
      </c>
      <c r="E5" s="801">
        <v>0</v>
      </c>
      <c r="F5" s="1050">
        <v>30</v>
      </c>
      <c r="G5" s="1041">
        <v>30</v>
      </c>
      <c r="H5" s="1037">
        <v>38497</v>
      </c>
      <c r="I5" s="66"/>
      <c r="J5" s="107"/>
      <c r="K5" s="88"/>
      <c r="L5" s="88"/>
      <c r="M5" s="89"/>
      <c r="N5" s="88"/>
      <c r="O5" s="88"/>
      <c r="P5" s="1012"/>
      <c r="Q5" s="668">
        <v>30</v>
      </c>
      <c r="R5" s="998">
        <v>38497</v>
      </c>
    </row>
    <row r="6" spans="1:18" ht="15" customHeight="1" x14ac:dyDescent="0.3">
      <c r="A6" s="96">
        <v>9</v>
      </c>
      <c r="B6" s="526">
        <v>31764</v>
      </c>
      <c r="C6" s="527" t="s">
        <v>7</v>
      </c>
      <c r="D6" s="73">
        <v>43859</v>
      </c>
      <c r="E6" s="801">
        <v>0</v>
      </c>
      <c r="F6" s="1050">
        <v>13</v>
      </c>
      <c r="G6" s="1041">
        <v>13</v>
      </c>
      <c r="H6" s="1036">
        <v>43859</v>
      </c>
      <c r="I6" s="66"/>
      <c r="J6" s="107"/>
      <c r="K6" s="88"/>
      <c r="L6" s="88"/>
      <c r="M6" s="89"/>
      <c r="N6" s="88"/>
      <c r="O6" s="88"/>
      <c r="P6" s="1012"/>
      <c r="Q6" s="668">
        <v>13</v>
      </c>
      <c r="R6" s="997">
        <v>43859</v>
      </c>
    </row>
    <row r="7" spans="1:18" ht="15" customHeight="1" x14ac:dyDescent="0.3">
      <c r="A7" s="96">
        <v>10</v>
      </c>
      <c r="B7" s="526">
        <v>31764</v>
      </c>
      <c r="C7" s="527" t="s">
        <v>6</v>
      </c>
      <c r="D7" s="73">
        <v>44936</v>
      </c>
      <c r="E7" s="801">
        <v>1</v>
      </c>
      <c r="F7" s="1050">
        <v>95</v>
      </c>
      <c r="G7" s="1041">
        <v>94</v>
      </c>
      <c r="H7" s="1036">
        <v>44936</v>
      </c>
      <c r="I7" s="66"/>
      <c r="J7" s="107"/>
      <c r="K7" s="88"/>
      <c r="L7" s="88"/>
      <c r="M7" s="89"/>
      <c r="N7" s="88"/>
      <c r="O7" s="88"/>
      <c r="P7" s="1012"/>
      <c r="Q7" s="668">
        <v>95</v>
      </c>
      <c r="R7" s="997">
        <v>44936</v>
      </c>
    </row>
    <row r="8" spans="1:18" ht="15" customHeight="1" x14ac:dyDescent="0.3">
      <c r="A8" s="96">
        <v>11</v>
      </c>
      <c r="B8" s="526">
        <v>31790</v>
      </c>
      <c r="C8" s="527" t="s">
        <v>8</v>
      </c>
      <c r="D8" s="73">
        <v>45335</v>
      </c>
      <c r="E8" s="801">
        <v>4</v>
      </c>
      <c r="F8" s="1050">
        <v>79</v>
      </c>
      <c r="G8" s="1041">
        <v>75</v>
      </c>
      <c r="H8" s="1036">
        <v>44421</v>
      </c>
      <c r="I8" s="66"/>
      <c r="J8" s="107"/>
      <c r="K8" s="88"/>
      <c r="L8" s="88"/>
      <c r="M8" s="89"/>
      <c r="N8" s="88"/>
      <c r="O8" s="88"/>
      <c r="P8" s="1012"/>
      <c r="Q8" s="668">
        <v>75</v>
      </c>
      <c r="R8" s="997">
        <v>44421</v>
      </c>
    </row>
    <row r="9" spans="1:18" ht="15" customHeight="1" x14ac:dyDescent="0.3">
      <c r="A9" s="96">
        <v>12</v>
      </c>
      <c r="B9" s="526">
        <v>31790</v>
      </c>
      <c r="C9" s="527" t="s">
        <v>8</v>
      </c>
      <c r="D9" s="73">
        <v>42713</v>
      </c>
      <c r="E9" s="801">
        <v>0</v>
      </c>
      <c r="F9" s="1050">
        <v>32</v>
      </c>
      <c r="G9" s="1041">
        <v>32</v>
      </c>
      <c r="H9" s="1036">
        <v>42713</v>
      </c>
      <c r="I9" s="66"/>
      <c r="J9" s="107"/>
      <c r="K9" s="88"/>
      <c r="L9" s="88"/>
      <c r="M9" s="89"/>
      <c r="N9" s="88"/>
      <c r="O9" s="88"/>
      <c r="P9" s="1012"/>
      <c r="Q9" s="668">
        <v>32</v>
      </c>
      <c r="R9" s="997">
        <v>42713</v>
      </c>
    </row>
    <row r="10" spans="1:18" ht="15" customHeight="1" x14ac:dyDescent="0.3">
      <c r="A10" s="97">
        <v>13</v>
      </c>
      <c r="B10" s="526">
        <v>31868</v>
      </c>
      <c r="C10" s="528" t="s">
        <v>9</v>
      </c>
      <c r="D10" s="73">
        <v>42093</v>
      </c>
      <c r="E10" s="801">
        <v>0</v>
      </c>
      <c r="F10" s="1050">
        <v>30</v>
      </c>
      <c r="G10" s="1041">
        <v>30</v>
      </c>
      <c r="H10" s="1036">
        <v>42093</v>
      </c>
      <c r="I10" s="66"/>
      <c r="J10" s="107"/>
      <c r="K10" s="88"/>
      <c r="L10" s="88"/>
      <c r="M10" s="89"/>
      <c r="N10" s="88"/>
      <c r="O10" s="88"/>
      <c r="P10" s="1012"/>
      <c r="Q10" s="668">
        <v>30</v>
      </c>
      <c r="R10" s="997">
        <v>42093</v>
      </c>
    </row>
    <row r="11" spans="1:18" ht="15" customHeight="1" x14ac:dyDescent="0.3">
      <c r="A11" s="96">
        <v>15</v>
      </c>
      <c r="B11" s="526">
        <v>31826</v>
      </c>
      <c r="C11" s="527" t="s">
        <v>10</v>
      </c>
      <c r="D11" s="73">
        <v>37302</v>
      </c>
      <c r="E11" s="801">
        <v>0</v>
      </c>
      <c r="F11" s="1050">
        <v>4</v>
      </c>
      <c r="G11" s="1041">
        <v>4</v>
      </c>
      <c r="H11" s="1036">
        <v>37302</v>
      </c>
      <c r="I11" s="66"/>
      <c r="J11" s="108"/>
      <c r="K11" s="88"/>
      <c r="L11" s="88"/>
      <c r="M11" s="88"/>
      <c r="N11" s="88"/>
      <c r="O11" s="88"/>
      <c r="P11" s="1012"/>
      <c r="Q11" s="668">
        <v>4</v>
      </c>
      <c r="R11" s="997">
        <v>37302</v>
      </c>
    </row>
    <row r="12" spans="1:18" ht="15" customHeight="1" x14ac:dyDescent="0.3">
      <c r="A12" s="96">
        <v>16</v>
      </c>
      <c r="B12" s="526">
        <v>31826</v>
      </c>
      <c r="C12" s="527" t="s">
        <v>11</v>
      </c>
      <c r="D12" s="73">
        <v>40952</v>
      </c>
      <c r="E12" s="801">
        <v>0</v>
      </c>
      <c r="F12" s="1050">
        <v>6</v>
      </c>
      <c r="G12" s="1041">
        <v>6</v>
      </c>
      <c r="H12" s="1036">
        <v>40952</v>
      </c>
      <c r="I12" s="66"/>
      <c r="J12" s="107"/>
      <c r="K12" s="88"/>
      <c r="L12" s="88"/>
      <c r="M12" s="88"/>
      <c r="N12" s="88"/>
      <c r="O12" s="88"/>
      <c r="P12" s="1012"/>
      <c r="Q12" s="668">
        <v>6</v>
      </c>
      <c r="R12" s="997">
        <v>40952</v>
      </c>
    </row>
    <row r="13" spans="1:18" ht="15" customHeight="1" x14ac:dyDescent="0.35">
      <c r="A13" s="96">
        <v>20</v>
      </c>
      <c r="B13" s="526">
        <v>31826</v>
      </c>
      <c r="C13" s="527" t="s">
        <v>12</v>
      </c>
      <c r="D13" s="73">
        <v>36144</v>
      </c>
      <c r="E13" s="801">
        <v>0</v>
      </c>
      <c r="F13" s="1050">
        <v>4</v>
      </c>
      <c r="G13" s="1041">
        <v>4</v>
      </c>
      <c r="H13" s="1036">
        <v>36144</v>
      </c>
      <c r="I13" s="66"/>
      <c r="J13" s="107"/>
      <c r="K13" s="1013" t="s">
        <v>0</v>
      </c>
      <c r="L13" s="1014">
        <v>32143</v>
      </c>
      <c r="M13" s="1015"/>
      <c r="N13" s="1015"/>
      <c r="O13" s="1016"/>
      <c r="P13" s="1012"/>
      <c r="Q13" s="668">
        <v>4</v>
      </c>
      <c r="R13" s="997">
        <v>36144</v>
      </c>
    </row>
    <row r="14" spans="1:18" ht="15" customHeight="1" thickBot="1" x14ac:dyDescent="0.4">
      <c r="A14" s="96">
        <v>23</v>
      </c>
      <c r="B14" s="526">
        <v>31826</v>
      </c>
      <c r="C14" s="527" t="s">
        <v>13</v>
      </c>
      <c r="D14" s="73">
        <v>42948</v>
      </c>
      <c r="E14" s="802">
        <v>0</v>
      </c>
      <c r="F14" s="1051">
        <v>6</v>
      </c>
      <c r="G14" s="1042">
        <v>6</v>
      </c>
      <c r="H14" s="1036">
        <v>42948</v>
      </c>
      <c r="I14" s="66"/>
      <c r="J14" s="107"/>
      <c r="K14" s="103" t="s">
        <v>2</v>
      </c>
      <c r="L14" s="785">
        <v>45412</v>
      </c>
      <c r="M14" s="101"/>
      <c r="N14" s="101"/>
      <c r="O14" s="102"/>
      <c r="P14" s="1012"/>
      <c r="Q14" s="805">
        <v>6</v>
      </c>
      <c r="R14" s="997">
        <v>42948</v>
      </c>
    </row>
    <row r="15" spans="1:18" ht="15" customHeight="1" x14ac:dyDescent="0.3">
      <c r="A15" s="96">
        <v>28</v>
      </c>
      <c r="B15" s="526">
        <v>31826</v>
      </c>
      <c r="C15" s="527" t="s">
        <v>14</v>
      </c>
      <c r="D15" s="73">
        <v>34576</v>
      </c>
      <c r="E15" s="803">
        <v>0</v>
      </c>
      <c r="F15" s="1052">
        <v>1</v>
      </c>
      <c r="G15" s="1043">
        <v>1</v>
      </c>
      <c r="H15" s="1036">
        <v>34576</v>
      </c>
      <c r="I15" s="66"/>
      <c r="J15" s="107"/>
      <c r="K15" s="104"/>
      <c r="L15" s="1017"/>
      <c r="M15" s="1017"/>
      <c r="N15" s="1017"/>
      <c r="O15" s="1018"/>
      <c r="P15" s="1012"/>
      <c r="Q15" s="806">
        <v>1</v>
      </c>
      <c r="R15" s="997">
        <v>34576</v>
      </c>
    </row>
    <row r="16" spans="1:18" ht="15" customHeight="1" x14ac:dyDescent="0.3">
      <c r="A16" s="96">
        <v>31</v>
      </c>
      <c r="B16" s="526">
        <v>31826</v>
      </c>
      <c r="C16" s="527" t="s">
        <v>15</v>
      </c>
      <c r="D16" s="76">
        <v>45090</v>
      </c>
      <c r="E16" s="801">
        <v>1</v>
      </c>
      <c r="F16" s="1050">
        <v>1</v>
      </c>
      <c r="G16" s="1041">
        <v>0</v>
      </c>
      <c r="H16" s="1037" t="s">
        <v>16</v>
      </c>
      <c r="I16" s="66"/>
      <c r="J16" s="107"/>
      <c r="K16" s="1019" t="s">
        <v>1</v>
      </c>
      <c r="L16" s="1020"/>
      <c r="M16" s="1020"/>
      <c r="N16" s="1020"/>
      <c r="O16" s="1021"/>
      <c r="P16" s="1012"/>
      <c r="Q16" s="668">
        <v>0</v>
      </c>
      <c r="R16" s="998" t="s">
        <v>16</v>
      </c>
    </row>
    <row r="17" spans="1:18" ht="15" customHeight="1" x14ac:dyDescent="0.3">
      <c r="A17" s="96">
        <v>32</v>
      </c>
      <c r="B17" s="526">
        <v>31826</v>
      </c>
      <c r="C17" s="527" t="s">
        <v>17</v>
      </c>
      <c r="D17" s="73">
        <v>45160</v>
      </c>
      <c r="E17" s="801">
        <v>1</v>
      </c>
      <c r="F17" s="1050">
        <v>8</v>
      </c>
      <c r="G17" s="1041">
        <v>7</v>
      </c>
      <c r="H17" s="1036">
        <v>42688</v>
      </c>
      <c r="I17" s="66"/>
      <c r="J17" s="107"/>
      <c r="K17" s="1022"/>
      <c r="L17" s="1023"/>
      <c r="M17" s="1023"/>
      <c r="N17" s="1023"/>
      <c r="O17" s="1024"/>
      <c r="P17" s="1012"/>
      <c r="Q17" s="668">
        <v>7</v>
      </c>
      <c r="R17" s="997">
        <v>42688</v>
      </c>
    </row>
    <row r="18" spans="1:18" ht="15" customHeight="1" x14ac:dyDescent="0.3">
      <c r="A18" s="96">
        <v>35</v>
      </c>
      <c r="B18" s="526">
        <v>31826</v>
      </c>
      <c r="C18" s="527" t="s">
        <v>18</v>
      </c>
      <c r="D18" s="76">
        <v>42607</v>
      </c>
      <c r="E18" s="801">
        <v>0</v>
      </c>
      <c r="F18" s="1050">
        <v>12</v>
      </c>
      <c r="G18" s="1041">
        <v>12</v>
      </c>
      <c r="H18" s="1037">
        <v>42607</v>
      </c>
      <c r="I18" s="66"/>
      <c r="J18" s="107"/>
      <c r="K18" s="93" t="s">
        <v>3617</v>
      </c>
      <c r="L18" s="106"/>
      <c r="M18" s="106"/>
      <c r="N18" s="106"/>
      <c r="O18" s="1025"/>
      <c r="P18" s="1012"/>
      <c r="Q18" s="668">
        <v>12</v>
      </c>
      <c r="R18" s="998">
        <v>42607</v>
      </c>
    </row>
    <row r="19" spans="1:18" x14ac:dyDescent="0.3">
      <c r="A19" s="96">
        <v>36</v>
      </c>
      <c r="B19" s="526">
        <v>31826</v>
      </c>
      <c r="C19" s="527" t="s">
        <v>19</v>
      </c>
      <c r="D19" s="73">
        <v>45397</v>
      </c>
      <c r="E19" s="801">
        <v>1</v>
      </c>
      <c r="F19" s="1050">
        <v>6</v>
      </c>
      <c r="G19" s="1041">
        <v>5</v>
      </c>
      <c r="H19" s="1036">
        <v>34479</v>
      </c>
      <c r="I19" s="66"/>
      <c r="J19" s="107"/>
      <c r="K19" s="779"/>
      <c r="L19" s="1008"/>
      <c r="M19" s="1008"/>
      <c r="N19" s="1008"/>
      <c r="O19" s="1026"/>
      <c r="P19" s="1012"/>
      <c r="Q19" s="668">
        <v>5</v>
      </c>
      <c r="R19" s="997">
        <v>34479</v>
      </c>
    </row>
    <row r="20" spans="1:18" ht="15" customHeight="1" x14ac:dyDescent="0.3">
      <c r="A20" s="96">
        <v>37</v>
      </c>
      <c r="B20" s="526">
        <v>31826</v>
      </c>
      <c r="C20" s="527" t="s">
        <v>20</v>
      </c>
      <c r="D20" s="73">
        <v>45407</v>
      </c>
      <c r="E20" s="801">
        <v>40</v>
      </c>
      <c r="F20" s="801">
        <v>1007</v>
      </c>
      <c r="G20" s="1041">
        <v>967</v>
      </c>
      <c r="H20" s="1036">
        <v>45001</v>
      </c>
      <c r="I20" s="66"/>
      <c r="J20" s="107"/>
      <c r="K20" s="93" t="s">
        <v>3697</v>
      </c>
      <c r="L20" s="106"/>
      <c r="M20" s="106"/>
      <c r="N20" s="106"/>
      <c r="O20" s="1025"/>
      <c r="P20" s="1012"/>
      <c r="Q20" s="668">
        <v>977</v>
      </c>
      <c r="R20" s="997">
        <v>45001</v>
      </c>
    </row>
    <row r="21" spans="1:18" ht="15" customHeight="1" x14ac:dyDescent="0.3">
      <c r="A21" s="96">
        <v>40</v>
      </c>
      <c r="B21" s="526">
        <v>31826</v>
      </c>
      <c r="C21" s="527" t="s">
        <v>21</v>
      </c>
      <c r="D21" s="73">
        <v>43045</v>
      </c>
      <c r="E21" s="801">
        <v>0</v>
      </c>
      <c r="F21" s="1050">
        <v>5</v>
      </c>
      <c r="G21" s="1041">
        <v>5</v>
      </c>
      <c r="H21" s="1036">
        <v>43045</v>
      </c>
      <c r="I21" s="66"/>
      <c r="J21" s="107"/>
      <c r="K21" s="93" t="s">
        <v>3623</v>
      </c>
      <c r="L21" s="106"/>
      <c r="M21" s="106"/>
      <c r="N21" s="106"/>
      <c r="O21" s="1025"/>
      <c r="P21" s="1012"/>
      <c r="Q21" s="668">
        <v>5</v>
      </c>
      <c r="R21" s="997">
        <v>43045</v>
      </c>
    </row>
    <row r="22" spans="1:18" ht="15" customHeight="1" x14ac:dyDescent="0.3">
      <c r="A22" s="96">
        <v>41</v>
      </c>
      <c r="B22" s="526">
        <v>31826</v>
      </c>
      <c r="C22" s="527" t="s">
        <v>22</v>
      </c>
      <c r="D22" s="73">
        <v>44621</v>
      </c>
      <c r="E22" s="801">
        <v>0</v>
      </c>
      <c r="F22" s="1050">
        <v>12</v>
      </c>
      <c r="G22" s="1041">
        <v>12</v>
      </c>
      <c r="H22" s="1036">
        <v>44621</v>
      </c>
      <c r="I22" s="66"/>
      <c r="J22" s="107"/>
      <c r="K22" s="93" t="s">
        <v>3690</v>
      </c>
      <c r="L22" s="1008"/>
      <c r="M22" s="1008"/>
      <c r="N22" s="1008"/>
      <c r="O22" s="1026"/>
      <c r="P22" s="1012"/>
      <c r="Q22" s="668">
        <v>12</v>
      </c>
      <c r="R22" s="997">
        <v>44621</v>
      </c>
    </row>
    <row r="23" spans="1:18" ht="15" customHeight="1" x14ac:dyDescent="0.3">
      <c r="A23" s="96">
        <v>47</v>
      </c>
      <c r="B23" s="526" t="s">
        <v>23</v>
      </c>
      <c r="C23" s="527" t="s">
        <v>24</v>
      </c>
      <c r="D23" s="73">
        <v>34506</v>
      </c>
      <c r="E23" s="801">
        <v>0</v>
      </c>
      <c r="F23" s="1050">
        <v>1</v>
      </c>
      <c r="G23" s="1041">
        <v>1</v>
      </c>
      <c r="H23" s="1036">
        <v>34506</v>
      </c>
      <c r="I23" s="66"/>
      <c r="J23" s="107"/>
      <c r="K23" s="93" t="s">
        <v>3689</v>
      </c>
      <c r="L23" s="1008"/>
      <c r="M23" s="1008"/>
      <c r="N23" s="1008"/>
      <c r="O23" s="1026"/>
      <c r="P23" s="1012"/>
      <c r="Q23" s="668">
        <v>1</v>
      </c>
      <c r="R23" s="997">
        <v>34506</v>
      </c>
    </row>
    <row r="24" spans="1:18" ht="15" customHeight="1" x14ac:dyDescent="0.3">
      <c r="A24" s="96">
        <v>48</v>
      </c>
      <c r="B24" s="526">
        <v>31826</v>
      </c>
      <c r="C24" s="527" t="s">
        <v>25</v>
      </c>
      <c r="D24" s="73">
        <v>39513</v>
      </c>
      <c r="E24" s="801">
        <v>0</v>
      </c>
      <c r="F24" s="1050">
        <v>5</v>
      </c>
      <c r="G24" s="1041">
        <v>5</v>
      </c>
      <c r="H24" s="1036">
        <v>39513</v>
      </c>
      <c r="I24" s="66"/>
      <c r="J24" s="107"/>
      <c r="K24" s="92" t="s">
        <v>3691</v>
      </c>
      <c r="L24" s="105"/>
      <c r="M24" s="105"/>
      <c r="N24" s="105"/>
      <c r="O24" s="1027"/>
      <c r="P24" s="1012"/>
      <c r="Q24" s="668">
        <v>5</v>
      </c>
      <c r="R24" s="997">
        <v>39513</v>
      </c>
    </row>
    <row r="25" spans="1:18" ht="15" customHeight="1" x14ac:dyDescent="0.3">
      <c r="A25" s="96">
        <v>49</v>
      </c>
      <c r="B25" s="526">
        <v>31826</v>
      </c>
      <c r="C25" s="527" t="s">
        <v>26</v>
      </c>
      <c r="D25" s="73">
        <v>38035</v>
      </c>
      <c r="E25" s="802">
        <v>0</v>
      </c>
      <c r="F25" s="1051">
        <v>4</v>
      </c>
      <c r="G25" s="1042">
        <v>4</v>
      </c>
      <c r="H25" s="1036">
        <v>38035</v>
      </c>
      <c r="I25" s="66"/>
      <c r="J25" s="107"/>
      <c r="K25" s="92" t="s">
        <v>4254</v>
      </c>
      <c r="L25" s="66"/>
      <c r="M25" s="66"/>
      <c r="N25" s="66"/>
      <c r="O25" s="1028"/>
      <c r="P25" s="1012"/>
      <c r="Q25" s="805">
        <v>4</v>
      </c>
      <c r="R25" s="997">
        <v>38035</v>
      </c>
    </row>
    <row r="26" spans="1:18" ht="15" customHeight="1" x14ac:dyDescent="0.3">
      <c r="A26" s="96">
        <v>50</v>
      </c>
      <c r="B26" s="526">
        <v>31826</v>
      </c>
      <c r="C26" s="527" t="s">
        <v>25</v>
      </c>
      <c r="D26" s="73">
        <v>45405</v>
      </c>
      <c r="E26" s="801">
        <v>2</v>
      </c>
      <c r="F26" s="1050">
        <v>11</v>
      </c>
      <c r="G26" s="1041">
        <v>9</v>
      </c>
      <c r="H26" s="1036">
        <v>44595</v>
      </c>
      <c r="I26" s="66"/>
      <c r="J26" s="107"/>
      <c r="K26" s="542" t="s">
        <v>4255</v>
      </c>
      <c r="L26" s="543"/>
      <c r="M26" s="543"/>
      <c r="N26" s="543"/>
      <c r="O26" s="1029"/>
      <c r="P26" s="1012"/>
      <c r="Q26" s="668">
        <v>9</v>
      </c>
      <c r="R26" s="997">
        <v>44595</v>
      </c>
    </row>
    <row r="27" spans="1:18" ht="15" customHeight="1" x14ac:dyDescent="0.3">
      <c r="A27" s="96">
        <v>51</v>
      </c>
      <c r="B27" s="526">
        <v>31826</v>
      </c>
      <c r="C27" s="527" t="s">
        <v>27</v>
      </c>
      <c r="D27" s="73">
        <v>34554</v>
      </c>
      <c r="E27" s="803">
        <v>0</v>
      </c>
      <c r="F27" s="1052">
        <v>1</v>
      </c>
      <c r="G27" s="1043">
        <v>1</v>
      </c>
      <c r="H27" s="1036">
        <v>34554</v>
      </c>
      <c r="I27" s="66"/>
      <c r="J27" s="107"/>
      <c r="K27" s="88"/>
      <c r="L27" s="88"/>
      <c r="M27" s="88"/>
      <c r="N27" s="88"/>
      <c r="O27" s="88"/>
      <c r="P27" s="1012"/>
      <c r="Q27" s="806">
        <v>1</v>
      </c>
      <c r="R27" s="997">
        <v>34554</v>
      </c>
    </row>
    <row r="28" spans="1:18" ht="15" customHeight="1" x14ac:dyDescent="0.3">
      <c r="A28" s="96">
        <v>52</v>
      </c>
      <c r="B28" s="526">
        <v>31826</v>
      </c>
      <c r="C28" s="527" t="s">
        <v>28</v>
      </c>
      <c r="D28" s="73">
        <v>34554</v>
      </c>
      <c r="E28" s="801">
        <v>0</v>
      </c>
      <c r="F28" s="1050">
        <v>1</v>
      </c>
      <c r="G28" s="1041">
        <v>1</v>
      </c>
      <c r="H28" s="1036">
        <v>34554</v>
      </c>
      <c r="I28" s="66"/>
      <c r="J28" s="109"/>
      <c r="K28" s="110"/>
      <c r="L28" s="110"/>
      <c r="M28" s="110"/>
      <c r="N28" s="110"/>
      <c r="O28" s="110"/>
      <c r="P28" s="1030"/>
      <c r="Q28" s="668">
        <v>1</v>
      </c>
      <c r="R28" s="997">
        <v>34554</v>
      </c>
    </row>
    <row r="29" spans="1:18" ht="15" customHeight="1" x14ac:dyDescent="0.3">
      <c r="A29" s="96">
        <v>53</v>
      </c>
      <c r="B29" s="526">
        <v>31826</v>
      </c>
      <c r="C29" s="527" t="s">
        <v>29</v>
      </c>
      <c r="D29" s="73">
        <v>44552</v>
      </c>
      <c r="E29" s="801">
        <v>0</v>
      </c>
      <c r="F29" s="1050">
        <v>6</v>
      </c>
      <c r="G29" s="1041">
        <v>6</v>
      </c>
      <c r="H29" s="1036">
        <v>44552</v>
      </c>
      <c r="I29" s="66"/>
      <c r="J29" s="66"/>
      <c r="K29" s="66"/>
      <c r="L29" s="66"/>
      <c r="M29" s="66"/>
      <c r="N29" s="66"/>
      <c r="O29" s="66"/>
      <c r="P29" s="66"/>
      <c r="Q29" s="668">
        <v>6</v>
      </c>
      <c r="R29" s="997">
        <v>44552</v>
      </c>
    </row>
    <row r="30" spans="1:18" ht="15" customHeight="1" x14ac:dyDescent="0.3">
      <c r="A30" s="96">
        <v>55</v>
      </c>
      <c r="B30" s="526">
        <v>31826</v>
      </c>
      <c r="C30" s="527" t="s">
        <v>30</v>
      </c>
      <c r="D30" s="73">
        <v>43893</v>
      </c>
      <c r="E30" s="803">
        <v>0</v>
      </c>
      <c r="F30" s="1052">
        <v>13</v>
      </c>
      <c r="G30" s="1043">
        <v>13</v>
      </c>
      <c r="H30" s="1036">
        <v>43893</v>
      </c>
      <c r="I30" s="66"/>
      <c r="J30" s="66"/>
      <c r="K30" s="66"/>
      <c r="L30" s="66"/>
      <c r="M30" s="66"/>
      <c r="N30" s="66"/>
      <c r="O30" s="66"/>
      <c r="P30" s="66"/>
      <c r="Q30" s="806">
        <v>13</v>
      </c>
      <c r="R30" s="997">
        <v>43893</v>
      </c>
    </row>
    <row r="31" spans="1:18" ht="15" customHeight="1" thickBot="1" x14ac:dyDescent="0.35">
      <c r="A31" s="96">
        <v>56</v>
      </c>
      <c r="B31" s="526">
        <v>31826</v>
      </c>
      <c r="C31" s="527" t="s">
        <v>27</v>
      </c>
      <c r="D31" s="73">
        <v>34554</v>
      </c>
      <c r="E31" s="803">
        <v>0</v>
      </c>
      <c r="F31" s="1052">
        <v>1</v>
      </c>
      <c r="G31" s="1043">
        <v>1</v>
      </c>
      <c r="H31" s="1036">
        <v>34554</v>
      </c>
      <c r="I31" s="66"/>
      <c r="J31" s="1227" t="s">
        <v>287</v>
      </c>
      <c r="K31" s="1228"/>
      <c r="L31" s="1228"/>
      <c r="M31" s="1228"/>
      <c r="N31" s="1228"/>
      <c r="O31" s="1229"/>
      <c r="P31" s="66"/>
      <c r="Q31" s="806">
        <v>1</v>
      </c>
      <c r="R31" s="997">
        <v>34554</v>
      </c>
    </row>
    <row r="32" spans="1:18" ht="15" customHeight="1" x14ac:dyDescent="0.3">
      <c r="A32" s="96">
        <v>57</v>
      </c>
      <c r="B32" s="526">
        <v>31826</v>
      </c>
      <c r="C32" s="527" t="s">
        <v>26</v>
      </c>
      <c r="D32" s="73">
        <v>44552</v>
      </c>
      <c r="E32" s="803">
        <v>0</v>
      </c>
      <c r="F32" s="1052">
        <v>7</v>
      </c>
      <c r="G32" s="1043">
        <v>7</v>
      </c>
      <c r="H32" s="1036">
        <v>44552</v>
      </c>
      <c r="I32" s="66"/>
      <c r="J32" s="1233" t="s">
        <v>288</v>
      </c>
      <c r="K32" s="1234"/>
      <c r="L32" s="1234"/>
      <c r="M32" s="1234"/>
      <c r="N32" s="1235"/>
      <c r="O32" s="1031">
        <v>68</v>
      </c>
      <c r="P32" s="66"/>
      <c r="Q32" s="806">
        <v>7</v>
      </c>
      <c r="R32" s="997">
        <v>44552</v>
      </c>
    </row>
    <row r="33" spans="1:18" ht="15" customHeight="1" x14ac:dyDescent="0.3">
      <c r="A33" s="96">
        <v>58</v>
      </c>
      <c r="B33" s="526" t="s">
        <v>23</v>
      </c>
      <c r="C33" s="529" t="s">
        <v>31</v>
      </c>
      <c r="D33" s="73">
        <v>44747</v>
      </c>
      <c r="E33" s="803">
        <v>0</v>
      </c>
      <c r="F33" s="1052">
        <v>13</v>
      </c>
      <c r="G33" s="1043">
        <v>13</v>
      </c>
      <c r="H33" s="1036">
        <v>44747</v>
      </c>
      <c r="I33" s="66"/>
      <c r="J33" s="1233" t="s">
        <v>289</v>
      </c>
      <c r="K33" s="1234"/>
      <c r="L33" s="1234"/>
      <c r="M33" s="1234"/>
      <c r="N33" s="1235"/>
      <c r="O33" s="1032">
        <v>221</v>
      </c>
      <c r="P33" s="66"/>
      <c r="Q33" s="806">
        <v>13</v>
      </c>
      <c r="R33" s="997">
        <v>44747</v>
      </c>
    </row>
    <row r="34" spans="1:18" ht="15" customHeight="1" x14ac:dyDescent="0.3">
      <c r="A34" s="96">
        <v>61</v>
      </c>
      <c r="B34" s="526">
        <v>31831</v>
      </c>
      <c r="C34" s="527" t="s">
        <v>32</v>
      </c>
      <c r="D34" s="73">
        <v>43815</v>
      </c>
      <c r="E34" s="803">
        <v>0</v>
      </c>
      <c r="F34" s="1052">
        <v>16</v>
      </c>
      <c r="G34" s="1043">
        <v>16</v>
      </c>
      <c r="H34" s="1036">
        <v>43815</v>
      </c>
      <c r="I34" s="66"/>
      <c r="J34" s="1233" t="s">
        <v>290</v>
      </c>
      <c r="K34" s="1234"/>
      <c r="L34" s="1234"/>
      <c r="M34" s="1234"/>
      <c r="N34" s="1235"/>
      <c r="O34" s="1032">
        <v>109</v>
      </c>
      <c r="P34" s="66"/>
      <c r="Q34" s="806">
        <v>16</v>
      </c>
      <c r="R34" s="997">
        <v>43815</v>
      </c>
    </row>
    <row r="35" spans="1:18" ht="15" customHeight="1" x14ac:dyDescent="0.3">
      <c r="A35" s="96">
        <v>62</v>
      </c>
      <c r="B35" s="526">
        <v>31831</v>
      </c>
      <c r="C35" s="527" t="s">
        <v>33</v>
      </c>
      <c r="D35" s="73">
        <v>43455</v>
      </c>
      <c r="E35" s="803">
        <v>0</v>
      </c>
      <c r="F35" s="1052">
        <v>29</v>
      </c>
      <c r="G35" s="1043">
        <v>29</v>
      </c>
      <c r="H35" s="1036">
        <v>43455</v>
      </c>
      <c r="I35" s="66"/>
      <c r="J35" s="1233" t="s">
        <v>291</v>
      </c>
      <c r="K35" s="1234"/>
      <c r="L35" s="1234"/>
      <c r="M35" s="1234"/>
      <c r="N35" s="1235"/>
      <c r="O35" s="1032">
        <v>10</v>
      </c>
      <c r="P35" s="66"/>
      <c r="Q35" s="806">
        <v>29</v>
      </c>
      <c r="R35" s="997">
        <v>43455</v>
      </c>
    </row>
    <row r="36" spans="1:18" ht="15" customHeight="1" thickBot="1" x14ac:dyDescent="0.35">
      <c r="A36" s="96">
        <v>63</v>
      </c>
      <c r="B36" s="526">
        <v>31831</v>
      </c>
      <c r="C36" s="527" t="s">
        <v>34</v>
      </c>
      <c r="D36" s="73">
        <v>44421</v>
      </c>
      <c r="E36" s="803">
        <v>0</v>
      </c>
      <c r="F36" s="1052">
        <v>21</v>
      </c>
      <c r="G36" s="1043">
        <v>21</v>
      </c>
      <c r="H36" s="1036">
        <v>44421</v>
      </c>
      <c r="I36" s="66"/>
      <c r="J36" s="1233" t="s">
        <v>292</v>
      </c>
      <c r="K36" s="1234"/>
      <c r="L36" s="1234"/>
      <c r="M36" s="1234"/>
      <c r="N36" s="1235"/>
      <c r="O36" s="1032">
        <v>1</v>
      </c>
      <c r="P36" s="66"/>
      <c r="Q36" s="806">
        <v>21</v>
      </c>
      <c r="R36" s="997">
        <v>44421</v>
      </c>
    </row>
    <row r="37" spans="1:18" ht="15" customHeight="1" x14ac:dyDescent="0.3">
      <c r="A37" s="96">
        <v>64</v>
      </c>
      <c r="B37" s="526">
        <v>31831</v>
      </c>
      <c r="C37" s="527" t="s">
        <v>35</v>
      </c>
      <c r="D37" s="73">
        <v>45348</v>
      </c>
      <c r="E37" s="801">
        <v>4</v>
      </c>
      <c r="F37" s="1050">
        <v>95</v>
      </c>
      <c r="G37" s="1041">
        <v>91</v>
      </c>
      <c r="H37" s="1036">
        <v>44735</v>
      </c>
      <c r="I37" s="66"/>
      <c r="J37" s="1224" t="s">
        <v>293</v>
      </c>
      <c r="K37" s="1225"/>
      <c r="L37" s="1225"/>
      <c r="M37" s="1225"/>
      <c r="N37" s="1226"/>
      <c r="O37" s="1033">
        <v>409</v>
      </c>
      <c r="P37" s="66"/>
      <c r="Q37" s="668">
        <v>91</v>
      </c>
      <c r="R37" s="997">
        <v>44735</v>
      </c>
    </row>
    <row r="38" spans="1:18" ht="15" customHeight="1" x14ac:dyDescent="0.3">
      <c r="A38" s="96">
        <v>65</v>
      </c>
      <c r="B38" s="526">
        <v>31831</v>
      </c>
      <c r="C38" s="527" t="s">
        <v>36</v>
      </c>
      <c r="D38" s="73">
        <v>45169</v>
      </c>
      <c r="E38" s="803">
        <v>2</v>
      </c>
      <c r="F38" s="1052">
        <v>22</v>
      </c>
      <c r="G38" s="1043">
        <v>20</v>
      </c>
      <c r="H38" s="1036">
        <v>44131</v>
      </c>
      <c r="I38" s="73"/>
      <c r="J38" s="78"/>
      <c r="K38" s="73"/>
      <c r="L38" s="78"/>
      <c r="M38" s="73"/>
      <c r="N38" s="66"/>
      <c r="O38" s="66"/>
      <c r="P38" s="66"/>
      <c r="Q38" s="806">
        <v>20</v>
      </c>
      <c r="R38" s="997">
        <v>44131</v>
      </c>
    </row>
    <row r="39" spans="1:18" ht="15" customHeight="1" x14ac:dyDescent="0.3">
      <c r="A39" s="96">
        <v>67</v>
      </c>
      <c r="B39" s="526">
        <v>31848</v>
      </c>
      <c r="C39" s="527" t="s">
        <v>37</v>
      </c>
      <c r="D39" s="73">
        <v>45211</v>
      </c>
      <c r="E39" s="803">
        <v>3</v>
      </c>
      <c r="F39" s="1052">
        <v>107</v>
      </c>
      <c r="G39" s="1043">
        <v>104</v>
      </c>
      <c r="H39" s="1036">
        <v>44735</v>
      </c>
      <c r="I39" s="73"/>
      <c r="J39" s="78"/>
      <c r="K39" s="73"/>
      <c r="L39" s="78"/>
      <c r="M39" s="73"/>
      <c r="N39" s="66"/>
      <c r="O39" s="66"/>
      <c r="P39" s="66"/>
      <c r="Q39" s="806">
        <v>104</v>
      </c>
      <c r="R39" s="997">
        <v>44735</v>
      </c>
    </row>
    <row r="40" spans="1:18" ht="15" customHeight="1" x14ac:dyDescent="0.3">
      <c r="A40" s="96">
        <v>68</v>
      </c>
      <c r="B40" s="526">
        <v>31848</v>
      </c>
      <c r="C40" s="527" t="s">
        <v>38</v>
      </c>
      <c r="D40" s="73">
        <v>39561</v>
      </c>
      <c r="E40" s="803">
        <v>0</v>
      </c>
      <c r="F40" s="1052">
        <v>8</v>
      </c>
      <c r="G40" s="1043">
        <v>8</v>
      </c>
      <c r="H40" s="1036">
        <v>39561</v>
      </c>
      <c r="I40" s="66"/>
      <c r="J40" s="66"/>
      <c r="K40" s="66"/>
      <c r="L40" s="73"/>
      <c r="M40" s="78"/>
      <c r="N40" s="73"/>
      <c r="O40" s="66"/>
      <c r="P40" s="66"/>
      <c r="Q40" s="806">
        <v>8</v>
      </c>
      <c r="R40" s="997">
        <v>39561</v>
      </c>
    </row>
    <row r="41" spans="1:18" ht="15" customHeight="1" x14ac:dyDescent="0.3">
      <c r="A41" s="96">
        <v>71</v>
      </c>
      <c r="B41" s="526">
        <v>31848</v>
      </c>
      <c r="C41" s="527" t="s">
        <v>4240</v>
      </c>
      <c r="D41" s="73">
        <v>39384</v>
      </c>
      <c r="E41" s="803">
        <v>0</v>
      </c>
      <c r="F41" s="1052">
        <v>7</v>
      </c>
      <c r="G41" s="1043">
        <v>7</v>
      </c>
      <c r="H41" s="1036">
        <v>39384</v>
      </c>
      <c r="I41" s="66"/>
      <c r="J41" s="66"/>
      <c r="K41" s="78"/>
      <c r="L41" s="73"/>
      <c r="M41" s="78"/>
      <c r="N41" s="73"/>
      <c r="O41" s="66"/>
      <c r="P41" s="66"/>
      <c r="Q41" s="806">
        <v>7</v>
      </c>
      <c r="R41" s="997">
        <v>39384</v>
      </c>
    </row>
    <row r="42" spans="1:18" ht="15" customHeight="1" x14ac:dyDescent="0.3">
      <c r="A42" s="96">
        <v>74</v>
      </c>
      <c r="B42" s="526">
        <v>31848</v>
      </c>
      <c r="C42" s="527" t="s">
        <v>39</v>
      </c>
      <c r="D42" s="73">
        <v>39275</v>
      </c>
      <c r="E42" s="803">
        <v>0</v>
      </c>
      <c r="F42" s="1052">
        <v>16</v>
      </c>
      <c r="G42" s="1043">
        <v>16</v>
      </c>
      <c r="H42" s="1036">
        <v>39275</v>
      </c>
      <c r="I42" s="66"/>
      <c r="J42" s="66"/>
      <c r="K42" s="72"/>
      <c r="L42" s="73"/>
      <c r="M42" s="72"/>
      <c r="N42" s="73"/>
      <c r="O42" s="66"/>
      <c r="P42" s="66"/>
      <c r="Q42" s="806">
        <v>16</v>
      </c>
      <c r="R42" s="997">
        <v>39275</v>
      </c>
    </row>
    <row r="43" spans="1:18" ht="15" customHeight="1" x14ac:dyDescent="0.3">
      <c r="A43" s="96">
        <v>77</v>
      </c>
      <c r="B43" s="526">
        <v>31809</v>
      </c>
      <c r="C43" s="527" t="s">
        <v>40</v>
      </c>
      <c r="D43" s="73">
        <v>44421</v>
      </c>
      <c r="E43" s="801">
        <v>0</v>
      </c>
      <c r="F43" s="1050">
        <v>20</v>
      </c>
      <c r="G43" s="1041">
        <v>20</v>
      </c>
      <c r="H43" s="1036">
        <v>44421</v>
      </c>
      <c r="I43" s="66"/>
      <c r="J43" s="784"/>
      <c r="K43" s="72"/>
      <c r="L43" s="66"/>
      <c r="M43" s="78"/>
      <c r="N43" s="73"/>
      <c r="O43" s="66"/>
      <c r="P43" s="66"/>
      <c r="Q43" s="668">
        <v>20</v>
      </c>
      <c r="R43" s="997">
        <v>44421</v>
      </c>
    </row>
    <row r="44" spans="1:18" ht="15" customHeight="1" x14ac:dyDescent="0.3">
      <c r="A44" s="96">
        <v>79</v>
      </c>
      <c r="B44" s="526">
        <v>31809</v>
      </c>
      <c r="C44" s="527" t="s">
        <v>41</v>
      </c>
      <c r="D44" s="73">
        <v>36654</v>
      </c>
      <c r="E44" s="803">
        <v>0</v>
      </c>
      <c r="F44" s="1052">
        <v>5</v>
      </c>
      <c r="G44" s="1043">
        <v>5</v>
      </c>
      <c r="H44" s="1036">
        <v>36654</v>
      </c>
      <c r="I44" s="66"/>
      <c r="J44" s="784"/>
      <c r="K44" s="78"/>
      <c r="L44" s="66"/>
      <c r="M44" s="78"/>
      <c r="N44" s="73"/>
      <c r="O44" s="66"/>
      <c r="P44" s="66"/>
      <c r="Q44" s="806">
        <v>5</v>
      </c>
      <c r="R44" s="997">
        <v>36654</v>
      </c>
    </row>
    <row r="45" spans="1:18" ht="15" customHeight="1" x14ac:dyDescent="0.3">
      <c r="A45" s="96">
        <v>84</v>
      </c>
      <c r="B45" s="526">
        <v>31809</v>
      </c>
      <c r="C45" s="527" t="s">
        <v>8</v>
      </c>
      <c r="D45" s="73">
        <v>35116</v>
      </c>
      <c r="E45" s="801">
        <v>0</v>
      </c>
      <c r="F45" s="1050">
        <v>29</v>
      </c>
      <c r="G45" s="1041">
        <v>29</v>
      </c>
      <c r="H45" s="1036">
        <v>35116</v>
      </c>
      <c r="I45" s="66"/>
      <c r="J45" s="73"/>
      <c r="K45" s="78"/>
      <c r="L45" s="73"/>
      <c r="M45" s="78"/>
      <c r="N45" s="73"/>
      <c r="O45" s="66"/>
      <c r="P45" s="66"/>
      <c r="Q45" s="668">
        <v>29</v>
      </c>
      <c r="R45" s="997">
        <v>35116</v>
      </c>
    </row>
    <row r="46" spans="1:18" ht="15" customHeight="1" x14ac:dyDescent="0.3">
      <c r="A46" s="96">
        <v>85</v>
      </c>
      <c r="B46" s="526">
        <v>31809</v>
      </c>
      <c r="C46" s="527" t="s">
        <v>42</v>
      </c>
      <c r="D46" s="73">
        <v>45405</v>
      </c>
      <c r="E46" s="801">
        <v>1</v>
      </c>
      <c r="F46" s="1050">
        <v>7</v>
      </c>
      <c r="G46" s="1041">
        <v>6</v>
      </c>
      <c r="H46" s="1036">
        <v>43893</v>
      </c>
      <c r="I46" s="66"/>
      <c r="J46" s="66"/>
      <c r="K46" s="73"/>
      <c r="L46" s="78"/>
      <c r="M46" s="73"/>
      <c r="N46" s="66"/>
      <c r="O46" s="66"/>
      <c r="P46" s="66"/>
      <c r="Q46" s="668">
        <v>6</v>
      </c>
      <c r="R46" s="997">
        <v>43893</v>
      </c>
    </row>
    <row r="47" spans="1:18" ht="15" customHeight="1" x14ac:dyDescent="0.3">
      <c r="A47" s="96">
        <v>86</v>
      </c>
      <c r="B47" s="526">
        <v>31838</v>
      </c>
      <c r="C47" s="527" t="s">
        <v>43</v>
      </c>
      <c r="D47" s="73">
        <v>41556</v>
      </c>
      <c r="E47" s="801">
        <v>0</v>
      </c>
      <c r="F47" s="1050">
        <v>45</v>
      </c>
      <c r="G47" s="1041">
        <v>45</v>
      </c>
      <c r="H47" s="1036">
        <v>41556</v>
      </c>
      <c r="I47" s="66"/>
      <c r="J47" s="66"/>
      <c r="K47" s="73"/>
      <c r="L47" s="78"/>
      <c r="M47" s="73"/>
      <c r="N47" s="66"/>
      <c r="O47" s="66"/>
      <c r="P47" s="66"/>
      <c r="Q47" s="668">
        <v>45</v>
      </c>
      <c r="R47" s="997">
        <v>41556</v>
      </c>
    </row>
    <row r="48" spans="1:18" ht="15" customHeight="1" x14ac:dyDescent="0.3">
      <c r="A48" s="96">
        <v>88</v>
      </c>
      <c r="B48" s="526">
        <v>31809</v>
      </c>
      <c r="C48" s="527" t="s">
        <v>44</v>
      </c>
      <c r="D48" s="73">
        <v>39023</v>
      </c>
      <c r="E48" s="801">
        <v>0</v>
      </c>
      <c r="F48" s="1050">
        <v>5</v>
      </c>
      <c r="G48" s="1041">
        <v>5</v>
      </c>
      <c r="H48" s="1036">
        <v>39023</v>
      </c>
      <c r="I48" s="66"/>
      <c r="J48" s="66"/>
      <c r="K48" s="73"/>
      <c r="L48" s="72"/>
      <c r="M48" s="73"/>
      <c r="N48" s="66"/>
      <c r="O48" s="66"/>
      <c r="P48" s="66"/>
      <c r="Q48" s="668">
        <v>5</v>
      </c>
      <c r="R48" s="997">
        <v>39023</v>
      </c>
    </row>
    <row r="49" spans="1:18" ht="15" customHeight="1" x14ac:dyDescent="0.3">
      <c r="A49" s="96">
        <v>89</v>
      </c>
      <c r="B49" s="526">
        <v>31809</v>
      </c>
      <c r="C49" s="527" t="s">
        <v>45</v>
      </c>
      <c r="D49" s="73">
        <v>45250</v>
      </c>
      <c r="E49" s="801">
        <v>3</v>
      </c>
      <c r="F49" s="1050">
        <v>67</v>
      </c>
      <c r="G49" s="1041">
        <v>64</v>
      </c>
      <c r="H49" s="1036">
        <v>45001</v>
      </c>
      <c r="I49" s="68"/>
      <c r="J49" s="78"/>
      <c r="K49" s="73"/>
      <c r="L49" s="78"/>
      <c r="M49" s="73"/>
      <c r="N49" s="66"/>
      <c r="O49" s="66"/>
      <c r="P49" s="66"/>
      <c r="Q49" s="668">
        <v>65</v>
      </c>
      <c r="R49" s="997">
        <v>45001</v>
      </c>
    </row>
    <row r="50" spans="1:18" ht="15" customHeight="1" x14ac:dyDescent="0.3">
      <c r="A50" s="96">
        <v>90</v>
      </c>
      <c r="B50" s="526">
        <v>31809</v>
      </c>
      <c r="C50" s="527" t="s">
        <v>19</v>
      </c>
      <c r="D50" s="73">
        <v>45328</v>
      </c>
      <c r="E50" s="801">
        <v>17</v>
      </c>
      <c r="F50" s="1050">
        <v>318</v>
      </c>
      <c r="G50" s="1041">
        <v>301</v>
      </c>
      <c r="H50" s="1036">
        <v>45021</v>
      </c>
      <c r="I50" s="68"/>
      <c r="J50" s="72"/>
      <c r="K50" s="76"/>
      <c r="L50" s="72"/>
      <c r="M50" s="73"/>
      <c r="N50" s="66"/>
      <c r="O50" s="66"/>
      <c r="P50" s="66"/>
      <c r="Q50" s="668">
        <v>305</v>
      </c>
      <c r="R50" s="997">
        <v>45021</v>
      </c>
    </row>
    <row r="51" spans="1:18" ht="15" customHeight="1" x14ac:dyDescent="0.3">
      <c r="A51" s="96">
        <v>91</v>
      </c>
      <c r="B51" s="526">
        <v>31809</v>
      </c>
      <c r="C51" s="527" t="s">
        <v>46</v>
      </c>
      <c r="D51" s="73">
        <v>41792</v>
      </c>
      <c r="E51" s="801">
        <v>0</v>
      </c>
      <c r="F51" s="1050">
        <v>9</v>
      </c>
      <c r="G51" s="1041">
        <v>9</v>
      </c>
      <c r="H51" s="1036">
        <v>41792</v>
      </c>
      <c r="I51" s="68"/>
      <c r="J51" s="72"/>
      <c r="K51" s="73"/>
      <c r="L51" s="72"/>
      <c r="M51" s="73"/>
      <c r="N51" s="66"/>
      <c r="O51" s="66"/>
      <c r="P51" s="66"/>
      <c r="Q51" s="668">
        <v>9</v>
      </c>
      <c r="R51" s="997">
        <v>41792</v>
      </c>
    </row>
    <row r="52" spans="1:18" ht="15" customHeight="1" x14ac:dyDescent="0.3">
      <c r="A52" s="96">
        <v>92</v>
      </c>
      <c r="B52" s="526">
        <v>31838</v>
      </c>
      <c r="C52" s="527" t="s">
        <v>47</v>
      </c>
      <c r="D52" s="76">
        <v>38449</v>
      </c>
      <c r="E52" s="801">
        <v>0</v>
      </c>
      <c r="F52" s="1050">
        <v>5</v>
      </c>
      <c r="G52" s="1041">
        <v>5</v>
      </c>
      <c r="H52" s="1037">
        <v>38449</v>
      </c>
      <c r="I52" s="68"/>
      <c r="J52" s="72"/>
      <c r="K52" s="76"/>
      <c r="L52" s="72"/>
      <c r="M52" s="73"/>
      <c r="N52" s="66"/>
      <c r="O52" s="66"/>
      <c r="P52" s="66"/>
      <c r="Q52" s="668">
        <v>5</v>
      </c>
      <c r="R52" s="998">
        <v>38449</v>
      </c>
    </row>
    <row r="53" spans="1:18" ht="15" customHeight="1" x14ac:dyDescent="0.3">
      <c r="A53" s="96">
        <v>93</v>
      </c>
      <c r="B53" s="526">
        <v>31809</v>
      </c>
      <c r="C53" s="527" t="s">
        <v>48</v>
      </c>
      <c r="D53" s="73">
        <v>45169</v>
      </c>
      <c r="E53" s="801">
        <v>1</v>
      </c>
      <c r="F53" s="1050">
        <v>54</v>
      </c>
      <c r="G53" s="1041">
        <v>53</v>
      </c>
      <c r="H53" s="1036">
        <v>44739</v>
      </c>
      <c r="I53" s="73"/>
      <c r="J53" s="72"/>
      <c r="K53" s="73"/>
      <c r="L53" s="72"/>
      <c r="M53" s="73"/>
      <c r="N53" s="66"/>
      <c r="O53" s="66"/>
      <c r="P53" s="66"/>
      <c r="Q53" s="668">
        <v>53</v>
      </c>
      <c r="R53" s="997">
        <v>44739</v>
      </c>
    </row>
    <row r="54" spans="1:18" ht="15" customHeight="1" x14ac:dyDescent="0.3">
      <c r="A54" s="96">
        <v>95</v>
      </c>
      <c r="B54" s="526">
        <v>31809</v>
      </c>
      <c r="C54" s="527" t="s">
        <v>49</v>
      </c>
      <c r="D54" s="73">
        <v>45352</v>
      </c>
      <c r="E54" s="801">
        <v>5</v>
      </c>
      <c r="F54" s="1050">
        <v>56</v>
      </c>
      <c r="G54" s="1041">
        <v>51</v>
      </c>
      <c r="H54" s="1036">
        <v>44946</v>
      </c>
      <c r="I54" s="73"/>
      <c r="J54" s="72"/>
      <c r="K54" s="73"/>
      <c r="L54" s="72"/>
      <c r="M54" s="73"/>
      <c r="N54" s="66"/>
      <c r="O54" s="66"/>
      <c r="P54" s="66"/>
      <c r="Q54" s="668">
        <v>52</v>
      </c>
      <c r="R54" s="997">
        <v>44946</v>
      </c>
    </row>
    <row r="55" spans="1:18" ht="15" customHeight="1" x14ac:dyDescent="0.3">
      <c r="A55" s="96">
        <v>97</v>
      </c>
      <c r="B55" s="526">
        <v>31868</v>
      </c>
      <c r="C55" s="527" t="s">
        <v>50</v>
      </c>
      <c r="D55" s="73">
        <v>41709</v>
      </c>
      <c r="E55" s="801">
        <v>0</v>
      </c>
      <c r="F55" s="1050">
        <v>6</v>
      </c>
      <c r="G55" s="1041">
        <v>6</v>
      </c>
      <c r="H55" s="1036">
        <v>41709</v>
      </c>
      <c r="I55" s="73"/>
      <c r="J55" s="72"/>
      <c r="K55" s="73"/>
      <c r="L55" s="72"/>
      <c r="M55" s="73"/>
      <c r="N55" s="66"/>
      <c r="O55" s="66"/>
      <c r="P55" s="66"/>
      <c r="Q55" s="668">
        <v>6</v>
      </c>
      <c r="R55" s="997">
        <v>41709</v>
      </c>
    </row>
    <row r="56" spans="1:18" ht="15" customHeight="1" x14ac:dyDescent="0.3">
      <c r="A56" s="96">
        <v>99</v>
      </c>
      <c r="B56" s="526">
        <v>31868</v>
      </c>
      <c r="C56" s="527" t="s">
        <v>51</v>
      </c>
      <c r="D56" s="73">
        <v>41204</v>
      </c>
      <c r="E56" s="801">
        <v>0</v>
      </c>
      <c r="F56" s="1050">
        <v>7</v>
      </c>
      <c r="G56" s="1041">
        <v>7</v>
      </c>
      <c r="H56" s="1036">
        <v>41204</v>
      </c>
      <c r="I56" s="73"/>
      <c r="J56" s="72"/>
      <c r="K56" s="73"/>
      <c r="L56" s="72"/>
      <c r="M56" s="73"/>
      <c r="N56" s="66"/>
      <c r="O56" s="66"/>
      <c r="P56" s="66"/>
      <c r="Q56" s="668">
        <v>7</v>
      </c>
      <c r="R56" s="997">
        <v>41204</v>
      </c>
    </row>
    <row r="57" spans="1:18" ht="15" customHeight="1" x14ac:dyDescent="0.3">
      <c r="A57" s="96">
        <v>102</v>
      </c>
      <c r="B57" s="526">
        <v>31868</v>
      </c>
      <c r="C57" s="527" t="s">
        <v>52</v>
      </c>
      <c r="D57" s="73">
        <v>45348</v>
      </c>
      <c r="E57" s="801">
        <v>5</v>
      </c>
      <c r="F57" s="1050">
        <v>85</v>
      </c>
      <c r="G57" s="1041">
        <v>80</v>
      </c>
      <c r="H57" s="1036">
        <v>45029</v>
      </c>
      <c r="I57" s="76"/>
      <c r="J57" s="72"/>
      <c r="K57" s="76"/>
      <c r="L57" s="72"/>
      <c r="M57" s="76"/>
      <c r="N57" s="66"/>
      <c r="O57" s="66"/>
      <c r="P57" s="66"/>
      <c r="Q57" s="668">
        <v>82</v>
      </c>
      <c r="R57" s="997">
        <v>45029</v>
      </c>
    </row>
    <row r="58" spans="1:18" ht="15" customHeight="1" x14ac:dyDescent="0.3">
      <c r="A58" s="96">
        <v>105</v>
      </c>
      <c r="B58" s="526">
        <v>31868</v>
      </c>
      <c r="C58" s="527" t="s">
        <v>53</v>
      </c>
      <c r="D58" s="73">
        <v>45090</v>
      </c>
      <c r="E58" s="801">
        <v>1</v>
      </c>
      <c r="F58" s="1050">
        <v>27</v>
      </c>
      <c r="G58" s="1041">
        <v>26</v>
      </c>
      <c r="H58" s="1036">
        <v>41443</v>
      </c>
      <c r="I58" s="73"/>
      <c r="J58" s="72"/>
      <c r="K58" s="73"/>
      <c r="L58" s="72"/>
      <c r="M58" s="73"/>
      <c r="N58" s="66"/>
      <c r="O58" s="66"/>
      <c r="P58" s="66"/>
      <c r="Q58" s="668">
        <v>26</v>
      </c>
      <c r="R58" s="997">
        <v>41443</v>
      </c>
    </row>
    <row r="59" spans="1:18" ht="15" customHeight="1" x14ac:dyDescent="0.3">
      <c r="A59" s="96">
        <v>106</v>
      </c>
      <c r="B59" s="526">
        <v>31868</v>
      </c>
      <c r="C59" s="527" t="s">
        <v>54</v>
      </c>
      <c r="D59" s="73">
        <v>41901</v>
      </c>
      <c r="E59" s="801">
        <v>0</v>
      </c>
      <c r="F59" s="1050">
        <v>6</v>
      </c>
      <c r="G59" s="1041">
        <v>6</v>
      </c>
      <c r="H59" s="1036">
        <v>41901</v>
      </c>
      <c r="I59" s="73"/>
      <c r="J59" s="72"/>
      <c r="K59" s="73"/>
      <c r="L59" s="72"/>
      <c r="M59" s="73"/>
      <c r="N59" s="66"/>
      <c r="O59" s="66"/>
      <c r="P59" s="66"/>
      <c r="Q59" s="668">
        <v>6</v>
      </c>
      <c r="R59" s="997">
        <v>41901</v>
      </c>
    </row>
    <row r="60" spans="1:18" ht="15" customHeight="1" x14ac:dyDescent="0.3">
      <c r="A60" s="96">
        <v>110</v>
      </c>
      <c r="B60" s="526">
        <v>31868</v>
      </c>
      <c r="C60" s="527" t="s">
        <v>55</v>
      </c>
      <c r="D60" s="76">
        <v>38028</v>
      </c>
      <c r="E60" s="801">
        <v>0</v>
      </c>
      <c r="F60" s="1050">
        <v>14</v>
      </c>
      <c r="G60" s="1041">
        <v>14</v>
      </c>
      <c r="H60" s="1037">
        <v>38028</v>
      </c>
      <c r="I60" s="73"/>
      <c r="J60" s="72"/>
      <c r="K60" s="73"/>
      <c r="L60" s="72"/>
      <c r="M60" s="73"/>
      <c r="N60" s="66"/>
      <c r="O60" s="66"/>
      <c r="P60" s="66"/>
      <c r="Q60" s="668">
        <v>14</v>
      </c>
      <c r="R60" s="998">
        <v>38028</v>
      </c>
    </row>
    <row r="61" spans="1:18" ht="15" customHeight="1" x14ac:dyDescent="0.3">
      <c r="A61" s="96">
        <v>111</v>
      </c>
      <c r="B61" s="526">
        <v>31837</v>
      </c>
      <c r="C61" s="527" t="s">
        <v>56</v>
      </c>
      <c r="D61" s="73">
        <v>38210</v>
      </c>
      <c r="E61" s="801">
        <v>0</v>
      </c>
      <c r="F61" s="1050">
        <v>12</v>
      </c>
      <c r="G61" s="1041">
        <v>12</v>
      </c>
      <c r="H61" s="1036">
        <v>38210</v>
      </c>
      <c r="I61" s="73"/>
      <c r="J61" s="72"/>
      <c r="K61" s="73"/>
      <c r="L61" s="72"/>
      <c r="M61" s="73"/>
      <c r="N61" s="66"/>
      <c r="O61" s="66"/>
      <c r="P61" s="66"/>
      <c r="Q61" s="668">
        <v>12</v>
      </c>
      <c r="R61" s="997">
        <v>38210</v>
      </c>
    </row>
    <row r="62" spans="1:18" ht="15" customHeight="1" x14ac:dyDescent="0.3">
      <c r="A62" s="96">
        <v>116</v>
      </c>
      <c r="B62" s="526">
        <v>32264</v>
      </c>
      <c r="C62" s="527" t="s">
        <v>57</v>
      </c>
      <c r="D62" s="73">
        <v>35991</v>
      </c>
      <c r="E62" s="801">
        <v>0</v>
      </c>
      <c r="F62" s="1050">
        <v>5</v>
      </c>
      <c r="G62" s="1041">
        <v>5</v>
      </c>
      <c r="H62" s="1036">
        <v>35991</v>
      </c>
      <c r="I62" s="73"/>
      <c r="J62" s="72"/>
      <c r="K62" s="73"/>
      <c r="L62" s="72"/>
      <c r="M62" s="73"/>
      <c r="N62" s="66"/>
      <c r="O62" s="66"/>
      <c r="P62" s="66"/>
      <c r="Q62" s="668">
        <v>5</v>
      </c>
      <c r="R62" s="997">
        <v>35991</v>
      </c>
    </row>
    <row r="63" spans="1:18" ht="15" customHeight="1" x14ac:dyDescent="0.3">
      <c r="A63" s="96">
        <v>120</v>
      </c>
      <c r="B63" s="526">
        <v>31959</v>
      </c>
      <c r="C63" s="527" t="s">
        <v>58</v>
      </c>
      <c r="D63" s="73">
        <v>38028</v>
      </c>
      <c r="E63" s="801">
        <v>0</v>
      </c>
      <c r="F63" s="1050">
        <v>14</v>
      </c>
      <c r="G63" s="1041">
        <v>14</v>
      </c>
      <c r="H63" s="1036">
        <v>38028</v>
      </c>
      <c r="I63" s="73"/>
      <c r="J63" s="72"/>
      <c r="K63" s="73"/>
      <c r="L63" s="72"/>
      <c r="M63" s="73"/>
      <c r="N63" s="66"/>
      <c r="O63" s="66"/>
      <c r="P63" s="66"/>
      <c r="Q63" s="668">
        <v>14</v>
      </c>
      <c r="R63" s="997">
        <v>38028</v>
      </c>
    </row>
    <row r="64" spans="1:18" ht="15" customHeight="1" x14ac:dyDescent="0.3">
      <c r="A64" s="96">
        <v>121</v>
      </c>
      <c r="B64" s="526">
        <v>31959</v>
      </c>
      <c r="C64" s="527" t="s">
        <v>59</v>
      </c>
      <c r="D64" s="73">
        <v>45183</v>
      </c>
      <c r="E64" s="801">
        <v>1</v>
      </c>
      <c r="F64" s="1050">
        <v>50</v>
      </c>
      <c r="G64" s="1041">
        <v>49</v>
      </c>
      <c r="H64" s="1036">
        <v>43859</v>
      </c>
      <c r="I64" s="73"/>
      <c r="J64" s="72"/>
      <c r="K64" s="73"/>
      <c r="L64" s="72"/>
      <c r="M64" s="73"/>
      <c r="N64" s="66"/>
      <c r="O64" s="66"/>
      <c r="P64" s="66"/>
      <c r="Q64" s="668">
        <v>49</v>
      </c>
      <c r="R64" s="997">
        <v>43859</v>
      </c>
    </row>
    <row r="65" spans="1:18" ht="15" customHeight="1" x14ac:dyDescent="0.3">
      <c r="A65" s="96">
        <v>123</v>
      </c>
      <c r="B65" s="526">
        <v>31959</v>
      </c>
      <c r="C65" s="527" t="s">
        <v>60</v>
      </c>
      <c r="D65" s="76">
        <v>38028</v>
      </c>
      <c r="E65" s="801">
        <v>0</v>
      </c>
      <c r="F65" s="1050">
        <v>12</v>
      </c>
      <c r="G65" s="1041">
        <v>12</v>
      </c>
      <c r="H65" s="1037">
        <v>38028</v>
      </c>
      <c r="I65" s="76"/>
      <c r="J65" s="72"/>
      <c r="K65" s="76"/>
      <c r="L65" s="72"/>
      <c r="M65" s="76"/>
      <c r="N65" s="66"/>
      <c r="O65" s="66"/>
      <c r="P65" s="66"/>
      <c r="Q65" s="668">
        <v>12</v>
      </c>
      <c r="R65" s="998">
        <v>38028</v>
      </c>
    </row>
    <row r="66" spans="1:18" ht="15" customHeight="1" x14ac:dyDescent="0.3">
      <c r="A66" s="96">
        <v>124</v>
      </c>
      <c r="B66" s="526">
        <v>31959</v>
      </c>
      <c r="C66" s="527" t="s">
        <v>61</v>
      </c>
      <c r="D66" s="73">
        <v>45406</v>
      </c>
      <c r="E66" s="801">
        <v>5</v>
      </c>
      <c r="F66" s="1050">
        <v>97</v>
      </c>
      <c r="G66" s="1041">
        <v>92</v>
      </c>
      <c r="H66" s="1036">
        <v>44785</v>
      </c>
      <c r="I66" s="73"/>
      <c r="J66" s="72"/>
      <c r="K66" s="73"/>
      <c r="L66" s="72"/>
      <c r="M66" s="73"/>
      <c r="N66" s="66"/>
      <c r="O66" s="66"/>
      <c r="P66" s="66"/>
      <c r="Q66" s="668">
        <v>92</v>
      </c>
      <c r="R66" s="997">
        <v>44785</v>
      </c>
    </row>
    <row r="67" spans="1:18" ht="15" customHeight="1" x14ac:dyDescent="0.3">
      <c r="A67" s="96">
        <v>127</v>
      </c>
      <c r="B67" s="526">
        <v>32021</v>
      </c>
      <c r="C67" s="527" t="s">
        <v>62</v>
      </c>
      <c r="D67" s="73">
        <v>44362</v>
      </c>
      <c r="E67" s="801">
        <v>0</v>
      </c>
      <c r="F67" s="1050">
        <v>46</v>
      </c>
      <c r="G67" s="1041">
        <v>46</v>
      </c>
      <c r="H67" s="1036">
        <v>44362</v>
      </c>
      <c r="I67" s="73"/>
      <c r="J67" s="72"/>
      <c r="K67" s="73"/>
      <c r="L67" s="72"/>
      <c r="M67" s="73"/>
      <c r="N67" s="66"/>
      <c r="O67" s="66"/>
      <c r="P67" s="66"/>
      <c r="Q67" s="668">
        <v>46</v>
      </c>
      <c r="R67" s="997">
        <v>44362</v>
      </c>
    </row>
    <row r="68" spans="1:18" ht="15" customHeight="1" x14ac:dyDescent="0.3">
      <c r="A68" s="96">
        <v>128</v>
      </c>
      <c r="B68" s="526">
        <v>32021</v>
      </c>
      <c r="C68" s="527" t="s">
        <v>63</v>
      </c>
      <c r="D68" s="73">
        <v>43391</v>
      </c>
      <c r="E68" s="801">
        <v>0</v>
      </c>
      <c r="F68" s="1050">
        <v>14</v>
      </c>
      <c r="G68" s="1041">
        <v>14</v>
      </c>
      <c r="H68" s="1036">
        <v>43391</v>
      </c>
      <c r="I68" s="73"/>
      <c r="J68" s="72"/>
      <c r="K68" s="73"/>
      <c r="L68" s="72"/>
      <c r="M68" s="73"/>
      <c r="N68" s="66"/>
      <c r="O68" s="66"/>
      <c r="P68" s="66"/>
      <c r="Q68" s="668">
        <v>14</v>
      </c>
      <c r="R68" s="997">
        <v>43391</v>
      </c>
    </row>
    <row r="69" spans="1:18" ht="15" customHeight="1" x14ac:dyDescent="0.3">
      <c r="A69" s="96">
        <v>131</v>
      </c>
      <c r="B69" s="526">
        <v>32021</v>
      </c>
      <c r="C69" s="527" t="s">
        <v>64</v>
      </c>
      <c r="D69" s="73">
        <v>42060</v>
      </c>
      <c r="E69" s="801">
        <v>0</v>
      </c>
      <c r="F69" s="1050">
        <v>21</v>
      </c>
      <c r="G69" s="1041">
        <v>21</v>
      </c>
      <c r="H69" s="1036">
        <v>42060</v>
      </c>
      <c r="I69" s="73"/>
      <c r="J69" s="72"/>
      <c r="K69" s="73"/>
      <c r="L69" s="72"/>
      <c r="M69" s="73"/>
      <c r="N69" s="66"/>
      <c r="O69" s="66"/>
      <c r="P69" s="66"/>
      <c r="Q69" s="668">
        <v>21</v>
      </c>
      <c r="R69" s="997">
        <v>42060</v>
      </c>
    </row>
    <row r="70" spans="1:18" ht="15" customHeight="1" x14ac:dyDescent="0.3">
      <c r="A70" s="96">
        <v>132</v>
      </c>
      <c r="B70" s="526">
        <v>32021</v>
      </c>
      <c r="C70" s="527" t="s">
        <v>65</v>
      </c>
      <c r="D70" s="73">
        <v>44421</v>
      </c>
      <c r="E70" s="801">
        <v>0</v>
      </c>
      <c r="F70" s="1050">
        <v>17</v>
      </c>
      <c r="G70" s="1041">
        <v>17</v>
      </c>
      <c r="H70" s="1036">
        <v>44421</v>
      </c>
      <c r="I70" s="76"/>
      <c r="J70" s="72"/>
      <c r="K70" s="76"/>
      <c r="L70" s="72"/>
      <c r="M70" s="76"/>
      <c r="N70" s="66"/>
      <c r="O70" s="66"/>
      <c r="P70" s="66"/>
      <c r="Q70" s="668">
        <v>17</v>
      </c>
      <c r="R70" s="997">
        <v>44421</v>
      </c>
    </row>
    <row r="71" spans="1:18" ht="15" customHeight="1" x14ac:dyDescent="0.3">
      <c r="A71" s="96">
        <v>136</v>
      </c>
      <c r="B71" s="526">
        <v>32051</v>
      </c>
      <c r="C71" s="527" t="s">
        <v>66</v>
      </c>
      <c r="D71" s="73">
        <v>44614</v>
      </c>
      <c r="E71" s="801">
        <v>0</v>
      </c>
      <c r="F71" s="1050">
        <v>11</v>
      </c>
      <c r="G71" s="1041">
        <v>11</v>
      </c>
      <c r="H71" s="1036">
        <v>44614</v>
      </c>
      <c r="I71" s="73"/>
      <c r="J71" s="72"/>
      <c r="K71" s="73"/>
      <c r="L71" s="72"/>
      <c r="M71" s="73"/>
      <c r="N71" s="66"/>
      <c r="O71" s="66"/>
      <c r="P71" s="66"/>
      <c r="Q71" s="668">
        <v>11</v>
      </c>
      <c r="R71" s="997">
        <v>44614</v>
      </c>
    </row>
    <row r="72" spans="1:18" ht="15" customHeight="1" x14ac:dyDescent="0.3">
      <c r="A72" s="96">
        <v>138</v>
      </c>
      <c r="B72" s="526">
        <v>32051</v>
      </c>
      <c r="C72" s="527" t="s">
        <v>67</v>
      </c>
      <c r="D72" s="76">
        <v>45397</v>
      </c>
      <c r="E72" s="801">
        <v>1</v>
      </c>
      <c r="F72" s="1050">
        <v>7</v>
      </c>
      <c r="G72" s="1041">
        <v>6</v>
      </c>
      <c r="H72" s="1037">
        <v>38166</v>
      </c>
      <c r="I72" s="73"/>
      <c r="J72" s="72"/>
      <c r="K72" s="73"/>
      <c r="L72" s="72"/>
      <c r="M72" s="73"/>
      <c r="N72" s="66"/>
      <c r="O72" s="66"/>
      <c r="P72" s="66"/>
      <c r="Q72" s="668">
        <v>6</v>
      </c>
      <c r="R72" s="998">
        <v>38166</v>
      </c>
    </row>
    <row r="73" spans="1:18" ht="15" customHeight="1" x14ac:dyDescent="0.3">
      <c r="A73" s="96">
        <v>139</v>
      </c>
      <c r="B73" s="526">
        <v>32143</v>
      </c>
      <c r="C73" s="527" t="s">
        <v>56</v>
      </c>
      <c r="D73" s="73">
        <v>43859</v>
      </c>
      <c r="E73" s="801">
        <v>0</v>
      </c>
      <c r="F73" s="1050">
        <v>7</v>
      </c>
      <c r="G73" s="1041">
        <v>7</v>
      </c>
      <c r="H73" s="1036">
        <v>43859</v>
      </c>
      <c r="I73" s="73"/>
      <c r="J73" s="72"/>
      <c r="K73" s="73"/>
      <c r="L73" s="72"/>
      <c r="M73" s="73"/>
      <c r="N73" s="66"/>
      <c r="O73" s="66"/>
      <c r="P73" s="66"/>
      <c r="Q73" s="668">
        <v>7</v>
      </c>
      <c r="R73" s="997">
        <v>43859</v>
      </c>
    </row>
    <row r="74" spans="1:18" ht="15" customHeight="1" x14ac:dyDescent="0.3">
      <c r="A74" s="96">
        <v>140</v>
      </c>
      <c r="B74" s="526">
        <v>32143</v>
      </c>
      <c r="C74" s="527" t="s">
        <v>56</v>
      </c>
      <c r="D74" s="73">
        <v>38035</v>
      </c>
      <c r="E74" s="801">
        <v>0</v>
      </c>
      <c r="F74" s="1050">
        <v>2</v>
      </c>
      <c r="G74" s="1041">
        <v>2</v>
      </c>
      <c r="H74" s="1036">
        <v>38035</v>
      </c>
      <c r="I74" s="73"/>
      <c r="J74" s="72"/>
      <c r="K74" s="73"/>
      <c r="L74" s="72"/>
      <c r="M74" s="73"/>
      <c r="N74" s="66"/>
      <c r="O74" s="66"/>
      <c r="P74" s="66"/>
      <c r="Q74" s="668">
        <v>2</v>
      </c>
      <c r="R74" s="997">
        <v>38035</v>
      </c>
    </row>
    <row r="75" spans="1:18" ht="15" customHeight="1" x14ac:dyDescent="0.3">
      <c r="A75" s="96">
        <v>141</v>
      </c>
      <c r="B75" s="526">
        <v>32143</v>
      </c>
      <c r="C75" s="527" t="s">
        <v>56</v>
      </c>
      <c r="D75" s="73">
        <v>45397</v>
      </c>
      <c r="E75" s="801">
        <v>1</v>
      </c>
      <c r="F75" s="1050">
        <v>6</v>
      </c>
      <c r="G75" s="1041">
        <v>5</v>
      </c>
      <c r="H75" s="1036">
        <v>44186</v>
      </c>
      <c r="I75" s="73"/>
      <c r="J75" s="72"/>
      <c r="K75" s="73"/>
      <c r="L75" s="72"/>
      <c r="M75" s="73"/>
      <c r="N75" s="66"/>
      <c r="O75" s="66"/>
      <c r="P75" s="66"/>
      <c r="Q75" s="668">
        <v>5</v>
      </c>
      <c r="R75" s="997">
        <v>44186</v>
      </c>
    </row>
    <row r="76" spans="1:18" ht="15" customHeight="1" x14ac:dyDescent="0.3">
      <c r="A76" s="96">
        <v>142</v>
      </c>
      <c r="B76" s="526">
        <v>32143</v>
      </c>
      <c r="C76" s="527" t="s">
        <v>56</v>
      </c>
      <c r="D76" s="73">
        <v>38035</v>
      </c>
      <c r="E76" s="801">
        <v>0</v>
      </c>
      <c r="F76" s="1050">
        <v>2</v>
      </c>
      <c r="G76" s="1041">
        <v>2</v>
      </c>
      <c r="H76" s="1036">
        <v>38035</v>
      </c>
      <c r="I76" s="73"/>
      <c r="J76" s="72"/>
      <c r="K76" s="73"/>
      <c r="L76" s="72"/>
      <c r="M76" s="73"/>
      <c r="N76" s="66"/>
      <c r="O76" s="66"/>
      <c r="P76" s="66"/>
      <c r="Q76" s="668">
        <v>2</v>
      </c>
      <c r="R76" s="997">
        <v>38035</v>
      </c>
    </row>
    <row r="77" spans="1:18" ht="15" customHeight="1" x14ac:dyDescent="0.3">
      <c r="A77" s="96">
        <v>143</v>
      </c>
      <c r="B77" s="526">
        <v>32143</v>
      </c>
      <c r="C77" s="527" t="s">
        <v>56</v>
      </c>
      <c r="D77" s="73">
        <v>38035</v>
      </c>
      <c r="E77" s="801">
        <v>0</v>
      </c>
      <c r="F77" s="1050">
        <v>3</v>
      </c>
      <c r="G77" s="1041">
        <v>3</v>
      </c>
      <c r="H77" s="1036">
        <v>38035</v>
      </c>
      <c r="I77" s="76"/>
      <c r="J77" s="72"/>
      <c r="K77" s="76"/>
      <c r="L77" s="72"/>
      <c r="M77" s="76"/>
      <c r="N77" s="66"/>
      <c r="O77" s="66"/>
      <c r="P77" s="66"/>
      <c r="Q77" s="668">
        <v>3</v>
      </c>
      <c r="R77" s="997">
        <v>38035</v>
      </c>
    </row>
    <row r="78" spans="1:18" ht="15" customHeight="1" x14ac:dyDescent="0.3">
      <c r="A78" s="96">
        <v>144</v>
      </c>
      <c r="B78" s="526">
        <v>32143</v>
      </c>
      <c r="C78" s="527" t="s">
        <v>56</v>
      </c>
      <c r="D78" s="73">
        <v>40822</v>
      </c>
      <c r="E78" s="801">
        <v>0</v>
      </c>
      <c r="F78" s="1050">
        <v>4</v>
      </c>
      <c r="G78" s="1041">
        <v>4</v>
      </c>
      <c r="H78" s="1036">
        <v>40822</v>
      </c>
      <c r="I78" s="73"/>
      <c r="J78" s="72"/>
      <c r="K78" s="73"/>
      <c r="L78" s="72"/>
      <c r="M78" s="73"/>
      <c r="N78" s="66"/>
      <c r="O78" s="66"/>
      <c r="P78" s="66"/>
      <c r="Q78" s="668">
        <v>4</v>
      </c>
      <c r="R78" s="997">
        <v>40822</v>
      </c>
    </row>
    <row r="79" spans="1:18" ht="15" customHeight="1" x14ac:dyDescent="0.3">
      <c r="A79" s="96">
        <v>145</v>
      </c>
      <c r="B79" s="526">
        <v>32143</v>
      </c>
      <c r="C79" s="527" t="s">
        <v>56</v>
      </c>
      <c r="D79" s="73">
        <v>40008</v>
      </c>
      <c r="E79" s="801">
        <v>0</v>
      </c>
      <c r="F79" s="1050">
        <v>3</v>
      </c>
      <c r="G79" s="1041">
        <v>3</v>
      </c>
      <c r="H79" s="1036">
        <v>40008</v>
      </c>
      <c r="I79" s="73"/>
      <c r="J79" s="72"/>
      <c r="K79" s="73"/>
      <c r="L79" s="72"/>
      <c r="M79" s="73"/>
      <c r="N79" s="66"/>
      <c r="O79" s="66"/>
      <c r="P79" s="66"/>
      <c r="Q79" s="668">
        <v>3</v>
      </c>
      <c r="R79" s="997">
        <v>40008</v>
      </c>
    </row>
    <row r="80" spans="1:18" ht="15" customHeight="1" x14ac:dyDescent="0.3">
      <c r="A80" s="96">
        <v>146</v>
      </c>
      <c r="B80" s="526">
        <v>32143</v>
      </c>
      <c r="C80" s="527" t="s">
        <v>56</v>
      </c>
      <c r="D80" s="73">
        <v>38035</v>
      </c>
      <c r="E80" s="801">
        <v>0</v>
      </c>
      <c r="F80" s="1050">
        <v>2</v>
      </c>
      <c r="G80" s="1041">
        <v>2</v>
      </c>
      <c r="H80" s="1036">
        <v>38035</v>
      </c>
      <c r="I80" s="73"/>
      <c r="J80" s="72"/>
      <c r="K80" s="73"/>
      <c r="L80" s="72"/>
      <c r="M80" s="73"/>
      <c r="N80" s="66"/>
      <c r="O80" s="66"/>
      <c r="P80" s="66"/>
      <c r="Q80" s="668">
        <v>2</v>
      </c>
      <c r="R80" s="997">
        <v>38035</v>
      </c>
    </row>
    <row r="81" spans="1:18" ht="15" customHeight="1" x14ac:dyDescent="0.3">
      <c r="A81" s="96">
        <v>147</v>
      </c>
      <c r="B81" s="526">
        <v>32143</v>
      </c>
      <c r="C81" s="527" t="s">
        <v>56</v>
      </c>
      <c r="D81" s="73">
        <v>43125</v>
      </c>
      <c r="E81" s="801">
        <v>0</v>
      </c>
      <c r="F81" s="1050">
        <v>3</v>
      </c>
      <c r="G81" s="1041">
        <v>3</v>
      </c>
      <c r="H81" s="1036">
        <v>43125</v>
      </c>
      <c r="I81" s="73"/>
      <c r="J81" s="72"/>
      <c r="K81" s="73"/>
      <c r="L81" s="72"/>
      <c r="M81" s="73"/>
      <c r="N81" s="66"/>
      <c r="O81" s="66"/>
      <c r="P81" s="66"/>
      <c r="Q81" s="668">
        <v>3</v>
      </c>
      <c r="R81" s="997">
        <v>43125</v>
      </c>
    </row>
    <row r="82" spans="1:18" ht="15" customHeight="1" x14ac:dyDescent="0.3">
      <c r="A82" s="96">
        <v>153</v>
      </c>
      <c r="B82" s="526">
        <v>32112</v>
      </c>
      <c r="C82" s="527" t="s">
        <v>68</v>
      </c>
      <c r="D82" s="73">
        <v>42688</v>
      </c>
      <c r="E82" s="801">
        <v>0</v>
      </c>
      <c r="F82" s="1050">
        <v>11</v>
      </c>
      <c r="G82" s="1041">
        <v>11</v>
      </c>
      <c r="H82" s="1036">
        <v>42688</v>
      </c>
      <c r="I82" s="73"/>
      <c r="J82" s="72"/>
      <c r="K82" s="73"/>
      <c r="L82" s="72"/>
      <c r="M82" s="73"/>
      <c r="N82" s="66"/>
      <c r="O82" s="66"/>
      <c r="P82" s="66"/>
      <c r="Q82" s="668">
        <v>11</v>
      </c>
      <c r="R82" s="997">
        <v>42688</v>
      </c>
    </row>
    <row r="83" spans="1:18" ht="15" customHeight="1" x14ac:dyDescent="0.3">
      <c r="A83" s="96">
        <v>157</v>
      </c>
      <c r="B83" s="526">
        <v>32203</v>
      </c>
      <c r="C83" s="527" t="s">
        <v>69</v>
      </c>
      <c r="D83" s="73">
        <v>40476</v>
      </c>
      <c r="E83" s="801">
        <v>0</v>
      </c>
      <c r="F83" s="1050">
        <v>13</v>
      </c>
      <c r="G83" s="1041">
        <v>13</v>
      </c>
      <c r="H83" s="1036">
        <v>40476</v>
      </c>
      <c r="I83" s="73"/>
      <c r="J83" s="72"/>
      <c r="K83" s="73"/>
      <c r="L83" s="72"/>
      <c r="M83" s="73"/>
      <c r="N83" s="66"/>
      <c r="O83" s="66"/>
      <c r="P83" s="66"/>
      <c r="Q83" s="668">
        <v>13</v>
      </c>
      <c r="R83" s="997">
        <v>40476</v>
      </c>
    </row>
    <row r="84" spans="1:18" ht="15" customHeight="1" x14ac:dyDescent="0.3">
      <c r="A84" s="96">
        <v>158</v>
      </c>
      <c r="B84" s="526">
        <v>32234</v>
      </c>
      <c r="C84" s="527" t="s">
        <v>70</v>
      </c>
      <c r="D84" s="73">
        <v>45128</v>
      </c>
      <c r="E84" s="801">
        <v>2</v>
      </c>
      <c r="F84" s="1050">
        <v>74</v>
      </c>
      <c r="G84" s="1041">
        <v>72</v>
      </c>
      <c r="H84" s="1036">
        <v>44812</v>
      </c>
      <c r="I84" s="73"/>
      <c r="J84" s="72"/>
      <c r="K84" s="73"/>
      <c r="L84" s="72"/>
      <c r="M84" s="73"/>
      <c r="N84" s="66"/>
      <c r="O84" s="66"/>
      <c r="P84" s="66"/>
      <c r="Q84" s="668">
        <v>72</v>
      </c>
      <c r="R84" s="997">
        <v>44812</v>
      </c>
    </row>
    <row r="85" spans="1:18" ht="15" customHeight="1" x14ac:dyDescent="0.3">
      <c r="A85" s="96">
        <v>160</v>
      </c>
      <c r="B85" s="526">
        <v>32264</v>
      </c>
      <c r="C85" s="527" t="s">
        <v>71</v>
      </c>
      <c r="D85" s="73">
        <v>45169</v>
      </c>
      <c r="E85" s="801">
        <v>2</v>
      </c>
      <c r="F85" s="1050">
        <v>162</v>
      </c>
      <c r="G85" s="1041">
        <v>160</v>
      </c>
      <c r="H85" s="1036">
        <v>45001</v>
      </c>
      <c r="I85" s="73"/>
      <c r="J85" s="72"/>
      <c r="K85" s="73"/>
      <c r="L85" s="72"/>
      <c r="M85" s="73"/>
      <c r="N85" s="66"/>
      <c r="O85" s="66"/>
      <c r="P85" s="66"/>
      <c r="Q85" s="668">
        <v>161</v>
      </c>
      <c r="R85" s="997">
        <v>45001</v>
      </c>
    </row>
    <row r="86" spans="1:18" ht="15" customHeight="1" x14ac:dyDescent="0.3">
      <c r="A86" s="96">
        <v>162</v>
      </c>
      <c r="B86" s="526">
        <v>32264</v>
      </c>
      <c r="C86" s="527" t="s">
        <v>72</v>
      </c>
      <c r="D86" s="73">
        <v>45237</v>
      </c>
      <c r="E86" s="801">
        <v>2</v>
      </c>
      <c r="F86" s="1050">
        <v>50</v>
      </c>
      <c r="G86" s="1041">
        <v>48</v>
      </c>
      <c r="H86" s="1036">
        <v>44980</v>
      </c>
      <c r="I86" s="73"/>
      <c r="J86" s="72"/>
      <c r="K86" s="73"/>
      <c r="L86" s="72"/>
      <c r="M86" s="73"/>
      <c r="N86" s="66"/>
      <c r="O86" s="66"/>
      <c r="P86" s="66"/>
      <c r="Q86" s="668">
        <v>49</v>
      </c>
      <c r="R86" s="997">
        <v>44980</v>
      </c>
    </row>
    <row r="87" spans="1:18" ht="15" customHeight="1" x14ac:dyDescent="0.3">
      <c r="A87" s="96">
        <v>167</v>
      </c>
      <c r="B87" s="526">
        <v>32295</v>
      </c>
      <c r="C87" s="527" t="s">
        <v>73</v>
      </c>
      <c r="D87" s="73">
        <v>36144</v>
      </c>
      <c r="E87" s="801">
        <v>0</v>
      </c>
      <c r="F87" s="1050">
        <v>4</v>
      </c>
      <c r="G87" s="1041">
        <v>4</v>
      </c>
      <c r="H87" s="1036">
        <v>36144</v>
      </c>
      <c r="I87" s="73"/>
      <c r="J87" s="72"/>
      <c r="K87" s="73"/>
      <c r="L87" s="72"/>
      <c r="M87" s="73"/>
      <c r="N87" s="66"/>
      <c r="O87" s="66"/>
      <c r="P87" s="66"/>
      <c r="Q87" s="668">
        <v>4</v>
      </c>
      <c r="R87" s="997">
        <v>36144</v>
      </c>
    </row>
    <row r="88" spans="1:18" ht="15" customHeight="1" x14ac:dyDescent="0.3">
      <c r="A88" s="96">
        <v>168</v>
      </c>
      <c r="B88" s="526">
        <v>32295</v>
      </c>
      <c r="C88" s="527" t="s">
        <v>73</v>
      </c>
      <c r="D88" s="73">
        <v>42060</v>
      </c>
      <c r="E88" s="801">
        <v>0</v>
      </c>
      <c r="F88" s="1050">
        <v>6</v>
      </c>
      <c r="G88" s="1041">
        <v>6</v>
      </c>
      <c r="H88" s="1036">
        <v>42060</v>
      </c>
      <c r="I88" s="73"/>
      <c r="J88" s="72"/>
      <c r="K88" s="73"/>
      <c r="L88" s="72"/>
      <c r="M88" s="73"/>
      <c r="N88" s="66"/>
      <c r="O88" s="66"/>
      <c r="P88" s="66"/>
      <c r="Q88" s="668">
        <v>6</v>
      </c>
      <c r="R88" s="997">
        <v>42060</v>
      </c>
    </row>
    <row r="89" spans="1:18" ht="15" customHeight="1" x14ac:dyDescent="0.3">
      <c r="A89" s="96">
        <v>169</v>
      </c>
      <c r="B89" s="526">
        <v>32356</v>
      </c>
      <c r="C89" s="527" t="s">
        <v>74</v>
      </c>
      <c r="D89" s="73">
        <v>45397</v>
      </c>
      <c r="E89" s="801">
        <v>2</v>
      </c>
      <c r="F89" s="1050">
        <v>49</v>
      </c>
      <c r="G89" s="1041">
        <v>47</v>
      </c>
      <c r="H89" s="1036">
        <v>44735</v>
      </c>
      <c r="I89" s="73"/>
      <c r="J89" s="72"/>
      <c r="K89" s="73"/>
      <c r="L89" s="72"/>
      <c r="M89" s="73"/>
      <c r="N89" s="66"/>
      <c r="O89" s="66"/>
      <c r="P89" s="66"/>
      <c r="Q89" s="668">
        <v>47</v>
      </c>
      <c r="R89" s="997">
        <v>44735</v>
      </c>
    </row>
    <row r="90" spans="1:18" ht="15" customHeight="1" x14ac:dyDescent="0.3">
      <c r="A90" s="96">
        <v>172</v>
      </c>
      <c r="B90" s="526">
        <v>32325</v>
      </c>
      <c r="C90" s="527" t="s">
        <v>73</v>
      </c>
      <c r="D90" s="73">
        <v>36144</v>
      </c>
      <c r="E90" s="801">
        <v>0</v>
      </c>
      <c r="F90" s="1050">
        <v>4</v>
      </c>
      <c r="G90" s="1041">
        <v>4</v>
      </c>
      <c r="H90" s="1036">
        <v>36144</v>
      </c>
      <c r="I90" s="73"/>
      <c r="J90" s="72"/>
      <c r="K90" s="73"/>
      <c r="L90" s="72"/>
      <c r="M90" s="73"/>
      <c r="N90" s="66"/>
      <c r="O90" s="66"/>
      <c r="P90" s="66"/>
      <c r="Q90" s="668">
        <v>4</v>
      </c>
      <c r="R90" s="997">
        <v>36144</v>
      </c>
    </row>
    <row r="91" spans="1:18" ht="15" customHeight="1" x14ac:dyDescent="0.3">
      <c r="A91" s="96">
        <v>174</v>
      </c>
      <c r="B91" s="526">
        <v>32356</v>
      </c>
      <c r="C91" s="527" t="s">
        <v>73</v>
      </c>
      <c r="D91" s="73">
        <v>37593</v>
      </c>
      <c r="E91" s="801">
        <v>0</v>
      </c>
      <c r="F91" s="1050">
        <v>4</v>
      </c>
      <c r="G91" s="1041">
        <v>4</v>
      </c>
      <c r="H91" s="1036">
        <v>37593</v>
      </c>
      <c r="I91" s="73"/>
      <c r="J91" s="72"/>
      <c r="K91" s="73"/>
      <c r="L91" s="72"/>
      <c r="M91" s="73"/>
      <c r="N91" s="66"/>
      <c r="O91" s="66"/>
      <c r="P91" s="66"/>
      <c r="Q91" s="668">
        <v>4</v>
      </c>
      <c r="R91" s="997">
        <v>37593</v>
      </c>
    </row>
    <row r="92" spans="1:18" ht="15" customHeight="1" x14ac:dyDescent="0.3">
      <c r="A92" s="96">
        <v>175</v>
      </c>
      <c r="B92" s="526">
        <v>32448</v>
      </c>
      <c r="C92" s="527" t="s">
        <v>75</v>
      </c>
      <c r="D92" s="76">
        <v>43859</v>
      </c>
      <c r="E92" s="801">
        <v>0</v>
      </c>
      <c r="F92" s="1050">
        <v>5</v>
      </c>
      <c r="G92" s="1041">
        <v>5</v>
      </c>
      <c r="H92" s="1037">
        <v>43859</v>
      </c>
      <c r="I92" s="73"/>
      <c r="J92" s="72"/>
      <c r="K92" s="73"/>
      <c r="L92" s="72"/>
      <c r="M92" s="73"/>
      <c r="N92" s="66"/>
      <c r="O92" s="66"/>
      <c r="P92" s="66"/>
      <c r="Q92" s="668">
        <v>5</v>
      </c>
      <c r="R92" s="998">
        <v>43859</v>
      </c>
    </row>
    <row r="93" spans="1:18" ht="15" customHeight="1" x14ac:dyDescent="0.3">
      <c r="A93" s="96">
        <v>177</v>
      </c>
      <c r="B93" s="526">
        <v>32448</v>
      </c>
      <c r="C93" s="527" t="s">
        <v>76</v>
      </c>
      <c r="D93" s="76">
        <v>43859</v>
      </c>
      <c r="E93" s="801">
        <v>0</v>
      </c>
      <c r="F93" s="1050">
        <v>12</v>
      </c>
      <c r="G93" s="1041">
        <v>12</v>
      </c>
      <c r="H93" s="1037">
        <v>43859</v>
      </c>
      <c r="I93" s="73"/>
      <c r="J93" s="72"/>
      <c r="K93" s="73"/>
      <c r="L93" s="72"/>
      <c r="M93" s="73"/>
      <c r="N93" s="66"/>
      <c r="O93" s="66"/>
      <c r="P93" s="66"/>
      <c r="Q93" s="668">
        <v>12</v>
      </c>
      <c r="R93" s="998">
        <v>43859</v>
      </c>
    </row>
    <row r="94" spans="1:18" ht="15" customHeight="1" x14ac:dyDescent="0.3">
      <c r="A94" s="96">
        <v>178</v>
      </c>
      <c r="B94" s="526">
        <v>32448</v>
      </c>
      <c r="C94" s="527" t="s">
        <v>77</v>
      </c>
      <c r="D94" s="76">
        <v>45229</v>
      </c>
      <c r="E94" s="801">
        <v>2</v>
      </c>
      <c r="F94" s="1050">
        <v>46</v>
      </c>
      <c r="G94" s="1041">
        <v>44</v>
      </c>
      <c r="H94" s="1037">
        <v>44861</v>
      </c>
      <c r="I94" s="73"/>
      <c r="J94" s="72"/>
      <c r="K94" s="73"/>
      <c r="L94" s="72"/>
      <c r="M94" s="73"/>
      <c r="N94" s="66"/>
      <c r="O94" s="66"/>
      <c r="P94" s="66"/>
      <c r="Q94" s="668">
        <v>44</v>
      </c>
      <c r="R94" s="998">
        <v>44861</v>
      </c>
    </row>
    <row r="95" spans="1:18" ht="15" customHeight="1" x14ac:dyDescent="0.3">
      <c r="A95" s="96">
        <v>183</v>
      </c>
      <c r="B95" s="526">
        <v>32448</v>
      </c>
      <c r="C95" s="527" t="s">
        <v>78</v>
      </c>
      <c r="D95" s="73">
        <v>39120</v>
      </c>
      <c r="E95" s="801">
        <v>0</v>
      </c>
      <c r="F95" s="1050">
        <v>10</v>
      </c>
      <c r="G95" s="1041">
        <v>10</v>
      </c>
      <c r="H95" s="1036">
        <v>39120</v>
      </c>
      <c r="I95" s="73"/>
      <c r="J95" s="72"/>
      <c r="K95" s="73"/>
      <c r="L95" s="72"/>
      <c r="M95" s="73"/>
      <c r="N95" s="66"/>
      <c r="O95" s="66"/>
      <c r="P95" s="66"/>
      <c r="Q95" s="668">
        <v>10</v>
      </c>
      <c r="R95" s="997">
        <v>39120</v>
      </c>
    </row>
    <row r="96" spans="1:18" ht="15" customHeight="1" x14ac:dyDescent="0.3">
      <c r="A96" s="96">
        <v>188</v>
      </c>
      <c r="B96" s="526">
        <v>32448</v>
      </c>
      <c r="C96" s="527" t="s">
        <v>79</v>
      </c>
      <c r="D96" s="73">
        <v>42881</v>
      </c>
      <c r="E96" s="801">
        <v>0</v>
      </c>
      <c r="F96" s="1050">
        <v>5</v>
      </c>
      <c r="G96" s="1041">
        <v>5</v>
      </c>
      <c r="H96" s="1036">
        <v>42881</v>
      </c>
      <c r="I96" s="73"/>
      <c r="J96" s="72"/>
      <c r="K96" s="73"/>
      <c r="L96" s="72"/>
      <c r="M96" s="73"/>
      <c r="N96" s="66"/>
      <c r="O96" s="66"/>
      <c r="P96" s="66"/>
      <c r="Q96" s="668">
        <v>5</v>
      </c>
      <c r="R96" s="997">
        <v>42881</v>
      </c>
    </row>
    <row r="97" spans="1:18" ht="15" customHeight="1" x14ac:dyDescent="0.3">
      <c r="A97" s="96">
        <v>189</v>
      </c>
      <c r="B97" s="526">
        <v>32448</v>
      </c>
      <c r="C97" s="527" t="s">
        <v>80</v>
      </c>
      <c r="D97" s="73">
        <v>42948</v>
      </c>
      <c r="E97" s="801">
        <v>0</v>
      </c>
      <c r="F97" s="1050">
        <v>6</v>
      </c>
      <c r="G97" s="1041">
        <v>6</v>
      </c>
      <c r="H97" s="1036">
        <v>42948</v>
      </c>
      <c r="I97" s="76"/>
      <c r="J97" s="72"/>
      <c r="K97" s="76"/>
      <c r="L97" s="72"/>
      <c r="M97" s="76"/>
      <c r="N97" s="66"/>
      <c r="O97" s="66"/>
      <c r="P97" s="66"/>
      <c r="Q97" s="668">
        <v>6</v>
      </c>
      <c r="R97" s="997">
        <v>42948</v>
      </c>
    </row>
    <row r="98" spans="1:18" ht="15" customHeight="1" x14ac:dyDescent="0.3">
      <c r="A98" s="96">
        <v>190</v>
      </c>
      <c r="B98" s="526">
        <v>32448</v>
      </c>
      <c r="C98" s="527" t="s">
        <v>81</v>
      </c>
      <c r="D98" s="73">
        <v>44595</v>
      </c>
      <c r="E98" s="801">
        <v>0</v>
      </c>
      <c r="F98" s="1050">
        <v>13</v>
      </c>
      <c r="G98" s="1041">
        <v>13</v>
      </c>
      <c r="H98" s="1036">
        <v>44595</v>
      </c>
      <c r="I98" s="76"/>
      <c r="J98" s="72"/>
      <c r="K98" s="76"/>
      <c r="L98" s="72"/>
      <c r="M98" s="76"/>
      <c r="N98" s="66"/>
      <c r="O98" s="66"/>
      <c r="P98" s="66"/>
      <c r="Q98" s="668">
        <v>13</v>
      </c>
      <c r="R98" s="997">
        <v>44595</v>
      </c>
    </row>
    <row r="99" spans="1:18" ht="15" customHeight="1" x14ac:dyDescent="0.3">
      <c r="A99" s="96">
        <v>192</v>
      </c>
      <c r="B99" s="526">
        <v>32448</v>
      </c>
      <c r="C99" s="527" t="s">
        <v>82</v>
      </c>
      <c r="D99" s="73">
        <v>42046</v>
      </c>
      <c r="E99" s="801">
        <v>0</v>
      </c>
      <c r="F99" s="1050">
        <v>10</v>
      </c>
      <c r="G99" s="1041">
        <v>10</v>
      </c>
      <c r="H99" s="1036">
        <v>42046</v>
      </c>
      <c r="I99" s="76"/>
      <c r="J99" s="72"/>
      <c r="K99" s="76"/>
      <c r="L99" s="72"/>
      <c r="M99" s="76"/>
      <c r="N99" s="66"/>
      <c r="O99" s="66"/>
      <c r="P99" s="66"/>
      <c r="Q99" s="668">
        <v>10</v>
      </c>
      <c r="R99" s="997">
        <v>42046</v>
      </c>
    </row>
    <row r="100" spans="1:18" ht="15" customHeight="1" x14ac:dyDescent="0.3">
      <c r="A100" s="96">
        <v>194</v>
      </c>
      <c r="B100" s="526">
        <v>32448</v>
      </c>
      <c r="C100" s="527" t="s">
        <v>83</v>
      </c>
      <c r="D100" s="73">
        <v>42046</v>
      </c>
      <c r="E100" s="801">
        <v>0</v>
      </c>
      <c r="F100" s="1050">
        <v>10</v>
      </c>
      <c r="G100" s="1041">
        <v>10</v>
      </c>
      <c r="H100" s="1036">
        <v>42046</v>
      </c>
      <c r="I100" s="73"/>
      <c r="J100" s="72"/>
      <c r="K100" s="73"/>
      <c r="L100" s="72"/>
      <c r="M100" s="73"/>
      <c r="N100" s="66"/>
      <c r="O100" s="66"/>
      <c r="P100" s="66"/>
      <c r="Q100" s="668">
        <v>10</v>
      </c>
      <c r="R100" s="997">
        <v>42046</v>
      </c>
    </row>
    <row r="101" spans="1:18" ht="15" customHeight="1" x14ac:dyDescent="0.3">
      <c r="A101" s="96">
        <v>195</v>
      </c>
      <c r="B101" s="526">
        <v>32448</v>
      </c>
      <c r="C101" s="527" t="s">
        <v>84</v>
      </c>
      <c r="D101" s="73">
        <v>34576</v>
      </c>
      <c r="E101" s="801">
        <v>0</v>
      </c>
      <c r="F101" s="1050">
        <v>7</v>
      </c>
      <c r="G101" s="1041">
        <v>7</v>
      </c>
      <c r="H101" s="1036">
        <v>34576</v>
      </c>
      <c r="I101" s="73"/>
      <c r="J101" s="72"/>
      <c r="K101" s="73"/>
      <c r="L101" s="72"/>
      <c r="M101" s="73"/>
      <c r="N101" s="66"/>
      <c r="O101" s="66"/>
      <c r="P101" s="66"/>
      <c r="Q101" s="668">
        <v>7</v>
      </c>
      <c r="R101" s="997">
        <v>34576</v>
      </c>
    </row>
    <row r="102" spans="1:18" ht="15" customHeight="1" x14ac:dyDescent="0.3">
      <c r="A102" s="96">
        <v>196</v>
      </c>
      <c r="B102" s="526">
        <v>32448</v>
      </c>
      <c r="C102" s="527" t="s">
        <v>85</v>
      </c>
      <c r="D102" s="73">
        <v>43042</v>
      </c>
      <c r="E102" s="801">
        <v>0</v>
      </c>
      <c r="F102" s="1050">
        <v>9</v>
      </c>
      <c r="G102" s="1041">
        <v>9</v>
      </c>
      <c r="H102" s="1036">
        <v>43042</v>
      </c>
      <c r="I102" s="73"/>
      <c r="J102" s="72"/>
      <c r="K102" s="73"/>
      <c r="L102" s="72"/>
      <c r="M102" s="73"/>
      <c r="N102" s="66"/>
      <c r="O102" s="66"/>
      <c r="P102" s="66"/>
      <c r="Q102" s="668">
        <v>9</v>
      </c>
      <c r="R102" s="997">
        <v>43042</v>
      </c>
    </row>
    <row r="103" spans="1:18" ht="15" customHeight="1" x14ac:dyDescent="0.3">
      <c r="A103" s="96">
        <v>197</v>
      </c>
      <c r="B103" s="526">
        <v>32448</v>
      </c>
      <c r="C103" s="527" t="s">
        <v>86</v>
      </c>
      <c r="D103" s="73">
        <v>44739</v>
      </c>
      <c r="E103" s="801">
        <v>0</v>
      </c>
      <c r="F103" s="1050">
        <v>27</v>
      </c>
      <c r="G103" s="1041">
        <v>27</v>
      </c>
      <c r="H103" s="1036">
        <v>44739</v>
      </c>
      <c r="I103" s="73"/>
      <c r="J103" s="72"/>
      <c r="K103" s="73"/>
      <c r="L103" s="72"/>
      <c r="M103" s="73"/>
      <c r="N103" s="66"/>
      <c r="O103" s="66"/>
      <c r="P103" s="66"/>
      <c r="Q103" s="668">
        <v>27</v>
      </c>
      <c r="R103" s="997">
        <v>44739</v>
      </c>
    </row>
    <row r="104" spans="1:18" ht="15" customHeight="1" x14ac:dyDescent="0.3">
      <c r="A104" s="96">
        <v>243</v>
      </c>
      <c r="B104" s="526">
        <v>32933</v>
      </c>
      <c r="C104" s="527" t="s">
        <v>87</v>
      </c>
      <c r="D104" s="73">
        <v>45335</v>
      </c>
      <c r="E104" s="801">
        <v>4</v>
      </c>
      <c r="F104" s="1050">
        <v>123</v>
      </c>
      <c r="G104" s="1041">
        <v>119</v>
      </c>
      <c r="H104" s="1036">
        <v>44748</v>
      </c>
      <c r="I104" s="73"/>
      <c r="J104" s="72"/>
      <c r="K104" s="73"/>
      <c r="L104" s="72"/>
      <c r="M104" s="73"/>
      <c r="N104" s="66"/>
      <c r="O104" s="66"/>
      <c r="P104" s="66"/>
      <c r="Q104" s="668">
        <v>119</v>
      </c>
      <c r="R104" s="997">
        <v>44748</v>
      </c>
    </row>
    <row r="105" spans="1:18" ht="15" customHeight="1" x14ac:dyDescent="0.3">
      <c r="A105" s="96">
        <v>244</v>
      </c>
      <c r="B105" s="526">
        <v>32933</v>
      </c>
      <c r="C105" s="527" t="s">
        <v>88</v>
      </c>
      <c r="D105" s="76">
        <v>45397</v>
      </c>
      <c r="E105" s="801">
        <v>1</v>
      </c>
      <c r="F105" s="1050">
        <v>14</v>
      </c>
      <c r="G105" s="1041">
        <v>13</v>
      </c>
      <c r="H105" s="1037">
        <v>37784</v>
      </c>
      <c r="I105" s="73"/>
      <c r="J105" s="72"/>
      <c r="K105" s="73"/>
      <c r="L105" s="72"/>
      <c r="M105" s="73"/>
      <c r="N105" s="66"/>
      <c r="O105" s="66"/>
      <c r="P105" s="66"/>
      <c r="Q105" s="668">
        <v>13</v>
      </c>
      <c r="R105" s="998">
        <v>37784</v>
      </c>
    </row>
    <row r="106" spans="1:18" ht="15" customHeight="1" x14ac:dyDescent="0.3">
      <c r="A106" s="96">
        <v>248</v>
      </c>
      <c r="B106" s="526">
        <v>33178</v>
      </c>
      <c r="C106" s="527" t="s">
        <v>10</v>
      </c>
      <c r="D106" s="73">
        <v>38098</v>
      </c>
      <c r="E106" s="801">
        <v>0</v>
      </c>
      <c r="F106" s="1050">
        <v>3</v>
      </c>
      <c r="G106" s="1041">
        <v>3</v>
      </c>
      <c r="H106" s="1036">
        <v>38098</v>
      </c>
      <c r="I106" s="73"/>
      <c r="J106" s="72"/>
      <c r="K106" s="73"/>
      <c r="L106" s="72"/>
      <c r="M106" s="73"/>
      <c r="N106" s="66"/>
      <c r="O106" s="66"/>
      <c r="P106" s="66"/>
      <c r="Q106" s="668">
        <v>3</v>
      </c>
      <c r="R106" s="997">
        <v>38098</v>
      </c>
    </row>
    <row r="107" spans="1:18" ht="15" customHeight="1" x14ac:dyDescent="0.3">
      <c r="A107" s="96">
        <v>258</v>
      </c>
      <c r="B107" s="526">
        <v>33270</v>
      </c>
      <c r="C107" s="527" t="s">
        <v>89</v>
      </c>
      <c r="D107" s="73">
        <v>42713</v>
      </c>
      <c r="E107" s="801">
        <v>0</v>
      </c>
      <c r="F107" s="1050">
        <v>2</v>
      </c>
      <c r="G107" s="1041">
        <v>2</v>
      </c>
      <c r="H107" s="1036">
        <v>42713</v>
      </c>
      <c r="I107" s="73"/>
      <c r="J107" s="72"/>
      <c r="K107" s="73"/>
      <c r="L107" s="72"/>
      <c r="M107" s="73"/>
      <c r="N107" s="66"/>
      <c r="O107" s="66"/>
      <c r="P107" s="66"/>
      <c r="Q107" s="668">
        <v>2</v>
      </c>
      <c r="R107" s="997">
        <v>42713</v>
      </c>
    </row>
    <row r="108" spans="1:18" ht="15" customHeight="1" x14ac:dyDescent="0.3">
      <c r="A108" s="96">
        <v>266</v>
      </c>
      <c r="B108" s="526">
        <v>33451</v>
      </c>
      <c r="C108" s="527" t="s">
        <v>90</v>
      </c>
      <c r="D108" s="73">
        <v>45364</v>
      </c>
      <c r="E108" s="801">
        <v>8</v>
      </c>
      <c r="F108" s="1050">
        <v>296</v>
      </c>
      <c r="G108" s="1041">
        <v>288</v>
      </c>
      <c r="H108" s="1036">
        <v>44945</v>
      </c>
      <c r="I108" s="73"/>
      <c r="J108" s="72"/>
      <c r="K108" s="73"/>
      <c r="L108" s="72"/>
      <c r="M108" s="73"/>
      <c r="N108" s="66"/>
      <c r="O108" s="66"/>
      <c r="P108" s="66"/>
      <c r="Q108" s="668">
        <v>289</v>
      </c>
      <c r="R108" s="997">
        <v>44945</v>
      </c>
    </row>
    <row r="109" spans="1:18" ht="15" customHeight="1" x14ac:dyDescent="0.3">
      <c r="A109" s="96">
        <v>267</v>
      </c>
      <c r="B109" s="526">
        <v>33451</v>
      </c>
      <c r="C109" s="527" t="s">
        <v>91</v>
      </c>
      <c r="D109" s="73">
        <v>45090</v>
      </c>
      <c r="E109" s="801">
        <v>1</v>
      </c>
      <c r="F109" s="1050">
        <v>55</v>
      </c>
      <c r="G109" s="1041">
        <v>54</v>
      </c>
      <c r="H109" s="1036">
        <v>44692</v>
      </c>
      <c r="I109" s="73"/>
      <c r="J109" s="72"/>
      <c r="K109" s="73"/>
      <c r="L109" s="72"/>
      <c r="M109" s="73"/>
      <c r="N109" s="66"/>
      <c r="O109" s="66"/>
      <c r="P109" s="66"/>
      <c r="Q109" s="668">
        <v>54</v>
      </c>
      <c r="R109" s="997">
        <v>44692</v>
      </c>
    </row>
    <row r="110" spans="1:18" ht="15" customHeight="1" x14ac:dyDescent="0.3">
      <c r="A110" s="96">
        <v>269</v>
      </c>
      <c r="B110" s="526">
        <v>33329</v>
      </c>
      <c r="C110" s="527" t="s">
        <v>92</v>
      </c>
      <c r="D110" s="73">
        <v>44169</v>
      </c>
      <c r="E110" s="801">
        <v>0</v>
      </c>
      <c r="F110" s="1050">
        <v>33</v>
      </c>
      <c r="G110" s="1041">
        <v>33</v>
      </c>
      <c r="H110" s="1036">
        <v>44169</v>
      </c>
      <c r="I110" s="76"/>
      <c r="J110" s="72"/>
      <c r="K110" s="76"/>
      <c r="L110" s="72"/>
      <c r="M110" s="76"/>
      <c r="N110" s="66"/>
      <c r="O110" s="66"/>
      <c r="P110" s="66"/>
      <c r="Q110" s="668">
        <v>33</v>
      </c>
      <c r="R110" s="997">
        <v>44169</v>
      </c>
    </row>
    <row r="111" spans="1:18" ht="15" customHeight="1" x14ac:dyDescent="0.3">
      <c r="A111" s="96">
        <v>272</v>
      </c>
      <c r="B111" s="526">
        <v>33512</v>
      </c>
      <c r="C111" s="527" t="s">
        <v>93</v>
      </c>
      <c r="D111" s="76">
        <v>36238</v>
      </c>
      <c r="E111" s="801">
        <v>0</v>
      </c>
      <c r="F111" s="1050">
        <v>5</v>
      </c>
      <c r="G111" s="1041">
        <v>5</v>
      </c>
      <c r="H111" s="1037">
        <v>36238</v>
      </c>
      <c r="I111" s="73"/>
      <c r="J111" s="72"/>
      <c r="K111" s="73"/>
      <c r="L111" s="72"/>
      <c r="M111" s="73"/>
      <c r="N111" s="66"/>
      <c r="O111" s="66"/>
      <c r="P111" s="66"/>
      <c r="Q111" s="668">
        <v>5</v>
      </c>
      <c r="R111" s="998">
        <v>36238</v>
      </c>
    </row>
    <row r="112" spans="1:18" ht="15" customHeight="1" x14ac:dyDescent="0.3">
      <c r="A112" s="96">
        <v>276</v>
      </c>
      <c r="B112" s="526">
        <v>33573</v>
      </c>
      <c r="C112" s="527" t="s">
        <v>94</v>
      </c>
      <c r="D112" s="73">
        <v>43090</v>
      </c>
      <c r="E112" s="801">
        <v>0</v>
      </c>
      <c r="F112" s="1050">
        <v>20</v>
      </c>
      <c r="G112" s="1041">
        <v>20</v>
      </c>
      <c r="H112" s="1036">
        <v>43090</v>
      </c>
      <c r="I112" s="73"/>
      <c r="J112" s="72"/>
      <c r="K112" s="73"/>
      <c r="L112" s="72"/>
      <c r="M112" s="73"/>
      <c r="N112" s="66"/>
      <c r="O112" s="66"/>
      <c r="P112" s="66"/>
      <c r="Q112" s="668">
        <v>20</v>
      </c>
      <c r="R112" s="997">
        <v>43090</v>
      </c>
    </row>
    <row r="113" spans="1:18" ht="15" customHeight="1" x14ac:dyDescent="0.3">
      <c r="A113" s="96">
        <v>278</v>
      </c>
      <c r="B113" s="526">
        <v>33573</v>
      </c>
      <c r="C113" s="527" t="s">
        <v>94</v>
      </c>
      <c r="D113" s="73">
        <v>43090</v>
      </c>
      <c r="E113" s="801">
        <v>0</v>
      </c>
      <c r="F113" s="1050">
        <v>3</v>
      </c>
      <c r="G113" s="1041">
        <v>3</v>
      </c>
      <c r="H113" s="1036">
        <v>43090</v>
      </c>
      <c r="I113" s="73"/>
      <c r="J113" s="72"/>
      <c r="K113" s="73"/>
      <c r="L113" s="72"/>
      <c r="M113" s="73"/>
      <c r="N113" s="66"/>
      <c r="O113" s="66"/>
      <c r="P113" s="66"/>
      <c r="Q113" s="668">
        <v>3</v>
      </c>
      <c r="R113" s="997">
        <v>43090</v>
      </c>
    </row>
    <row r="114" spans="1:18" ht="15" customHeight="1" x14ac:dyDescent="0.3">
      <c r="A114" s="96">
        <v>282</v>
      </c>
      <c r="B114" s="526">
        <v>33451</v>
      </c>
      <c r="C114" s="527" t="s">
        <v>6</v>
      </c>
      <c r="D114" s="76">
        <v>45397</v>
      </c>
      <c r="E114" s="801">
        <v>1</v>
      </c>
      <c r="F114" s="1050">
        <v>8</v>
      </c>
      <c r="G114" s="1041">
        <v>7</v>
      </c>
      <c r="H114" s="1037">
        <v>40624</v>
      </c>
      <c r="I114" s="73"/>
      <c r="J114" s="72"/>
      <c r="K114" s="73"/>
      <c r="L114" s="72"/>
      <c r="M114" s="73"/>
      <c r="N114" s="66"/>
      <c r="O114" s="66"/>
      <c r="P114" s="66"/>
      <c r="Q114" s="668">
        <v>7</v>
      </c>
      <c r="R114" s="998">
        <v>40624</v>
      </c>
    </row>
    <row r="115" spans="1:18" ht="15" customHeight="1" x14ac:dyDescent="0.3">
      <c r="A115" s="96">
        <v>284</v>
      </c>
      <c r="B115" s="526">
        <v>33451</v>
      </c>
      <c r="C115" s="527" t="s">
        <v>95</v>
      </c>
      <c r="D115" s="73">
        <v>37937</v>
      </c>
      <c r="E115" s="801">
        <v>0</v>
      </c>
      <c r="F115" s="1050">
        <v>6</v>
      </c>
      <c r="G115" s="1041">
        <v>6</v>
      </c>
      <c r="H115" s="1036">
        <v>37937</v>
      </c>
      <c r="I115" s="73"/>
      <c r="J115" s="72"/>
      <c r="K115" s="73"/>
      <c r="L115" s="72"/>
      <c r="M115" s="73"/>
      <c r="N115" s="66"/>
      <c r="O115" s="66"/>
      <c r="P115" s="66"/>
      <c r="Q115" s="668">
        <v>6</v>
      </c>
      <c r="R115" s="997">
        <v>37937</v>
      </c>
    </row>
    <row r="116" spans="1:18" ht="15" customHeight="1" x14ac:dyDescent="0.3">
      <c r="A116" s="96">
        <v>285</v>
      </c>
      <c r="B116" s="526">
        <v>33786</v>
      </c>
      <c r="C116" s="527" t="s">
        <v>6</v>
      </c>
      <c r="D116" s="76">
        <v>34540</v>
      </c>
      <c r="E116" s="801">
        <v>0</v>
      </c>
      <c r="F116" s="1050">
        <v>6</v>
      </c>
      <c r="G116" s="1041">
        <v>6</v>
      </c>
      <c r="H116" s="1037">
        <v>34540</v>
      </c>
      <c r="I116" s="76"/>
      <c r="J116" s="72"/>
      <c r="K116" s="76"/>
      <c r="L116" s="72"/>
      <c r="M116" s="76"/>
      <c r="N116" s="66"/>
      <c r="O116" s="66"/>
      <c r="P116" s="66"/>
      <c r="Q116" s="668">
        <v>6</v>
      </c>
      <c r="R116" s="998">
        <v>34540</v>
      </c>
    </row>
    <row r="117" spans="1:18" ht="15" customHeight="1" x14ac:dyDescent="0.3">
      <c r="A117" s="96">
        <v>286</v>
      </c>
      <c r="B117" s="526">
        <v>33786</v>
      </c>
      <c r="C117" s="527" t="s">
        <v>12</v>
      </c>
      <c r="D117" s="76">
        <v>36144</v>
      </c>
      <c r="E117" s="801">
        <v>0</v>
      </c>
      <c r="F117" s="1050">
        <v>5</v>
      </c>
      <c r="G117" s="1041">
        <v>5</v>
      </c>
      <c r="H117" s="1037">
        <v>36144</v>
      </c>
      <c r="I117" s="73"/>
      <c r="J117" s="72"/>
      <c r="K117" s="73"/>
      <c r="L117" s="72"/>
      <c r="M117" s="73"/>
      <c r="N117" s="66"/>
      <c r="O117" s="66"/>
      <c r="P117" s="66"/>
      <c r="Q117" s="668">
        <v>5</v>
      </c>
      <c r="R117" s="998">
        <v>36144</v>
      </c>
    </row>
    <row r="118" spans="1:18" ht="15" customHeight="1" x14ac:dyDescent="0.3">
      <c r="A118" s="96">
        <v>287</v>
      </c>
      <c r="B118" s="526">
        <v>33817</v>
      </c>
      <c r="C118" s="527" t="s">
        <v>34</v>
      </c>
      <c r="D118" s="76">
        <v>34540</v>
      </c>
      <c r="E118" s="801">
        <v>0</v>
      </c>
      <c r="F118" s="1050">
        <v>3</v>
      </c>
      <c r="G118" s="1041">
        <v>3</v>
      </c>
      <c r="H118" s="1037">
        <v>34540</v>
      </c>
      <c r="I118" s="73"/>
      <c r="J118" s="72"/>
      <c r="K118" s="73"/>
      <c r="L118" s="72"/>
      <c r="M118" s="73"/>
      <c r="N118" s="66"/>
      <c r="O118" s="66"/>
      <c r="P118" s="66"/>
      <c r="Q118" s="668">
        <v>3</v>
      </c>
      <c r="R118" s="998">
        <v>34540</v>
      </c>
    </row>
    <row r="119" spans="1:18" ht="15" customHeight="1" x14ac:dyDescent="0.3">
      <c r="A119" s="96">
        <v>288</v>
      </c>
      <c r="B119" s="526">
        <v>33451</v>
      </c>
      <c r="C119" s="527" t="s">
        <v>96</v>
      </c>
      <c r="D119" s="76">
        <v>45169</v>
      </c>
      <c r="E119" s="801">
        <v>1</v>
      </c>
      <c r="F119" s="1050">
        <v>14</v>
      </c>
      <c r="G119" s="1041">
        <v>13</v>
      </c>
      <c r="H119" s="1037">
        <v>43859</v>
      </c>
      <c r="I119" s="76"/>
      <c r="J119" s="72"/>
      <c r="K119" s="76"/>
      <c r="L119" s="72"/>
      <c r="M119" s="76"/>
      <c r="N119" s="66"/>
      <c r="O119" s="66"/>
      <c r="P119" s="66"/>
      <c r="Q119" s="668">
        <v>13</v>
      </c>
      <c r="R119" s="998">
        <v>43859</v>
      </c>
    </row>
    <row r="120" spans="1:18" ht="15" customHeight="1" x14ac:dyDescent="0.3">
      <c r="A120" s="96">
        <v>293</v>
      </c>
      <c r="B120" s="526">
        <v>1980</v>
      </c>
      <c r="C120" s="527" t="s">
        <v>65</v>
      </c>
      <c r="D120" s="73">
        <v>40584</v>
      </c>
      <c r="E120" s="801">
        <v>0</v>
      </c>
      <c r="F120" s="1050">
        <v>3</v>
      </c>
      <c r="G120" s="1041">
        <v>3</v>
      </c>
      <c r="H120" s="1036">
        <v>40584</v>
      </c>
      <c r="I120" s="73"/>
      <c r="J120" s="72"/>
      <c r="K120" s="73"/>
      <c r="L120" s="72"/>
      <c r="M120" s="73"/>
      <c r="N120" s="66"/>
      <c r="O120" s="66"/>
      <c r="P120" s="66"/>
      <c r="Q120" s="668">
        <v>3</v>
      </c>
      <c r="R120" s="997">
        <v>40584</v>
      </c>
    </row>
    <row r="121" spans="1:18" ht="15" customHeight="1" x14ac:dyDescent="0.3">
      <c r="A121" s="96">
        <v>297</v>
      </c>
      <c r="B121" s="526">
        <v>33909</v>
      </c>
      <c r="C121" s="527" t="s">
        <v>12</v>
      </c>
      <c r="D121" s="76">
        <v>38035</v>
      </c>
      <c r="E121" s="801">
        <v>0</v>
      </c>
      <c r="F121" s="1050">
        <v>4</v>
      </c>
      <c r="G121" s="1041">
        <v>4</v>
      </c>
      <c r="H121" s="1037">
        <v>38035</v>
      </c>
      <c r="I121" s="76"/>
      <c r="J121" s="72"/>
      <c r="K121" s="76"/>
      <c r="L121" s="72"/>
      <c r="M121" s="76"/>
      <c r="N121" s="66"/>
      <c r="O121" s="66"/>
      <c r="P121" s="66"/>
      <c r="Q121" s="668">
        <v>4</v>
      </c>
      <c r="R121" s="998">
        <v>38035</v>
      </c>
    </row>
    <row r="122" spans="1:18" ht="15" customHeight="1" x14ac:dyDescent="0.3">
      <c r="A122" s="96">
        <v>299</v>
      </c>
      <c r="B122" s="526">
        <v>34029</v>
      </c>
      <c r="C122" s="527" t="s">
        <v>61</v>
      </c>
      <c r="D122" s="73">
        <v>45370</v>
      </c>
      <c r="E122" s="801">
        <v>4</v>
      </c>
      <c r="F122" s="1050">
        <v>127</v>
      </c>
      <c r="G122" s="1041">
        <v>123</v>
      </c>
      <c r="H122" s="1036">
        <v>44421</v>
      </c>
      <c r="I122" s="76"/>
      <c r="J122" s="72"/>
      <c r="K122" s="76"/>
      <c r="L122" s="72"/>
      <c r="M122" s="76"/>
      <c r="N122" s="66"/>
      <c r="O122" s="66"/>
      <c r="P122" s="66"/>
      <c r="Q122" s="668">
        <v>123</v>
      </c>
      <c r="R122" s="997">
        <v>44421</v>
      </c>
    </row>
    <row r="123" spans="1:18" ht="15" customHeight="1" x14ac:dyDescent="0.3">
      <c r="A123" s="96">
        <v>300</v>
      </c>
      <c r="B123" s="526">
        <v>34029</v>
      </c>
      <c r="C123" s="527" t="s">
        <v>61</v>
      </c>
      <c r="D123" s="73">
        <v>45397</v>
      </c>
      <c r="E123" s="801">
        <v>7</v>
      </c>
      <c r="F123" s="1050">
        <v>85</v>
      </c>
      <c r="G123" s="1041">
        <v>78</v>
      </c>
      <c r="H123" s="1036">
        <v>45001</v>
      </c>
      <c r="I123" s="76"/>
      <c r="J123" s="72"/>
      <c r="K123" s="76"/>
      <c r="L123" s="72"/>
      <c r="M123" s="76"/>
      <c r="N123" s="66"/>
      <c r="O123" s="66"/>
      <c r="P123" s="66"/>
      <c r="Q123" s="668">
        <v>79</v>
      </c>
      <c r="R123" s="997">
        <v>45001</v>
      </c>
    </row>
    <row r="124" spans="1:18" ht="15" customHeight="1" x14ac:dyDescent="0.3">
      <c r="A124" s="96">
        <v>305</v>
      </c>
      <c r="B124" s="526">
        <v>34060</v>
      </c>
      <c r="C124" s="527" t="s">
        <v>97</v>
      </c>
      <c r="D124" s="73">
        <v>44846</v>
      </c>
      <c r="E124" s="801">
        <v>0</v>
      </c>
      <c r="F124" s="1050">
        <v>17</v>
      </c>
      <c r="G124" s="1041">
        <v>17</v>
      </c>
      <c r="H124" s="1036">
        <v>44846</v>
      </c>
      <c r="I124" s="76"/>
      <c r="J124" s="72"/>
      <c r="K124" s="76"/>
      <c r="L124" s="72"/>
      <c r="M124" s="76"/>
      <c r="N124" s="66"/>
      <c r="O124" s="66"/>
      <c r="P124" s="66"/>
      <c r="Q124" s="668">
        <v>17</v>
      </c>
      <c r="R124" s="997">
        <v>44846</v>
      </c>
    </row>
    <row r="125" spans="1:18" ht="15" customHeight="1" x14ac:dyDescent="0.3">
      <c r="A125" s="96">
        <v>306</v>
      </c>
      <c r="B125" s="526">
        <v>34060</v>
      </c>
      <c r="C125" s="527" t="s">
        <v>98</v>
      </c>
      <c r="D125" s="73">
        <v>39797</v>
      </c>
      <c r="E125" s="801">
        <v>0</v>
      </c>
      <c r="F125" s="1050">
        <v>13</v>
      </c>
      <c r="G125" s="1041">
        <v>13</v>
      </c>
      <c r="H125" s="1036">
        <v>39797</v>
      </c>
      <c r="I125" s="73"/>
      <c r="J125" s="72"/>
      <c r="K125" s="73"/>
      <c r="L125" s="72"/>
      <c r="M125" s="73"/>
      <c r="N125" s="66"/>
      <c r="O125" s="66"/>
      <c r="P125" s="66"/>
      <c r="Q125" s="668">
        <v>13</v>
      </c>
      <c r="R125" s="997">
        <v>39797</v>
      </c>
    </row>
    <row r="126" spans="1:18" ht="15" customHeight="1" x14ac:dyDescent="0.3">
      <c r="A126" s="96">
        <v>307</v>
      </c>
      <c r="B126" s="526">
        <v>34029</v>
      </c>
      <c r="C126" s="527" t="s">
        <v>99</v>
      </c>
      <c r="D126" s="73">
        <v>43178</v>
      </c>
      <c r="E126" s="801">
        <v>0</v>
      </c>
      <c r="F126" s="1050">
        <v>14</v>
      </c>
      <c r="G126" s="1041">
        <v>14</v>
      </c>
      <c r="H126" s="1036">
        <v>43178</v>
      </c>
      <c r="I126" s="76"/>
      <c r="J126" s="72"/>
      <c r="K126" s="76"/>
      <c r="L126" s="72"/>
      <c r="M126" s="76"/>
      <c r="N126" s="66"/>
      <c r="O126" s="66"/>
      <c r="P126" s="66"/>
      <c r="Q126" s="668">
        <v>14</v>
      </c>
      <c r="R126" s="997">
        <v>43178</v>
      </c>
    </row>
    <row r="127" spans="1:18" ht="15" customHeight="1" x14ac:dyDescent="0.3">
      <c r="A127" s="96">
        <v>309</v>
      </c>
      <c r="B127" s="526">
        <v>34060</v>
      </c>
      <c r="C127" s="527" t="s">
        <v>100</v>
      </c>
      <c r="D127" s="73">
        <v>42088</v>
      </c>
      <c r="E127" s="801">
        <v>0</v>
      </c>
      <c r="F127" s="1050">
        <v>37</v>
      </c>
      <c r="G127" s="1041">
        <v>37</v>
      </c>
      <c r="H127" s="1036">
        <v>42088</v>
      </c>
      <c r="I127" s="73"/>
      <c r="J127" s="72"/>
      <c r="K127" s="73"/>
      <c r="L127" s="72"/>
      <c r="M127" s="73"/>
      <c r="N127" s="66"/>
      <c r="O127" s="66"/>
      <c r="P127" s="66"/>
      <c r="Q127" s="668">
        <v>37</v>
      </c>
      <c r="R127" s="997">
        <v>42088</v>
      </c>
    </row>
    <row r="128" spans="1:18" ht="15" customHeight="1" x14ac:dyDescent="0.3">
      <c r="A128" s="97">
        <v>310</v>
      </c>
      <c r="B128" s="526">
        <v>34090</v>
      </c>
      <c r="C128" s="528" t="s">
        <v>101</v>
      </c>
      <c r="D128" s="73">
        <v>45259</v>
      </c>
      <c r="E128" s="801">
        <v>2</v>
      </c>
      <c r="F128" s="1050">
        <v>92</v>
      </c>
      <c r="G128" s="1041">
        <v>90</v>
      </c>
      <c r="H128" s="1036">
        <v>44816</v>
      </c>
      <c r="I128" s="73"/>
      <c r="J128" s="72"/>
      <c r="K128" s="73"/>
      <c r="L128" s="72"/>
      <c r="M128" s="73"/>
      <c r="N128" s="66"/>
      <c r="O128" s="66"/>
      <c r="P128" s="66"/>
      <c r="Q128" s="668">
        <v>90</v>
      </c>
      <c r="R128" s="997">
        <v>44816</v>
      </c>
    </row>
    <row r="129" spans="1:18" ht="15" customHeight="1" x14ac:dyDescent="0.3">
      <c r="A129" s="96">
        <v>311</v>
      </c>
      <c r="B129" s="526">
        <v>34121</v>
      </c>
      <c r="C129" s="527" t="s">
        <v>102</v>
      </c>
      <c r="D129" s="73">
        <v>39176</v>
      </c>
      <c r="E129" s="801">
        <v>0</v>
      </c>
      <c r="F129" s="1050">
        <v>11</v>
      </c>
      <c r="G129" s="1041">
        <v>11</v>
      </c>
      <c r="H129" s="1036">
        <v>39176</v>
      </c>
      <c r="I129" s="73"/>
      <c r="J129" s="72"/>
      <c r="K129" s="73"/>
      <c r="L129" s="72"/>
      <c r="M129" s="73"/>
      <c r="N129" s="66"/>
      <c r="O129" s="66"/>
      <c r="P129" s="66"/>
      <c r="Q129" s="668">
        <v>11</v>
      </c>
      <c r="R129" s="997">
        <v>39176</v>
      </c>
    </row>
    <row r="130" spans="1:18" ht="15" customHeight="1" x14ac:dyDescent="0.3">
      <c r="A130" s="96">
        <v>313</v>
      </c>
      <c r="B130" s="526">
        <v>34121</v>
      </c>
      <c r="C130" s="527" t="s">
        <v>103</v>
      </c>
      <c r="D130" s="73">
        <v>37707</v>
      </c>
      <c r="E130" s="801">
        <v>0</v>
      </c>
      <c r="F130" s="1050">
        <v>9</v>
      </c>
      <c r="G130" s="1041">
        <v>9</v>
      </c>
      <c r="H130" s="1036">
        <v>37707</v>
      </c>
      <c r="I130" s="73"/>
      <c r="J130" s="72"/>
      <c r="K130" s="73"/>
      <c r="L130" s="72"/>
      <c r="M130" s="73"/>
      <c r="N130" s="66"/>
      <c r="O130" s="66"/>
      <c r="P130" s="66"/>
      <c r="Q130" s="668">
        <v>9</v>
      </c>
      <c r="R130" s="997">
        <v>37707</v>
      </c>
    </row>
    <row r="131" spans="1:18" ht="15" customHeight="1" x14ac:dyDescent="0.3">
      <c r="A131" s="96">
        <v>316</v>
      </c>
      <c r="B131" s="526">
        <v>34213</v>
      </c>
      <c r="C131" s="527" t="s">
        <v>12</v>
      </c>
      <c r="D131" s="73">
        <v>34540</v>
      </c>
      <c r="E131" s="801">
        <v>0</v>
      </c>
      <c r="F131" s="1050">
        <v>2</v>
      </c>
      <c r="G131" s="1041">
        <v>2</v>
      </c>
      <c r="H131" s="1036">
        <v>34540</v>
      </c>
      <c r="I131" s="73"/>
      <c r="J131" s="72"/>
      <c r="K131" s="73"/>
      <c r="L131" s="72"/>
      <c r="M131" s="73"/>
      <c r="N131" s="66"/>
      <c r="O131" s="66"/>
      <c r="P131" s="66"/>
      <c r="Q131" s="668">
        <v>2</v>
      </c>
      <c r="R131" s="997">
        <v>34540</v>
      </c>
    </row>
    <row r="132" spans="1:18" ht="15" customHeight="1" x14ac:dyDescent="0.3">
      <c r="A132" s="96">
        <v>317</v>
      </c>
      <c r="B132" s="526">
        <v>34213</v>
      </c>
      <c r="C132" s="527" t="s">
        <v>12</v>
      </c>
      <c r="D132" s="73">
        <v>34575</v>
      </c>
      <c r="E132" s="801">
        <v>0</v>
      </c>
      <c r="F132" s="1050">
        <v>2</v>
      </c>
      <c r="G132" s="1041">
        <v>2</v>
      </c>
      <c r="H132" s="1036">
        <v>34575</v>
      </c>
      <c r="I132" s="73"/>
      <c r="J132" s="72"/>
      <c r="K132" s="73"/>
      <c r="L132" s="72"/>
      <c r="M132" s="73"/>
      <c r="N132" s="66"/>
      <c r="O132" s="66"/>
      <c r="P132" s="66"/>
      <c r="Q132" s="668">
        <v>2</v>
      </c>
      <c r="R132" s="997">
        <v>34575</v>
      </c>
    </row>
    <row r="133" spans="1:18" ht="15" customHeight="1" x14ac:dyDescent="0.3">
      <c r="A133" s="96">
        <v>318</v>
      </c>
      <c r="B133" s="526">
        <v>34213</v>
      </c>
      <c r="C133" s="527" t="s">
        <v>12</v>
      </c>
      <c r="D133" s="73">
        <v>40210</v>
      </c>
      <c r="E133" s="801">
        <v>0</v>
      </c>
      <c r="F133" s="1050">
        <v>3</v>
      </c>
      <c r="G133" s="1041">
        <v>3</v>
      </c>
      <c r="H133" s="1036">
        <v>40210</v>
      </c>
      <c r="I133" s="73"/>
      <c r="J133" s="72"/>
      <c r="K133" s="73"/>
      <c r="L133" s="72"/>
      <c r="M133" s="73"/>
      <c r="N133" s="66"/>
      <c r="O133" s="66"/>
      <c r="P133" s="66"/>
      <c r="Q133" s="668">
        <v>3</v>
      </c>
      <c r="R133" s="997">
        <v>40210</v>
      </c>
    </row>
    <row r="134" spans="1:18" ht="15" customHeight="1" x14ac:dyDescent="0.3">
      <c r="A134" s="96">
        <v>319</v>
      </c>
      <c r="B134" s="526">
        <v>34151</v>
      </c>
      <c r="C134" s="527" t="s">
        <v>12</v>
      </c>
      <c r="D134" s="73">
        <v>34575</v>
      </c>
      <c r="E134" s="801">
        <v>0</v>
      </c>
      <c r="F134" s="1050">
        <v>2</v>
      </c>
      <c r="G134" s="1041">
        <v>2</v>
      </c>
      <c r="H134" s="1036">
        <v>34575</v>
      </c>
      <c r="I134" s="73"/>
      <c r="J134" s="72"/>
      <c r="K134" s="73"/>
      <c r="L134" s="72"/>
      <c r="M134" s="73"/>
      <c r="N134" s="66"/>
      <c r="O134" s="66"/>
      <c r="P134" s="66"/>
      <c r="Q134" s="668">
        <v>2</v>
      </c>
      <c r="R134" s="997">
        <v>34575</v>
      </c>
    </row>
    <row r="135" spans="1:18" ht="15" customHeight="1" x14ac:dyDescent="0.3">
      <c r="A135" s="96">
        <v>320</v>
      </c>
      <c r="B135" s="526">
        <v>34182</v>
      </c>
      <c r="C135" s="527" t="s">
        <v>104</v>
      </c>
      <c r="D135" s="73">
        <v>42688</v>
      </c>
      <c r="E135" s="801">
        <v>0</v>
      </c>
      <c r="F135" s="1050">
        <v>10</v>
      </c>
      <c r="G135" s="1041">
        <v>10</v>
      </c>
      <c r="H135" s="1036">
        <v>42688</v>
      </c>
      <c r="I135" s="73"/>
      <c r="J135" s="72"/>
      <c r="K135" s="73"/>
      <c r="L135" s="72"/>
      <c r="M135" s="73"/>
      <c r="N135" s="66"/>
      <c r="O135" s="66"/>
      <c r="P135" s="66"/>
      <c r="Q135" s="668">
        <v>10</v>
      </c>
      <c r="R135" s="997">
        <v>42688</v>
      </c>
    </row>
    <row r="136" spans="1:18" ht="15" customHeight="1" x14ac:dyDescent="0.3">
      <c r="A136" s="96">
        <v>322</v>
      </c>
      <c r="B136" s="526">
        <v>34213</v>
      </c>
      <c r="C136" s="527" t="s">
        <v>104</v>
      </c>
      <c r="D136" s="73">
        <v>40155</v>
      </c>
      <c r="E136" s="801">
        <v>0</v>
      </c>
      <c r="F136" s="1050">
        <v>6</v>
      </c>
      <c r="G136" s="1041">
        <v>6</v>
      </c>
      <c r="H136" s="1036">
        <v>40155</v>
      </c>
      <c r="I136" s="73"/>
      <c r="J136" s="72"/>
      <c r="K136" s="73"/>
      <c r="L136" s="72"/>
      <c r="M136" s="73"/>
      <c r="N136" s="66"/>
      <c r="O136" s="66"/>
      <c r="P136" s="66"/>
      <c r="Q136" s="668">
        <v>6</v>
      </c>
      <c r="R136" s="997">
        <v>40155</v>
      </c>
    </row>
    <row r="137" spans="1:18" ht="15" customHeight="1" x14ac:dyDescent="0.3">
      <c r="A137" s="96">
        <v>332</v>
      </c>
      <c r="B137" s="526">
        <v>34182</v>
      </c>
      <c r="C137" s="527" t="s">
        <v>105</v>
      </c>
      <c r="D137" s="73">
        <v>34575</v>
      </c>
      <c r="E137" s="801">
        <v>0</v>
      </c>
      <c r="F137" s="1050">
        <v>2</v>
      </c>
      <c r="G137" s="1041">
        <v>2</v>
      </c>
      <c r="H137" s="1036">
        <v>34575</v>
      </c>
      <c r="I137" s="73"/>
      <c r="J137" s="72"/>
      <c r="K137" s="73"/>
      <c r="L137" s="72"/>
      <c r="M137" s="73"/>
      <c r="N137" s="66"/>
      <c r="O137" s="66"/>
      <c r="P137" s="66"/>
      <c r="Q137" s="668">
        <v>2</v>
      </c>
      <c r="R137" s="997">
        <v>34575</v>
      </c>
    </row>
    <row r="138" spans="1:18" ht="15" customHeight="1" x14ac:dyDescent="0.3">
      <c r="A138" s="96">
        <v>335</v>
      </c>
      <c r="B138" s="526">
        <v>34243</v>
      </c>
      <c r="C138" s="527" t="s">
        <v>104</v>
      </c>
      <c r="D138" s="73">
        <v>34576</v>
      </c>
      <c r="E138" s="801">
        <v>0</v>
      </c>
      <c r="F138" s="1050">
        <v>2</v>
      </c>
      <c r="G138" s="1041">
        <v>2</v>
      </c>
      <c r="H138" s="1036">
        <v>34576</v>
      </c>
      <c r="I138" s="73"/>
      <c r="J138" s="72"/>
      <c r="K138" s="73"/>
      <c r="L138" s="72"/>
      <c r="M138" s="73"/>
      <c r="N138" s="66"/>
      <c r="O138" s="66"/>
      <c r="P138" s="66"/>
      <c r="Q138" s="668">
        <v>2</v>
      </c>
      <c r="R138" s="997">
        <v>34576</v>
      </c>
    </row>
    <row r="139" spans="1:18" ht="15" customHeight="1" x14ac:dyDescent="0.3">
      <c r="A139" s="96">
        <v>336</v>
      </c>
      <c r="B139" s="526">
        <v>34243</v>
      </c>
      <c r="C139" s="527" t="s">
        <v>104</v>
      </c>
      <c r="D139" s="73">
        <v>45351</v>
      </c>
      <c r="E139" s="801">
        <v>2</v>
      </c>
      <c r="F139" s="1050">
        <v>34</v>
      </c>
      <c r="G139" s="1041">
        <v>32</v>
      </c>
      <c r="H139" s="1036">
        <v>44700</v>
      </c>
      <c r="I139" s="73"/>
      <c r="J139" s="72"/>
      <c r="K139" s="73"/>
      <c r="L139" s="72"/>
      <c r="M139" s="73"/>
      <c r="N139" s="66"/>
      <c r="O139" s="66"/>
      <c r="P139" s="66"/>
      <c r="Q139" s="668">
        <v>32</v>
      </c>
      <c r="R139" s="997">
        <v>44700</v>
      </c>
    </row>
    <row r="140" spans="1:18" ht="15" customHeight="1" x14ac:dyDescent="0.3">
      <c r="A140" s="96">
        <v>343</v>
      </c>
      <c r="B140" s="526">
        <v>34243</v>
      </c>
      <c r="C140" s="527" t="s">
        <v>106</v>
      </c>
      <c r="D140" s="73">
        <v>44047</v>
      </c>
      <c r="E140" s="801">
        <v>0</v>
      </c>
      <c r="F140" s="1050">
        <v>49</v>
      </c>
      <c r="G140" s="1041">
        <v>49</v>
      </c>
      <c r="H140" s="1036">
        <v>44047</v>
      </c>
      <c r="I140" s="73"/>
      <c r="J140" s="72"/>
      <c r="K140" s="73"/>
      <c r="L140" s="72"/>
      <c r="M140" s="73"/>
      <c r="N140" s="66"/>
      <c r="O140" s="66"/>
      <c r="P140" s="66"/>
      <c r="Q140" s="668">
        <v>49</v>
      </c>
      <c r="R140" s="997">
        <v>44047</v>
      </c>
    </row>
    <row r="141" spans="1:18" ht="15" customHeight="1" x14ac:dyDescent="0.3">
      <c r="A141" s="96">
        <v>344</v>
      </c>
      <c r="B141" s="526">
        <v>34243</v>
      </c>
      <c r="C141" s="527" t="s">
        <v>107</v>
      </c>
      <c r="D141" s="73">
        <v>44728</v>
      </c>
      <c r="E141" s="801">
        <v>0</v>
      </c>
      <c r="F141" s="1050">
        <v>107</v>
      </c>
      <c r="G141" s="1041">
        <v>107</v>
      </c>
      <c r="H141" s="1036">
        <v>44728</v>
      </c>
      <c r="I141" s="73"/>
      <c r="J141" s="72"/>
      <c r="K141" s="73"/>
      <c r="L141" s="72"/>
      <c r="M141" s="73"/>
      <c r="N141" s="66"/>
      <c r="O141" s="66"/>
      <c r="P141" s="66"/>
      <c r="Q141" s="668">
        <v>107</v>
      </c>
      <c r="R141" s="997">
        <v>44728</v>
      </c>
    </row>
    <row r="142" spans="1:18" ht="15" customHeight="1" x14ac:dyDescent="0.3">
      <c r="A142" s="96">
        <v>347</v>
      </c>
      <c r="B142" s="526">
        <v>34243</v>
      </c>
      <c r="C142" s="527" t="s">
        <v>108</v>
      </c>
      <c r="D142" s="73">
        <v>43859</v>
      </c>
      <c r="E142" s="801">
        <v>0</v>
      </c>
      <c r="F142" s="1050">
        <v>6</v>
      </c>
      <c r="G142" s="1041">
        <v>6</v>
      </c>
      <c r="H142" s="1036">
        <v>43859</v>
      </c>
      <c r="I142" s="73"/>
      <c r="J142" s="72"/>
      <c r="K142" s="73"/>
      <c r="L142" s="72"/>
      <c r="M142" s="73"/>
      <c r="N142" s="66"/>
      <c r="O142" s="66"/>
      <c r="P142" s="66"/>
      <c r="Q142" s="668">
        <v>6</v>
      </c>
      <c r="R142" s="997">
        <v>43859</v>
      </c>
    </row>
    <row r="143" spans="1:18" ht="15" customHeight="1" x14ac:dyDescent="0.3">
      <c r="A143" s="96">
        <v>348</v>
      </c>
      <c r="B143" s="526">
        <v>34274</v>
      </c>
      <c r="C143" s="527" t="s">
        <v>109</v>
      </c>
      <c r="D143" s="73">
        <v>43859</v>
      </c>
      <c r="E143" s="801">
        <v>0</v>
      </c>
      <c r="F143" s="1050">
        <v>6</v>
      </c>
      <c r="G143" s="1041">
        <v>6</v>
      </c>
      <c r="H143" s="1036">
        <v>43859</v>
      </c>
      <c r="I143" s="73"/>
      <c r="J143" s="72"/>
      <c r="K143" s="73"/>
      <c r="L143" s="72"/>
      <c r="M143" s="73"/>
      <c r="N143" s="66"/>
      <c r="O143" s="66"/>
      <c r="P143" s="66"/>
      <c r="Q143" s="668">
        <v>6</v>
      </c>
      <c r="R143" s="997">
        <v>43859</v>
      </c>
    </row>
    <row r="144" spans="1:18" ht="15" customHeight="1" x14ac:dyDescent="0.3">
      <c r="A144" s="96">
        <v>349</v>
      </c>
      <c r="B144" s="526">
        <v>34274</v>
      </c>
      <c r="C144" s="527" t="s">
        <v>109</v>
      </c>
      <c r="D144" s="73">
        <v>34575</v>
      </c>
      <c r="E144" s="801">
        <v>0</v>
      </c>
      <c r="F144" s="1050">
        <v>2</v>
      </c>
      <c r="G144" s="1041">
        <v>2</v>
      </c>
      <c r="H144" s="1036">
        <v>34575</v>
      </c>
      <c r="I144" s="73"/>
      <c r="J144" s="72"/>
      <c r="K144" s="73"/>
      <c r="L144" s="72"/>
      <c r="M144" s="73"/>
      <c r="N144" s="66"/>
      <c r="O144" s="66"/>
      <c r="P144" s="66"/>
      <c r="Q144" s="668">
        <v>2</v>
      </c>
      <c r="R144" s="997">
        <v>34575</v>
      </c>
    </row>
    <row r="145" spans="1:18" ht="15" customHeight="1" x14ac:dyDescent="0.3">
      <c r="A145" s="96">
        <v>350</v>
      </c>
      <c r="B145" s="526">
        <v>34274</v>
      </c>
      <c r="C145" s="527" t="s">
        <v>4241</v>
      </c>
      <c r="D145" s="73">
        <v>43859</v>
      </c>
      <c r="E145" s="801">
        <v>0</v>
      </c>
      <c r="F145" s="1050">
        <v>5</v>
      </c>
      <c r="G145" s="1041">
        <v>5</v>
      </c>
      <c r="H145" s="1036">
        <v>43859</v>
      </c>
      <c r="I145" s="73"/>
      <c r="J145" s="72"/>
      <c r="K145" s="73"/>
      <c r="L145" s="72"/>
      <c r="M145" s="73"/>
      <c r="N145" s="66"/>
      <c r="O145" s="66"/>
      <c r="P145" s="66"/>
      <c r="Q145" s="668">
        <v>5</v>
      </c>
      <c r="R145" s="997">
        <v>43859</v>
      </c>
    </row>
    <row r="146" spans="1:18" ht="15" customHeight="1" x14ac:dyDescent="0.3">
      <c r="A146" s="96">
        <v>351</v>
      </c>
      <c r="B146" s="526">
        <v>34274</v>
      </c>
      <c r="C146" s="527" t="s">
        <v>4241</v>
      </c>
      <c r="D146" s="73">
        <v>39273</v>
      </c>
      <c r="E146" s="801">
        <v>0</v>
      </c>
      <c r="F146" s="1050">
        <v>5</v>
      </c>
      <c r="G146" s="1041">
        <v>5</v>
      </c>
      <c r="H146" s="1036">
        <v>39273</v>
      </c>
      <c r="I146" s="73"/>
      <c r="J146" s="72"/>
      <c r="K146" s="73"/>
      <c r="L146" s="72"/>
      <c r="M146" s="73"/>
      <c r="N146" s="66"/>
      <c r="O146" s="66"/>
      <c r="P146" s="66"/>
      <c r="Q146" s="668">
        <v>5</v>
      </c>
      <c r="R146" s="997">
        <v>39273</v>
      </c>
    </row>
    <row r="147" spans="1:18" ht="15" customHeight="1" x14ac:dyDescent="0.3">
      <c r="A147" s="96">
        <v>352</v>
      </c>
      <c r="B147" s="526">
        <v>34274</v>
      </c>
      <c r="C147" s="527" t="s">
        <v>110</v>
      </c>
      <c r="D147" s="73">
        <v>44530</v>
      </c>
      <c r="E147" s="801">
        <v>0</v>
      </c>
      <c r="F147" s="1050">
        <v>5</v>
      </c>
      <c r="G147" s="1041">
        <v>5</v>
      </c>
      <c r="H147" s="1036">
        <v>44530</v>
      </c>
      <c r="I147" s="73"/>
      <c r="J147" s="72"/>
      <c r="K147" s="73"/>
      <c r="L147" s="72"/>
      <c r="M147" s="73"/>
      <c r="N147" s="66"/>
      <c r="O147" s="66"/>
      <c r="P147" s="66"/>
      <c r="Q147" s="668">
        <v>5</v>
      </c>
      <c r="R147" s="997">
        <v>44530</v>
      </c>
    </row>
    <row r="148" spans="1:18" ht="15" customHeight="1" x14ac:dyDescent="0.3">
      <c r="A148" s="96">
        <v>353</v>
      </c>
      <c r="B148" s="526">
        <v>34639</v>
      </c>
      <c r="C148" s="527" t="s">
        <v>111</v>
      </c>
      <c r="D148" s="76">
        <v>36473</v>
      </c>
      <c r="E148" s="801">
        <v>0</v>
      </c>
      <c r="F148" s="1050">
        <v>4</v>
      </c>
      <c r="G148" s="1041">
        <v>4</v>
      </c>
      <c r="H148" s="1037">
        <v>36473</v>
      </c>
      <c r="I148" s="73"/>
      <c r="J148" s="72"/>
      <c r="K148" s="73"/>
      <c r="L148" s="72"/>
      <c r="M148" s="73"/>
      <c r="N148" s="66"/>
      <c r="O148" s="66"/>
      <c r="P148" s="66"/>
      <c r="Q148" s="668">
        <v>4</v>
      </c>
      <c r="R148" s="998">
        <v>36473</v>
      </c>
    </row>
    <row r="149" spans="1:18" ht="15" customHeight="1" x14ac:dyDescent="0.3">
      <c r="A149" s="96">
        <v>354</v>
      </c>
      <c r="B149" s="526">
        <v>34639</v>
      </c>
      <c r="C149" s="527" t="s">
        <v>59</v>
      </c>
      <c r="D149" s="73">
        <v>44880</v>
      </c>
      <c r="E149" s="801">
        <v>0</v>
      </c>
      <c r="F149" s="1050">
        <v>7</v>
      </c>
      <c r="G149" s="1041">
        <v>7</v>
      </c>
      <c r="H149" s="1036">
        <v>44880</v>
      </c>
      <c r="I149" s="73"/>
      <c r="J149" s="72"/>
      <c r="K149" s="73"/>
      <c r="L149" s="72"/>
      <c r="M149" s="73"/>
      <c r="N149" s="66"/>
      <c r="O149" s="66"/>
      <c r="P149" s="66"/>
      <c r="Q149" s="668">
        <v>7</v>
      </c>
      <c r="R149" s="997">
        <v>44880</v>
      </c>
    </row>
    <row r="150" spans="1:18" ht="15" customHeight="1" x14ac:dyDescent="0.3">
      <c r="A150" s="96">
        <v>357</v>
      </c>
      <c r="B150" s="526">
        <v>34455</v>
      </c>
      <c r="C150" s="527" t="s">
        <v>112</v>
      </c>
      <c r="D150" s="73">
        <v>38852</v>
      </c>
      <c r="E150" s="801">
        <v>0</v>
      </c>
      <c r="F150" s="1050">
        <v>6</v>
      </c>
      <c r="G150" s="1041">
        <v>6</v>
      </c>
      <c r="H150" s="1036">
        <v>38852</v>
      </c>
      <c r="I150" s="73"/>
      <c r="J150" s="72"/>
      <c r="K150" s="73"/>
      <c r="L150" s="72"/>
      <c r="M150" s="73"/>
      <c r="N150" s="66"/>
      <c r="O150" s="66"/>
      <c r="P150" s="66"/>
      <c r="Q150" s="668">
        <v>6</v>
      </c>
      <c r="R150" s="997">
        <v>38852</v>
      </c>
    </row>
    <row r="151" spans="1:18" ht="15" customHeight="1" x14ac:dyDescent="0.3">
      <c r="A151" s="96">
        <v>358</v>
      </c>
      <c r="B151" s="526">
        <v>34486</v>
      </c>
      <c r="C151" s="527" t="s">
        <v>113</v>
      </c>
      <c r="D151" s="73">
        <v>34757</v>
      </c>
      <c r="E151" s="801">
        <v>0</v>
      </c>
      <c r="F151" s="1050">
        <v>1</v>
      </c>
      <c r="G151" s="1041">
        <v>1</v>
      </c>
      <c r="H151" s="1036">
        <v>34757</v>
      </c>
      <c r="I151" s="73"/>
      <c r="J151" s="72"/>
      <c r="K151" s="73"/>
      <c r="L151" s="72"/>
      <c r="M151" s="73"/>
      <c r="N151" s="66"/>
      <c r="O151" s="66"/>
      <c r="P151" s="66"/>
      <c r="Q151" s="668">
        <v>1</v>
      </c>
      <c r="R151" s="997">
        <v>34757</v>
      </c>
    </row>
    <row r="152" spans="1:18" ht="15" customHeight="1" x14ac:dyDescent="0.3">
      <c r="A152" s="96">
        <v>363</v>
      </c>
      <c r="B152" s="526">
        <v>34547</v>
      </c>
      <c r="C152" s="527" t="s">
        <v>114</v>
      </c>
      <c r="D152" s="76">
        <v>44595</v>
      </c>
      <c r="E152" s="801">
        <v>0</v>
      </c>
      <c r="F152" s="1050">
        <v>9</v>
      </c>
      <c r="G152" s="1041">
        <v>9</v>
      </c>
      <c r="H152" s="1037">
        <v>44595</v>
      </c>
      <c r="I152" s="73"/>
      <c r="J152" s="72"/>
      <c r="K152" s="73"/>
      <c r="L152" s="72"/>
      <c r="M152" s="73"/>
      <c r="N152" s="66"/>
      <c r="O152" s="66"/>
      <c r="P152" s="66"/>
      <c r="Q152" s="668">
        <v>9</v>
      </c>
      <c r="R152" s="998">
        <v>44595</v>
      </c>
    </row>
    <row r="153" spans="1:18" ht="15" customHeight="1" x14ac:dyDescent="0.3">
      <c r="A153" s="96">
        <v>365</v>
      </c>
      <c r="B153" s="526">
        <v>34608</v>
      </c>
      <c r="C153" s="527" t="s">
        <v>115</v>
      </c>
      <c r="D153" s="73">
        <v>45169</v>
      </c>
      <c r="E153" s="801">
        <v>2</v>
      </c>
      <c r="F153" s="1050">
        <v>48</v>
      </c>
      <c r="G153" s="1041">
        <v>46</v>
      </c>
      <c r="H153" s="1036">
        <v>44735</v>
      </c>
      <c r="I153" s="76"/>
      <c r="J153" s="72"/>
      <c r="K153" s="76"/>
      <c r="L153" s="72"/>
      <c r="M153" s="76"/>
      <c r="N153" s="66"/>
      <c r="O153" s="66"/>
      <c r="P153" s="66"/>
      <c r="Q153" s="668">
        <v>46</v>
      </c>
      <c r="R153" s="997">
        <v>44735</v>
      </c>
    </row>
    <row r="154" spans="1:18" ht="15" customHeight="1" x14ac:dyDescent="0.3">
      <c r="A154" s="96">
        <v>366</v>
      </c>
      <c r="B154" s="526">
        <v>34486</v>
      </c>
      <c r="C154" s="527" t="s">
        <v>34</v>
      </c>
      <c r="D154" s="73">
        <v>43622</v>
      </c>
      <c r="E154" s="801">
        <v>0</v>
      </c>
      <c r="F154" s="1050">
        <v>4</v>
      </c>
      <c r="G154" s="1041">
        <v>4</v>
      </c>
      <c r="H154" s="1036">
        <v>43622</v>
      </c>
      <c r="I154" s="73"/>
      <c r="J154" s="72"/>
      <c r="K154" s="73"/>
      <c r="L154" s="72"/>
      <c r="M154" s="73"/>
      <c r="N154" s="66"/>
      <c r="O154" s="66"/>
      <c r="P154" s="66"/>
      <c r="Q154" s="668">
        <v>4</v>
      </c>
      <c r="R154" s="997">
        <v>43622</v>
      </c>
    </row>
    <row r="155" spans="1:18" ht="15" customHeight="1" x14ac:dyDescent="0.3">
      <c r="A155" s="96">
        <v>368</v>
      </c>
      <c r="B155" s="526">
        <v>34516</v>
      </c>
      <c r="C155" s="527" t="s">
        <v>116</v>
      </c>
      <c r="D155" s="76" t="s">
        <v>16</v>
      </c>
      <c r="E155" s="801">
        <v>0</v>
      </c>
      <c r="F155" s="1050">
        <v>0</v>
      </c>
      <c r="G155" s="1041">
        <v>0</v>
      </c>
      <c r="H155" s="1037" t="s">
        <v>16</v>
      </c>
      <c r="I155" s="73"/>
      <c r="J155" s="72"/>
      <c r="K155" s="73"/>
      <c r="L155" s="72"/>
      <c r="M155" s="73"/>
      <c r="N155" s="66"/>
      <c r="O155" s="66"/>
      <c r="P155" s="66"/>
      <c r="Q155" s="668">
        <v>0</v>
      </c>
      <c r="R155" s="998" t="s">
        <v>16</v>
      </c>
    </row>
    <row r="156" spans="1:18" ht="15" customHeight="1" x14ac:dyDescent="0.3">
      <c r="A156" s="96">
        <v>372</v>
      </c>
      <c r="B156" s="526">
        <v>34639</v>
      </c>
      <c r="C156" s="527" t="s">
        <v>36</v>
      </c>
      <c r="D156" s="76" t="s">
        <v>16</v>
      </c>
      <c r="E156" s="801">
        <v>0</v>
      </c>
      <c r="F156" s="1050">
        <v>0</v>
      </c>
      <c r="G156" s="1041">
        <v>0</v>
      </c>
      <c r="H156" s="1037" t="s">
        <v>16</v>
      </c>
      <c r="I156" s="73"/>
      <c r="J156" s="72"/>
      <c r="K156" s="73"/>
      <c r="L156" s="72"/>
      <c r="M156" s="73"/>
      <c r="N156" s="66"/>
      <c r="O156" s="66"/>
      <c r="P156" s="66"/>
      <c r="Q156" s="668">
        <v>0</v>
      </c>
      <c r="R156" s="998" t="s">
        <v>16</v>
      </c>
    </row>
    <row r="157" spans="1:18" ht="15" customHeight="1" x14ac:dyDescent="0.3">
      <c r="A157" s="96">
        <v>375</v>
      </c>
      <c r="B157" s="526">
        <v>34639</v>
      </c>
      <c r="C157" s="530" t="s">
        <v>104</v>
      </c>
      <c r="D157" s="73">
        <v>44327</v>
      </c>
      <c r="E157" s="801">
        <v>0</v>
      </c>
      <c r="F157" s="1050">
        <v>2</v>
      </c>
      <c r="G157" s="1041">
        <v>2</v>
      </c>
      <c r="H157" s="1036">
        <v>44327</v>
      </c>
      <c r="I157" s="76"/>
      <c r="J157" s="72"/>
      <c r="K157" s="76"/>
      <c r="L157" s="72"/>
      <c r="M157" s="76"/>
      <c r="N157" s="66"/>
      <c r="O157" s="66"/>
      <c r="P157" s="66"/>
      <c r="Q157" s="668">
        <v>2</v>
      </c>
      <c r="R157" s="997">
        <v>44327</v>
      </c>
    </row>
    <row r="158" spans="1:18" ht="15" customHeight="1" x14ac:dyDescent="0.3">
      <c r="A158" s="96">
        <v>377</v>
      </c>
      <c r="B158" s="526">
        <v>34639</v>
      </c>
      <c r="C158" s="530" t="s">
        <v>104</v>
      </c>
      <c r="D158" s="73">
        <v>42688</v>
      </c>
      <c r="E158" s="801">
        <v>0</v>
      </c>
      <c r="F158" s="1050">
        <v>4</v>
      </c>
      <c r="G158" s="1041">
        <v>4</v>
      </c>
      <c r="H158" s="1036">
        <v>42688</v>
      </c>
      <c r="I158" s="73"/>
      <c r="J158" s="72"/>
      <c r="K158" s="73"/>
      <c r="L158" s="72"/>
      <c r="M158" s="73"/>
      <c r="N158" s="66"/>
      <c r="O158" s="66"/>
      <c r="P158" s="66"/>
      <c r="Q158" s="668">
        <v>4</v>
      </c>
      <c r="R158" s="997">
        <v>42688</v>
      </c>
    </row>
    <row r="159" spans="1:18" ht="15" customHeight="1" x14ac:dyDescent="0.3">
      <c r="A159" s="96">
        <v>379</v>
      </c>
      <c r="B159" s="526">
        <v>34639</v>
      </c>
      <c r="C159" s="530" t="s">
        <v>104</v>
      </c>
      <c r="D159" s="76" t="s">
        <v>16</v>
      </c>
      <c r="E159" s="801">
        <v>0</v>
      </c>
      <c r="F159" s="1050">
        <v>0</v>
      </c>
      <c r="G159" s="1041">
        <v>0</v>
      </c>
      <c r="H159" s="1037" t="s">
        <v>16</v>
      </c>
      <c r="I159" s="73"/>
      <c r="J159" s="72"/>
      <c r="K159" s="73"/>
      <c r="L159" s="72"/>
      <c r="M159" s="73"/>
      <c r="N159" s="66"/>
      <c r="O159" s="66"/>
      <c r="P159" s="66"/>
      <c r="Q159" s="668">
        <v>0</v>
      </c>
      <c r="R159" s="998" t="s">
        <v>16</v>
      </c>
    </row>
    <row r="160" spans="1:18" ht="15" customHeight="1" x14ac:dyDescent="0.3">
      <c r="A160" s="96">
        <v>380</v>
      </c>
      <c r="B160" s="526">
        <v>34639</v>
      </c>
      <c r="C160" s="527" t="s">
        <v>117</v>
      </c>
      <c r="D160" s="73">
        <v>42046</v>
      </c>
      <c r="E160" s="801">
        <v>0</v>
      </c>
      <c r="F160" s="1050">
        <v>4</v>
      </c>
      <c r="G160" s="1041">
        <v>4</v>
      </c>
      <c r="H160" s="1036">
        <v>42046</v>
      </c>
      <c r="I160" s="76"/>
      <c r="J160" s="72"/>
      <c r="K160" s="76"/>
      <c r="L160" s="72"/>
      <c r="M160" s="76"/>
      <c r="N160" s="66"/>
      <c r="O160" s="66"/>
      <c r="P160" s="66"/>
      <c r="Q160" s="668">
        <v>4</v>
      </c>
      <c r="R160" s="997">
        <v>42046</v>
      </c>
    </row>
    <row r="161" spans="1:18" ht="15" customHeight="1" x14ac:dyDescent="0.3">
      <c r="A161" s="96">
        <v>381</v>
      </c>
      <c r="B161" s="526">
        <v>34639</v>
      </c>
      <c r="C161" s="527" t="s">
        <v>118</v>
      </c>
      <c r="D161" s="73">
        <v>42046</v>
      </c>
      <c r="E161" s="801">
        <v>0</v>
      </c>
      <c r="F161" s="1050">
        <v>4</v>
      </c>
      <c r="G161" s="1041">
        <v>4</v>
      </c>
      <c r="H161" s="1036">
        <v>42046</v>
      </c>
      <c r="I161" s="76"/>
      <c r="J161" s="72"/>
      <c r="K161" s="76"/>
      <c r="L161" s="72"/>
      <c r="M161" s="76"/>
      <c r="N161" s="66"/>
      <c r="O161" s="66"/>
      <c r="P161" s="66"/>
      <c r="Q161" s="668">
        <v>4</v>
      </c>
      <c r="R161" s="997">
        <v>42046</v>
      </c>
    </row>
    <row r="162" spans="1:18" ht="15" customHeight="1" x14ac:dyDescent="0.3">
      <c r="A162" s="96">
        <v>382</v>
      </c>
      <c r="B162" s="526">
        <v>34608</v>
      </c>
      <c r="C162" s="527" t="s">
        <v>65</v>
      </c>
      <c r="D162" s="73">
        <v>44504</v>
      </c>
      <c r="E162" s="801">
        <v>0</v>
      </c>
      <c r="F162" s="1050">
        <v>4</v>
      </c>
      <c r="G162" s="1041">
        <v>4</v>
      </c>
      <c r="H162" s="1036">
        <v>44504</v>
      </c>
      <c r="I162" s="73"/>
      <c r="J162" s="72"/>
      <c r="K162" s="73"/>
      <c r="L162" s="72"/>
      <c r="M162" s="73"/>
      <c r="N162" s="66"/>
      <c r="O162" s="66"/>
      <c r="P162" s="66"/>
      <c r="Q162" s="668">
        <v>4</v>
      </c>
      <c r="R162" s="997">
        <v>44504</v>
      </c>
    </row>
    <row r="163" spans="1:18" ht="15" customHeight="1" x14ac:dyDescent="0.3">
      <c r="A163" s="96">
        <v>386</v>
      </c>
      <c r="B163" s="526">
        <v>34608</v>
      </c>
      <c r="C163" s="527" t="s">
        <v>119</v>
      </c>
      <c r="D163" s="73">
        <v>45169</v>
      </c>
      <c r="E163" s="801">
        <v>1</v>
      </c>
      <c r="F163" s="1050">
        <v>3</v>
      </c>
      <c r="G163" s="1041">
        <v>2</v>
      </c>
      <c r="H163" s="1036">
        <v>44595</v>
      </c>
      <c r="I163" s="73"/>
      <c r="J163" s="72"/>
      <c r="K163" s="73"/>
      <c r="L163" s="72"/>
      <c r="M163" s="73"/>
      <c r="N163" s="66"/>
      <c r="O163" s="66"/>
      <c r="P163" s="66"/>
      <c r="Q163" s="668">
        <v>2</v>
      </c>
      <c r="R163" s="997">
        <v>44595</v>
      </c>
    </row>
    <row r="164" spans="1:18" ht="15" customHeight="1" x14ac:dyDescent="0.3">
      <c r="A164" s="96">
        <v>387</v>
      </c>
      <c r="B164" s="526">
        <v>34608</v>
      </c>
      <c r="C164" s="527" t="s">
        <v>54</v>
      </c>
      <c r="D164" s="73">
        <v>44621</v>
      </c>
      <c r="E164" s="801">
        <v>0</v>
      </c>
      <c r="F164" s="1050">
        <v>24</v>
      </c>
      <c r="G164" s="1041">
        <v>24</v>
      </c>
      <c r="H164" s="1036">
        <v>44621</v>
      </c>
      <c r="I164" s="76"/>
      <c r="J164" s="72"/>
      <c r="K164" s="76"/>
      <c r="L164" s="72"/>
      <c r="M164" s="76"/>
      <c r="N164" s="66"/>
      <c r="O164" s="66"/>
      <c r="P164" s="66"/>
      <c r="Q164" s="668">
        <v>24</v>
      </c>
      <c r="R164" s="997">
        <v>44621</v>
      </c>
    </row>
    <row r="165" spans="1:18" ht="15" customHeight="1" x14ac:dyDescent="0.3">
      <c r="A165" s="96">
        <v>388</v>
      </c>
      <c r="B165" s="526">
        <v>34759</v>
      </c>
      <c r="C165" s="527" t="s">
        <v>120</v>
      </c>
      <c r="D165" s="73">
        <v>42688</v>
      </c>
      <c r="E165" s="801">
        <v>0</v>
      </c>
      <c r="F165" s="1050">
        <v>9</v>
      </c>
      <c r="G165" s="1041">
        <v>9</v>
      </c>
      <c r="H165" s="1036">
        <v>42688</v>
      </c>
      <c r="I165" s="73"/>
      <c r="J165" s="72"/>
      <c r="K165" s="73"/>
      <c r="L165" s="72"/>
      <c r="M165" s="73"/>
      <c r="N165" s="66"/>
      <c r="O165" s="66"/>
      <c r="P165" s="66"/>
      <c r="Q165" s="668">
        <v>9</v>
      </c>
      <c r="R165" s="997">
        <v>42688</v>
      </c>
    </row>
    <row r="166" spans="1:18" ht="15" customHeight="1" x14ac:dyDescent="0.3">
      <c r="A166" s="96">
        <v>389</v>
      </c>
      <c r="B166" s="526">
        <v>34759</v>
      </c>
      <c r="C166" s="527" t="s">
        <v>104</v>
      </c>
      <c r="D166" s="73">
        <v>42688</v>
      </c>
      <c r="E166" s="801">
        <v>0</v>
      </c>
      <c r="F166" s="1050">
        <v>7</v>
      </c>
      <c r="G166" s="1041">
        <v>7</v>
      </c>
      <c r="H166" s="1036">
        <v>42688</v>
      </c>
      <c r="I166" s="73"/>
      <c r="J166" s="72"/>
      <c r="K166" s="73"/>
      <c r="L166" s="72"/>
      <c r="M166" s="73"/>
      <c r="N166" s="66"/>
      <c r="O166" s="66"/>
      <c r="P166" s="66"/>
      <c r="Q166" s="668">
        <v>7</v>
      </c>
      <c r="R166" s="997">
        <v>42688</v>
      </c>
    </row>
    <row r="167" spans="1:18" ht="15" customHeight="1" x14ac:dyDescent="0.3">
      <c r="A167" s="96">
        <v>392</v>
      </c>
      <c r="B167" s="526">
        <v>34912</v>
      </c>
      <c r="C167" s="527" t="s">
        <v>121</v>
      </c>
      <c r="D167" s="73">
        <v>44047</v>
      </c>
      <c r="E167" s="801">
        <v>0</v>
      </c>
      <c r="F167" s="1050">
        <v>11</v>
      </c>
      <c r="G167" s="1041">
        <v>11</v>
      </c>
      <c r="H167" s="1036">
        <v>44047</v>
      </c>
      <c r="I167" s="73"/>
      <c r="J167" s="72"/>
      <c r="K167" s="73"/>
      <c r="L167" s="72"/>
      <c r="M167" s="73"/>
      <c r="N167" s="66"/>
      <c r="O167" s="66"/>
      <c r="P167" s="66"/>
      <c r="Q167" s="668">
        <v>11</v>
      </c>
      <c r="R167" s="997">
        <v>44047</v>
      </c>
    </row>
    <row r="168" spans="1:18" ht="15" customHeight="1" x14ac:dyDescent="0.3">
      <c r="A168" s="96">
        <v>393</v>
      </c>
      <c r="B168" s="526">
        <v>34608</v>
      </c>
      <c r="C168" s="527" t="s">
        <v>122</v>
      </c>
      <c r="D168" s="73">
        <v>44840</v>
      </c>
      <c r="E168" s="801">
        <v>0</v>
      </c>
      <c r="F168" s="1050">
        <v>10</v>
      </c>
      <c r="G168" s="1041">
        <v>10</v>
      </c>
      <c r="H168" s="1036">
        <v>44840</v>
      </c>
      <c r="I168" s="73"/>
      <c r="J168" s="72"/>
      <c r="K168" s="73"/>
      <c r="L168" s="72"/>
      <c r="M168" s="73"/>
      <c r="N168" s="66"/>
      <c r="O168" s="66"/>
      <c r="P168" s="66"/>
      <c r="Q168" s="668">
        <v>10</v>
      </c>
      <c r="R168" s="997">
        <v>44840</v>
      </c>
    </row>
    <row r="169" spans="1:18" ht="15" customHeight="1" x14ac:dyDescent="0.3">
      <c r="A169" s="96">
        <v>394</v>
      </c>
      <c r="B169" s="526">
        <v>34608</v>
      </c>
      <c r="C169" s="527" t="s">
        <v>123</v>
      </c>
      <c r="D169" s="76" t="s">
        <v>16</v>
      </c>
      <c r="E169" s="801">
        <v>0</v>
      </c>
      <c r="F169" s="1050">
        <v>0</v>
      </c>
      <c r="G169" s="1041">
        <v>0</v>
      </c>
      <c r="H169" s="1037" t="s">
        <v>16</v>
      </c>
      <c r="I169" s="73"/>
      <c r="J169" s="72"/>
      <c r="K169" s="73"/>
      <c r="L169" s="72"/>
      <c r="M169" s="73"/>
      <c r="N169" s="66"/>
      <c r="O169" s="66"/>
      <c r="P169" s="66"/>
      <c r="Q169" s="668">
        <v>0</v>
      </c>
      <c r="R169" s="998" t="s">
        <v>16</v>
      </c>
    </row>
    <row r="170" spans="1:18" ht="15" customHeight="1" x14ac:dyDescent="0.3">
      <c r="A170" s="96">
        <v>397</v>
      </c>
      <c r="B170" s="526">
        <v>34608</v>
      </c>
      <c r="C170" s="527" t="s">
        <v>124</v>
      </c>
      <c r="D170" s="73">
        <v>45169</v>
      </c>
      <c r="E170" s="801">
        <v>2</v>
      </c>
      <c r="F170" s="1050">
        <v>20</v>
      </c>
      <c r="G170" s="1041">
        <v>18</v>
      </c>
      <c r="H170" s="1036">
        <v>44223</v>
      </c>
      <c r="I170" s="73"/>
      <c r="J170" s="72"/>
      <c r="K170" s="73"/>
      <c r="L170" s="72"/>
      <c r="M170" s="73"/>
      <c r="N170" s="66"/>
      <c r="O170" s="66"/>
      <c r="P170" s="66"/>
      <c r="Q170" s="668">
        <v>18</v>
      </c>
      <c r="R170" s="997">
        <v>44223</v>
      </c>
    </row>
    <row r="171" spans="1:18" ht="15" customHeight="1" x14ac:dyDescent="0.3">
      <c r="A171" s="97">
        <v>399</v>
      </c>
      <c r="B171" s="526">
        <v>35156</v>
      </c>
      <c r="C171" s="528" t="s">
        <v>125</v>
      </c>
      <c r="D171" s="73">
        <v>44335</v>
      </c>
      <c r="E171" s="801">
        <v>0</v>
      </c>
      <c r="F171" s="1050">
        <v>12</v>
      </c>
      <c r="G171" s="1041">
        <v>12</v>
      </c>
      <c r="H171" s="1036">
        <v>44335</v>
      </c>
      <c r="I171" s="73"/>
      <c r="J171" s="72"/>
      <c r="K171" s="73"/>
      <c r="L171" s="72"/>
      <c r="M171" s="73"/>
      <c r="N171" s="66"/>
      <c r="O171" s="66"/>
      <c r="P171" s="66"/>
      <c r="Q171" s="668">
        <v>12</v>
      </c>
      <c r="R171" s="997">
        <v>44335</v>
      </c>
    </row>
    <row r="172" spans="1:18" ht="15" customHeight="1" x14ac:dyDescent="0.3">
      <c r="A172" s="96">
        <v>400</v>
      </c>
      <c r="B172" s="526">
        <v>35156</v>
      </c>
      <c r="C172" s="527" t="s">
        <v>126</v>
      </c>
      <c r="D172" s="73">
        <v>44421</v>
      </c>
      <c r="E172" s="801">
        <v>0</v>
      </c>
      <c r="F172" s="1050">
        <v>4</v>
      </c>
      <c r="G172" s="1041">
        <v>4</v>
      </c>
      <c r="H172" s="1036">
        <v>44421</v>
      </c>
      <c r="I172" s="73"/>
      <c r="J172" s="72"/>
      <c r="K172" s="73"/>
      <c r="L172" s="72"/>
      <c r="M172" s="73"/>
      <c r="N172" s="66"/>
      <c r="O172" s="66"/>
      <c r="P172" s="66"/>
      <c r="Q172" s="668">
        <v>4</v>
      </c>
      <c r="R172" s="997">
        <v>44421</v>
      </c>
    </row>
    <row r="173" spans="1:18" ht="15" customHeight="1" x14ac:dyDescent="0.3">
      <c r="A173" s="96">
        <v>401</v>
      </c>
      <c r="B173" s="526">
        <v>35156</v>
      </c>
      <c r="C173" s="527" t="s">
        <v>126</v>
      </c>
      <c r="D173" s="76" t="s">
        <v>16</v>
      </c>
      <c r="E173" s="801">
        <v>0</v>
      </c>
      <c r="F173" s="1050">
        <v>0</v>
      </c>
      <c r="G173" s="1041">
        <v>0</v>
      </c>
      <c r="H173" s="1037" t="s">
        <v>16</v>
      </c>
      <c r="I173" s="73"/>
      <c r="J173" s="72"/>
      <c r="K173" s="73"/>
      <c r="L173" s="72"/>
      <c r="M173" s="73"/>
      <c r="N173" s="66"/>
      <c r="O173" s="66"/>
      <c r="P173" s="66"/>
      <c r="Q173" s="668">
        <v>0</v>
      </c>
      <c r="R173" s="998" t="s">
        <v>16</v>
      </c>
    </row>
    <row r="174" spans="1:18" ht="15" customHeight="1" x14ac:dyDescent="0.3">
      <c r="A174" s="96">
        <v>402</v>
      </c>
      <c r="B174" s="526">
        <v>35156</v>
      </c>
      <c r="C174" s="527" t="s">
        <v>126</v>
      </c>
      <c r="D174" s="76" t="s">
        <v>16</v>
      </c>
      <c r="E174" s="801">
        <v>0</v>
      </c>
      <c r="F174" s="1050">
        <v>0</v>
      </c>
      <c r="G174" s="1041">
        <v>0</v>
      </c>
      <c r="H174" s="1037" t="s">
        <v>16</v>
      </c>
      <c r="I174" s="76"/>
      <c r="J174" s="72"/>
      <c r="K174" s="76"/>
      <c r="L174" s="72"/>
      <c r="M174" s="76"/>
      <c r="N174" s="66"/>
      <c r="O174" s="66"/>
      <c r="P174" s="66"/>
      <c r="Q174" s="668">
        <v>0</v>
      </c>
      <c r="R174" s="998" t="s">
        <v>16</v>
      </c>
    </row>
    <row r="175" spans="1:18" ht="15" customHeight="1" x14ac:dyDescent="0.3">
      <c r="A175" s="96">
        <v>403</v>
      </c>
      <c r="B175" s="526">
        <v>35156</v>
      </c>
      <c r="C175" s="527" t="s">
        <v>126</v>
      </c>
      <c r="D175" s="73">
        <v>41351</v>
      </c>
      <c r="E175" s="801">
        <v>0</v>
      </c>
      <c r="F175" s="1050">
        <v>1</v>
      </c>
      <c r="G175" s="1041">
        <v>1</v>
      </c>
      <c r="H175" s="1036">
        <v>41351</v>
      </c>
      <c r="I175" s="73"/>
      <c r="J175" s="72"/>
      <c r="K175" s="73"/>
      <c r="L175" s="72"/>
      <c r="M175" s="73"/>
      <c r="N175" s="66"/>
      <c r="O175" s="66"/>
      <c r="P175" s="66"/>
      <c r="Q175" s="668">
        <v>1</v>
      </c>
      <c r="R175" s="997">
        <v>41351</v>
      </c>
    </row>
    <row r="176" spans="1:18" ht="15" customHeight="1" x14ac:dyDescent="0.3">
      <c r="A176" s="96">
        <v>404</v>
      </c>
      <c r="B176" s="526">
        <v>35156</v>
      </c>
      <c r="C176" s="527" t="s">
        <v>126</v>
      </c>
      <c r="D176" s="76" t="s">
        <v>16</v>
      </c>
      <c r="E176" s="801">
        <v>0</v>
      </c>
      <c r="F176" s="1050">
        <v>0</v>
      </c>
      <c r="G176" s="1041">
        <v>0</v>
      </c>
      <c r="H176" s="1037" t="s">
        <v>16</v>
      </c>
      <c r="I176" s="73"/>
      <c r="J176" s="72"/>
      <c r="K176" s="73"/>
      <c r="L176" s="72"/>
      <c r="M176" s="73"/>
      <c r="N176" s="66"/>
      <c r="O176" s="66"/>
      <c r="P176" s="66"/>
      <c r="Q176" s="668">
        <v>0</v>
      </c>
      <c r="R176" s="998" t="s">
        <v>16</v>
      </c>
    </row>
    <row r="177" spans="1:18" ht="15" customHeight="1" x14ac:dyDescent="0.3">
      <c r="A177" s="96">
        <v>405</v>
      </c>
      <c r="B177" s="526">
        <v>35156</v>
      </c>
      <c r="C177" s="527" t="s">
        <v>126</v>
      </c>
      <c r="D177" s="76" t="s">
        <v>16</v>
      </c>
      <c r="E177" s="801">
        <v>0</v>
      </c>
      <c r="F177" s="1050">
        <v>0</v>
      </c>
      <c r="G177" s="1041">
        <v>0</v>
      </c>
      <c r="H177" s="1037" t="s">
        <v>16</v>
      </c>
      <c r="I177" s="73"/>
      <c r="J177" s="72"/>
      <c r="K177" s="73"/>
      <c r="L177" s="72"/>
      <c r="M177" s="73"/>
      <c r="N177" s="66"/>
      <c r="O177" s="66"/>
      <c r="P177" s="66"/>
      <c r="Q177" s="668">
        <v>0</v>
      </c>
      <c r="R177" s="998" t="s">
        <v>16</v>
      </c>
    </row>
    <row r="178" spans="1:18" ht="15" customHeight="1" x14ac:dyDescent="0.3">
      <c r="A178" s="96">
        <v>406</v>
      </c>
      <c r="B178" s="526">
        <v>35156</v>
      </c>
      <c r="C178" s="527" t="s">
        <v>126</v>
      </c>
      <c r="D178" s="76" t="s">
        <v>16</v>
      </c>
      <c r="E178" s="801">
        <v>0</v>
      </c>
      <c r="F178" s="1050">
        <v>0</v>
      </c>
      <c r="G178" s="1041">
        <v>0</v>
      </c>
      <c r="H178" s="1037" t="s">
        <v>16</v>
      </c>
      <c r="I178" s="76"/>
      <c r="J178" s="72"/>
      <c r="K178" s="76"/>
      <c r="L178" s="72"/>
      <c r="M178" s="76"/>
      <c r="N178" s="66"/>
      <c r="O178" s="66"/>
      <c r="P178" s="66"/>
      <c r="Q178" s="668">
        <v>0</v>
      </c>
      <c r="R178" s="998" t="s">
        <v>16</v>
      </c>
    </row>
    <row r="179" spans="1:18" ht="15" customHeight="1" x14ac:dyDescent="0.3">
      <c r="A179" s="96">
        <v>407</v>
      </c>
      <c r="B179" s="526">
        <v>35156</v>
      </c>
      <c r="C179" s="527" t="s">
        <v>126</v>
      </c>
      <c r="D179" s="76" t="s">
        <v>16</v>
      </c>
      <c r="E179" s="801">
        <v>0</v>
      </c>
      <c r="F179" s="1050">
        <v>0</v>
      </c>
      <c r="G179" s="1041">
        <v>0</v>
      </c>
      <c r="H179" s="1037" t="s">
        <v>16</v>
      </c>
      <c r="I179" s="76"/>
      <c r="J179" s="72"/>
      <c r="K179" s="76"/>
      <c r="L179" s="72"/>
      <c r="M179" s="76"/>
      <c r="N179" s="66"/>
      <c r="O179" s="66"/>
      <c r="P179" s="66"/>
      <c r="Q179" s="668">
        <v>0</v>
      </c>
      <c r="R179" s="998" t="s">
        <v>16</v>
      </c>
    </row>
    <row r="180" spans="1:18" ht="15" customHeight="1" x14ac:dyDescent="0.3">
      <c r="A180" s="96">
        <v>408</v>
      </c>
      <c r="B180" s="526">
        <v>35156</v>
      </c>
      <c r="C180" s="527" t="s">
        <v>126</v>
      </c>
      <c r="D180" s="73">
        <v>40248</v>
      </c>
      <c r="E180" s="801">
        <v>0</v>
      </c>
      <c r="F180" s="1050">
        <v>1</v>
      </c>
      <c r="G180" s="1041">
        <v>1</v>
      </c>
      <c r="H180" s="1036">
        <v>40248</v>
      </c>
      <c r="I180" s="73"/>
      <c r="J180" s="72"/>
      <c r="K180" s="73"/>
      <c r="L180" s="72"/>
      <c r="M180" s="73"/>
      <c r="N180" s="66"/>
      <c r="O180" s="66"/>
      <c r="P180" s="66"/>
      <c r="Q180" s="668">
        <v>1</v>
      </c>
      <c r="R180" s="997">
        <v>40248</v>
      </c>
    </row>
    <row r="181" spans="1:18" ht="15" customHeight="1" x14ac:dyDescent="0.3">
      <c r="A181" s="96">
        <v>409</v>
      </c>
      <c r="B181" s="526">
        <v>35156</v>
      </c>
      <c r="C181" s="527" t="s">
        <v>126</v>
      </c>
      <c r="D181" s="76" t="s">
        <v>16</v>
      </c>
      <c r="E181" s="802">
        <v>0</v>
      </c>
      <c r="F181" s="1051">
        <v>0</v>
      </c>
      <c r="G181" s="1042">
        <v>0</v>
      </c>
      <c r="H181" s="1037" t="s">
        <v>16</v>
      </c>
      <c r="I181" s="76"/>
      <c r="J181" s="72"/>
      <c r="K181" s="76"/>
      <c r="L181" s="72"/>
      <c r="M181" s="76"/>
      <c r="N181" s="66"/>
      <c r="O181" s="66"/>
      <c r="P181" s="66"/>
      <c r="Q181" s="805">
        <v>0</v>
      </c>
      <c r="R181" s="998" t="s">
        <v>16</v>
      </c>
    </row>
    <row r="182" spans="1:18" ht="15" customHeight="1" x14ac:dyDescent="0.3">
      <c r="A182" s="96">
        <v>411</v>
      </c>
      <c r="B182" s="526">
        <v>35156</v>
      </c>
      <c r="C182" s="527" t="s">
        <v>126</v>
      </c>
      <c r="D182" s="76" t="s">
        <v>16</v>
      </c>
      <c r="E182" s="802">
        <v>0</v>
      </c>
      <c r="F182" s="1051">
        <v>0</v>
      </c>
      <c r="G182" s="1042">
        <v>0</v>
      </c>
      <c r="H182" s="1037" t="s">
        <v>16</v>
      </c>
      <c r="I182" s="76"/>
      <c r="J182" s="72"/>
      <c r="K182" s="76"/>
      <c r="L182" s="72"/>
      <c r="M182" s="76"/>
      <c r="N182" s="66"/>
      <c r="O182" s="66"/>
      <c r="P182" s="66"/>
      <c r="Q182" s="805">
        <v>0</v>
      </c>
      <c r="R182" s="998" t="s">
        <v>16</v>
      </c>
    </row>
    <row r="183" spans="1:18" ht="15" customHeight="1" x14ac:dyDescent="0.3">
      <c r="A183" s="96">
        <v>412</v>
      </c>
      <c r="B183" s="526">
        <v>35156</v>
      </c>
      <c r="C183" s="527" t="s">
        <v>126</v>
      </c>
      <c r="D183" s="76" t="s">
        <v>16</v>
      </c>
      <c r="E183" s="803">
        <v>0</v>
      </c>
      <c r="F183" s="1052">
        <v>0</v>
      </c>
      <c r="G183" s="1043">
        <v>0</v>
      </c>
      <c r="H183" s="1037" t="s">
        <v>16</v>
      </c>
      <c r="I183" s="76"/>
      <c r="J183" s="72"/>
      <c r="K183" s="76"/>
      <c r="L183" s="72"/>
      <c r="M183" s="76"/>
      <c r="N183" s="66"/>
      <c r="O183" s="66"/>
      <c r="P183" s="66"/>
      <c r="Q183" s="806">
        <v>0</v>
      </c>
      <c r="R183" s="998" t="s">
        <v>16</v>
      </c>
    </row>
    <row r="184" spans="1:18" ht="15" customHeight="1" x14ac:dyDescent="0.3">
      <c r="A184" s="96">
        <v>413</v>
      </c>
      <c r="B184" s="526">
        <v>35156</v>
      </c>
      <c r="C184" s="527" t="s">
        <v>126</v>
      </c>
      <c r="D184" s="76" t="s">
        <v>16</v>
      </c>
      <c r="E184" s="803">
        <v>0</v>
      </c>
      <c r="F184" s="1052">
        <v>0</v>
      </c>
      <c r="G184" s="1043">
        <v>0</v>
      </c>
      <c r="H184" s="1037" t="s">
        <v>16</v>
      </c>
      <c r="I184" s="76"/>
      <c r="J184" s="72"/>
      <c r="K184" s="76"/>
      <c r="L184" s="72"/>
      <c r="M184" s="76"/>
      <c r="N184" s="66"/>
      <c r="O184" s="66"/>
      <c r="P184" s="66"/>
      <c r="Q184" s="806">
        <v>0</v>
      </c>
      <c r="R184" s="998" t="s">
        <v>16</v>
      </c>
    </row>
    <row r="185" spans="1:18" ht="15" customHeight="1" x14ac:dyDescent="0.3">
      <c r="A185" s="96">
        <v>417</v>
      </c>
      <c r="B185" s="526">
        <v>35156</v>
      </c>
      <c r="C185" s="527" t="s">
        <v>127</v>
      </c>
      <c r="D185" s="73">
        <v>45405</v>
      </c>
      <c r="E185" s="801">
        <v>2</v>
      </c>
      <c r="F185" s="1050">
        <v>9</v>
      </c>
      <c r="G185" s="1041">
        <v>7</v>
      </c>
      <c r="H185" s="1036">
        <v>43893</v>
      </c>
      <c r="I185" s="73"/>
      <c r="J185" s="72"/>
      <c r="K185" s="73"/>
      <c r="L185" s="72"/>
      <c r="M185" s="73"/>
      <c r="N185" s="66"/>
      <c r="O185" s="66"/>
      <c r="P185" s="66"/>
      <c r="Q185" s="668">
        <v>7</v>
      </c>
      <c r="R185" s="997">
        <v>43893</v>
      </c>
    </row>
    <row r="186" spans="1:18" ht="15" customHeight="1" x14ac:dyDescent="0.3">
      <c r="A186" s="96">
        <v>418</v>
      </c>
      <c r="B186" s="526">
        <v>35156</v>
      </c>
      <c r="C186" s="527" t="s">
        <v>42</v>
      </c>
      <c r="D186" s="73">
        <v>45216</v>
      </c>
      <c r="E186" s="801">
        <v>1</v>
      </c>
      <c r="F186" s="1050">
        <v>5</v>
      </c>
      <c r="G186" s="1041">
        <v>4</v>
      </c>
      <c r="H186" s="1036">
        <v>38511</v>
      </c>
      <c r="I186" s="76"/>
      <c r="J186" s="77"/>
      <c r="K186" s="76"/>
      <c r="L186" s="77"/>
      <c r="M186" s="76"/>
      <c r="N186" s="66"/>
      <c r="O186" s="66"/>
      <c r="P186" s="66"/>
      <c r="Q186" s="668">
        <v>4</v>
      </c>
      <c r="R186" s="997">
        <v>38511</v>
      </c>
    </row>
    <row r="187" spans="1:18" ht="15" customHeight="1" x14ac:dyDescent="0.3">
      <c r="A187" s="96">
        <v>419</v>
      </c>
      <c r="B187" s="526">
        <v>35156</v>
      </c>
      <c r="C187" s="527" t="s">
        <v>128</v>
      </c>
      <c r="D187" s="73">
        <v>45216</v>
      </c>
      <c r="E187" s="801">
        <v>1</v>
      </c>
      <c r="F187" s="1050">
        <v>2</v>
      </c>
      <c r="G187" s="1041">
        <v>1</v>
      </c>
      <c r="H187" s="1036">
        <v>38252</v>
      </c>
      <c r="I187" s="76"/>
      <c r="J187" s="77"/>
      <c r="K187" s="76"/>
      <c r="L187" s="77"/>
      <c r="M187" s="76"/>
      <c r="N187" s="66"/>
      <c r="O187" s="66"/>
      <c r="P187" s="66"/>
      <c r="Q187" s="668">
        <v>1</v>
      </c>
      <c r="R187" s="997">
        <v>38252</v>
      </c>
    </row>
    <row r="188" spans="1:18" ht="15" customHeight="1" x14ac:dyDescent="0.3">
      <c r="A188" s="96">
        <v>420</v>
      </c>
      <c r="B188" s="526">
        <v>35156</v>
      </c>
      <c r="C188" s="527" t="s">
        <v>129</v>
      </c>
      <c r="D188" s="73">
        <v>45231</v>
      </c>
      <c r="E188" s="801">
        <v>4</v>
      </c>
      <c r="F188" s="1050">
        <v>103</v>
      </c>
      <c r="G188" s="1041">
        <v>99</v>
      </c>
      <c r="H188" s="1036">
        <v>45021</v>
      </c>
      <c r="I188" s="76"/>
      <c r="J188" s="78"/>
      <c r="K188" s="76"/>
      <c r="L188" s="78"/>
      <c r="M188" s="76"/>
      <c r="N188" s="66"/>
      <c r="O188" s="66"/>
      <c r="P188" s="66"/>
      <c r="Q188" s="668">
        <v>101</v>
      </c>
      <c r="R188" s="997">
        <v>45021</v>
      </c>
    </row>
    <row r="189" spans="1:18" ht="15" customHeight="1" x14ac:dyDescent="0.3">
      <c r="A189" s="96">
        <v>422</v>
      </c>
      <c r="B189" s="526">
        <v>35186</v>
      </c>
      <c r="C189" s="527" t="s">
        <v>130</v>
      </c>
      <c r="D189" s="73">
        <v>45169</v>
      </c>
      <c r="E189" s="801">
        <v>2</v>
      </c>
      <c r="F189" s="1050">
        <v>34</v>
      </c>
      <c r="G189" s="1041">
        <v>32</v>
      </c>
      <c r="H189" s="1036">
        <v>44735</v>
      </c>
      <c r="I189" s="76"/>
      <c r="J189" s="78"/>
      <c r="K189" s="76"/>
      <c r="L189" s="78"/>
      <c r="M189" s="76"/>
      <c r="N189" s="66"/>
      <c r="O189" s="66"/>
      <c r="P189" s="66"/>
      <c r="Q189" s="668">
        <v>32</v>
      </c>
      <c r="R189" s="997">
        <v>44735</v>
      </c>
    </row>
    <row r="190" spans="1:18" ht="15" customHeight="1" x14ac:dyDescent="0.3">
      <c r="A190" s="96">
        <v>423</v>
      </c>
      <c r="B190" s="526">
        <v>35186</v>
      </c>
      <c r="C190" s="527" t="s">
        <v>12</v>
      </c>
      <c r="D190" s="73">
        <v>38252</v>
      </c>
      <c r="E190" s="801">
        <v>0</v>
      </c>
      <c r="F190" s="1050">
        <v>2</v>
      </c>
      <c r="G190" s="1041">
        <v>2</v>
      </c>
      <c r="H190" s="1036">
        <v>38252</v>
      </c>
      <c r="I190" s="73"/>
      <c r="J190" s="72"/>
      <c r="K190" s="73"/>
      <c r="L190" s="72"/>
      <c r="M190" s="73"/>
      <c r="N190" s="66"/>
      <c r="O190" s="66"/>
      <c r="P190" s="66"/>
      <c r="Q190" s="668">
        <v>2</v>
      </c>
      <c r="R190" s="997">
        <v>38252</v>
      </c>
    </row>
    <row r="191" spans="1:18" ht="15" customHeight="1" x14ac:dyDescent="0.3">
      <c r="A191" s="96">
        <v>424</v>
      </c>
      <c r="B191" s="526">
        <v>35186</v>
      </c>
      <c r="C191" s="527" t="s">
        <v>131</v>
      </c>
      <c r="D191" s="73">
        <v>45352</v>
      </c>
      <c r="E191" s="801">
        <v>2</v>
      </c>
      <c r="F191" s="1050">
        <v>13</v>
      </c>
      <c r="G191" s="1041">
        <v>11</v>
      </c>
      <c r="H191" s="1036">
        <v>44131</v>
      </c>
      <c r="I191" s="73"/>
      <c r="J191" s="72"/>
      <c r="K191" s="73"/>
      <c r="L191" s="72"/>
      <c r="M191" s="73"/>
      <c r="N191" s="66"/>
      <c r="O191" s="66"/>
      <c r="P191" s="66"/>
      <c r="Q191" s="668">
        <v>11</v>
      </c>
      <c r="R191" s="997">
        <v>44131</v>
      </c>
    </row>
    <row r="192" spans="1:18" ht="15" customHeight="1" x14ac:dyDescent="0.3">
      <c r="A192" s="96">
        <v>426</v>
      </c>
      <c r="B192" s="526">
        <v>35217</v>
      </c>
      <c r="C192" s="527" t="s">
        <v>132</v>
      </c>
      <c r="D192" s="73">
        <v>45215</v>
      </c>
      <c r="E192" s="801">
        <v>1</v>
      </c>
      <c r="F192" s="1050">
        <v>5</v>
      </c>
      <c r="G192" s="1041">
        <v>4</v>
      </c>
      <c r="H192" s="1036">
        <v>40282</v>
      </c>
      <c r="I192" s="73"/>
      <c r="J192" s="72"/>
      <c r="K192" s="73"/>
      <c r="L192" s="72"/>
      <c r="M192" s="73"/>
      <c r="N192" s="66"/>
      <c r="O192" s="66"/>
      <c r="P192" s="66"/>
      <c r="Q192" s="668">
        <v>4</v>
      </c>
      <c r="R192" s="997">
        <v>40282</v>
      </c>
    </row>
    <row r="193" spans="1:18" ht="15" customHeight="1" x14ac:dyDescent="0.3">
      <c r="A193" s="96">
        <v>427</v>
      </c>
      <c r="B193" s="526">
        <v>35217</v>
      </c>
      <c r="C193" s="527" t="s">
        <v>132</v>
      </c>
      <c r="D193" s="73">
        <v>45215</v>
      </c>
      <c r="E193" s="801">
        <v>1</v>
      </c>
      <c r="F193" s="1050">
        <v>3</v>
      </c>
      <c r="G193" s="1041">
        <v>2</v>
      </c>
      <c r="H193" s="1036">
        <v>36536</v>
      </c>
      <c r="I193" s="73"/>
      <c r="J193" s="72"/>
      <c r="K193" s="73"/>
      <c r="L193" s="72"/>
      <c r="M193" s="73"/>
      <c r="N193" s="66"/>
      <c r="O193" s="66"/>
      <c r="P193" s="66"/>
      <c r="Q193" s="668">
        <v>2</v>
      </c>
      <c r="R193" s="997">
        <v>36536</v>
      </c>
    </row>
    <row r="194" spans="1:18" ht="15" customHeight="1" x14ac:dyDescent="0.3">
      <c r="A194" s="96">
        <v>428</v>
      </c>
      <c r="B194" s="526">
        <v>35217</v>
      </c>
      <c r="C194" s="527" t="s">
        <v>133</v>
      </c>
      <c r="D194" s="73">
        <v>41144</v>
      </c>
      <c r="E194" s="801">
        <v>0</v>
      </c>
      <c r="F194" s="1050">
        <v>2</v>
      </c>
      <c r="G194" s="1041">
        <v>2</v>
      </c>
      <c r="H194" s="1036">
        <v>41144</v>
      </c>
      <c r="I194" s="73"/>
      <c r="J194" s="72"/>
      <c r="K194" s="73"/>
      <c r="L194" s="72"/>
      <c r="M194" s="73"/>
      <c r="N194" s="66"/>
      <c r="O194" s="66"/>
      <c r="P194" s="66"/>
      <c r="Q194" s="668">
        <v>2</v>
      </c>
      <c r="R194" s="997">
        <v>41144</v>
      </c>
    </row>
    <row r="195" spans="1:18" ht="15" customHeight="1" x14ac:dyDescent="0.3">
      <c r="A195" s="96">
        <v>431</v>
      </c>
      <c r="B195" s="526">
        <v>35247</v>
      </c>
      <c r="C195" s="527" t="s">
        <v>134</v>
      </c>
      <c r="D195" s="73">
        <v>45397</v>
      </c>
      <c r="E195" s="801">
        <v>3</v>
      </c>
      <c r="F195" s="1050">
        <v>16</v>
      </c>
      <c r="G195" s="1041">
        <v>13</v>
      </c>
      <c r="H195" s="1036">
        <v>44812</v>
      </c>
      <c r="I195" s="73"/>
      <c r="J195" s="72"/>
      <c r="K195" s="73"/>
      <c r="L195" s="72"/>
      <c r="M195" s="73"/>
      <c r="N195" s="66"/>
      <c r="O195" s="66"/>
      <c r="P195" s="66"/>
      <c r="Q195" s="668">
        <v>13</v>
      </c>
      <c r="R195" s="997">
        <v>44812</v>
      </c>
    </row>
    <row r="196" spans="1:18" ht="15" customHeight="1" x14ac:dyDescent="0.3">
      <c r="A196" s="96">
        <v>432</v>
      </c>
      <c r="B196" s="526">
        <v>35247</v>
      </c>
      <c r="C196" s="527" t="s">
        <v>135</v>
      </c>
      <c r="D196" s="73">
        <v>45351</v>
      </c>
      <c r="E196" s="801">
        <v>2</v>
      </c>
      <c r="F196" s="1050">
        <v>22</v>
      </c>
      <c r="G196" s="1041">
        <v>20</v>
      </c>
      <c r="H196" s="1036">
        <v>44047</v>
      </c>
      <c r="I196" s="73"/>
      <c r="J196" s="72"/>
      <c r="K196" s="73"/>
      <c r="L196" s="72"/>
      <c r="M196" s="73"/>
      <c r="N196" s="66"/>
      <c r="O196" s="66"/>
      <c r="P196" s="66"/>
      <c r="Q196" s="668">
        <v>20</v>
      </c>
      <c r="R196" s="997">
        <v>44047</v>
      </c>
    </row>
    <row r="197" spans="1:18" ht="15" customHeight="1" x14ac:dyDescent="0.3">
      <c r="A197" s="96">
        <v>433</v>
      </c>
      <c r="B197" s="526">
        <v>35247</v>
      </c>
      <c r="C197" s="527" t="s">
        <v>135</v>
      </c>
      <c r="D197" s="73">
        <v>38237</v>
      </c>
      <c r="E197" s="801">
        <v>0</v>
      </c>
      <c r="F197" s="1050">
        <v>3</v>
      </c>
      <c r="G197" s="1041">
        <v>3</v>
      </c>
      <c r="H197" s="1036">
        <v>38237</v>
      </c>
      <c r="I197" s="73"/>
      <c r="J197" s="72"/>
      <c r="K197" s="73"/>
      <c r="L197" s="72"/>
      <c r="M197" s="73"/>
      <c r="N197" s="66"/>
      <c r="O197" s="66"/>
      <c r="P197" s="66"/>
      <c r="Q197" s="668">
        <v>3</v>
      </c>
      <c r="R197" s="997">
        <v>38237</v>
      </c>
    </row>
    <row r="198" spans="1:18" ht="15" customHeight="1" x14ac:dyDescent="0.3">
      <c r="A198" s="96">
        <v>434</v>
      </c>
      <c r="B198" s="526">
        <v>35247</v>
      </c>
      <c r="C198" s="527" t="s">
        <v>136</v>
      </c>
      <c r="D198" s="76" t="s">
        <v>16</v>
      </c>
      <c r="E198" s="803">
        <v>0</v>
      </c>
      <c r="F198" s="1052">
        <v>0</v>
      </c>
      <c r="G198" s="1043">
        <v>0</v>
      </c>
      <c r="H198" s="1037" t="s">
        <v>16</v>
      </c>
      <c r="I198" s="73"/>
      <c r="J198" s="72"/>
      <c r="K198" s="73"/>
      <c r="L198" s="72"/>
      <c r="M198" s="73"/>
      <c r="N198" s="66"/>
      <c r="O198" s="66"/>
      <c r="P198" s="66"/>
      <c r="Q198" s="806">
        <v>0</v>
      </c>
      <c r="R198" s="998" t="s">
        <v>16</v>
      </c>
    </row>
    <row r="199" spans="1:18" ht="15" customHeight="1" x14ac:dyDescent="0.3">
      <c r="A199" s="96">
        <v>436</v>
      </c>
      <c r="B199" s="526">
        <v>35247</v>
      </c>
      <c r="C199" s="527" t="s">
        <v>61</v>
      </c>
      <c r="D199" s="73">
        <v>38728</v>
      </c>
      <c r="E199" s="801">
        <v>0</v>
      </c>
      <c r="F199" s="1050">
        <v>8</v>
      </c>
      <c r="G199" s="1041">
        <v>8</v>
      </c>
      <c r="H199" s="1036">
        <v>38728</v>
      </c>
      <c r="I199" s="73"/>
      <c r="J199" s="72"/>
      <c r="K199" s="73"/>
      <c r="L199" s="72"/>
      <c r="M199" s="73"/>
      <c r="N199" s="66"/>
      <c r="O199" s="66"/>
      <c r="P199" s="66"/>
      <c r="Q199" s="668">
        <v>8</v>
      </c>
      <c r="R199" s="997">
        <v>38728</v>
      </c>
    </row>
    <row r="200" spans="1:18" ht="15" customHeight="1" x14ac:dyDescent="0.3">
      <c r="A200" s="96">
        <v>437</v>
      </c>
      <c r="B200" s="526">
        <v>35247</v>
      </c>
      <c r="C200" s="527" t="s">
        <v>137</v>
      </c>
      <c r="D200" s="73">
        <v>38264</v>
      </c>
      <c r="E200" s="801">
        <v>0</v>
      </c>
      <c r="F200" s="1050">
        <v>5</v>
      </c>
      <c r="G200" s="1041">
        <v>5</v>
      </c>
      <c r="H200" s="1036">
        <v>38264</v>
      </c>
      <c r="I200" s="73"/>
      <c r="J200" s="72"/>
      <c r="K200" s="73"/>
      <c r="L200" s="72"/>
      <c r="M200" s="73"/>
      <c r="N200" s="66"/>
      <c r="O200" s="66"/>
      <c r="P200" s="66"/>
      <c r="Q200" s="668">
        <v>5</v>
      </c>
      <c r="R200" s="997">
        <v>38264</v>
      </c>
    </row>
    <row r="201" spans="1:18" ht="15" customHeight="1" x14ac:dyDescent="0.3">
      <c r="A201" s="96">
        <v>439</v>
      </c>
      <c r="B201" s="526">
        <v>35309</v>
      </c>
      <c r="C201" s="527" t="s">
        <v>138</v>
      </c>
      <c r="D201" s="73">
        <v>39094</v>
      </c>
      <c r="E201" s="801">
        <v>0</v>
      </c>
      <c r="F201" s="1050">
        <v>2</v>
      </c>
      <c r="G201" s="1041">
        <v>2</v>
      </c>
      <c r="H201" s="1036">
        <v>39094</v>
      </c>
      <c r="I201" s="73"/>
      <c r="J201" s="72"/>
      <c r="K201" s="73"/>
      <c r="L201" s="72"/>
      <c r="M201" s="73"/>
      <c r="N201" s="66"/>
      <c r="O201" s="66"/>
      <c r="P201" s="66"/>
      <c r="Q201" s="668">
        <v>2</v>
      </c>
      <c r="R201" s="997">
        <v>39094</v>
      </c>
    </row>
    <row r="202" spans="1:18" ht="15" customHeight="1" x14ac:dyDescent="0.3">
      <c r="A202" s="96">
        <v>440</v>
      </c>
      <c r="B202" s="526">
        <v>35247</v>
      </c>
      <c r="C202" s="527" t="s">
        <v>139</v>
      </c>
      <c r="D202" s="73">
        <v>42053</v>
      </c>
      <c r="E202" s="801">
        <v>0</v>
      </c>
      <c r="F202" s="1050">
        <v>3</v>
      </c>
      <c r="G202" s="1041">
        <v>3</v>
      </c>
      <c r="H202" s="1036">
        <v>42053</v>
      </c>
      <c r="I202" s="73"/>
      <c r="J202" s="72"/>
      <c r="K202" s="73"/>
      <c r="L202" s="72"/>
      <c r="M202" s="73"/>
      <c r="N202" s="66"/>
      <c r="O202" s="66"/>
      <c r="P202" s="66"/>
      <c r="Q202" s="668">
        <v>3</v>
      </c>
      <c r="R202" s="997">
        <v>42053</v>
      </c>
    </row>
    <row r="203" spans="1:18" ht="15" customHeight="1" x14ac:dyDescent="0.3">
      <c r="A203" s="96">
        <v>442</v>
      </c>
      <c r="B203" s="526">
        <v>35462</v>
      </c>
      <c r="C203" s="531" t="s">
        <v>140</v>
      </c>
      <c r="D203" s="73">
        <v>44041</v>
      </c>
      <c r="E203" s="801">
        <v>0</v>
      </c>
      <c r="F203" s="1050">
        <v>24</v>
      </c>
      <c r="G203" s="1041">
        <v>24</v>
      </c>
      <c r="H203" s="1036">
        <v>44041</v>
      </c>
      <c r="I203" s="76"/>
      <c r="J203" s="78"/>
      <c r="K203" s="76"/>
      <c r="L203" s="78"/>
      <c r="M203" s="76"/>
      <c r="N203" s="66"/>
      <c r="O203" s="66"/>
      <c r="P203" s="66"/>
      <c r="Q203" s="668">
        <v>24</v>
      </c>
      <c r="R203" s="997">
        <v>44041</v>
      </c>
    </row>
    <row r="204" spans="1:18" ht="15" customHeight="1" x14ac:dyDescent="0.3">
      <c r="A204" s="96">
        <v>444</v>
      </c>
      <c r="B204" s="526">
        <v>35462</v>
      </c>
      <c r="C204" s="531" t="s">
        <v>141</v>
      </c>
      <c r="D204" s="73">
        <v>44041</v>
      </c>
      <c r="E204" s="801">
        <v>0</v>
      </c>
      <c r="F204" s="1050">
        <v>29</v>
      </c>
      <c r="G204" s="1041">
        <v>29</v>
      </c>
      <c r="H204" s="1036">
        <v>44041</v>
      </c>
      <c r="I204" s="73"/>
      <c r="J204" s="72"/>
      <c r="K204" s="73"/>
      <c r="L204" s="72"/>
      <c r="M204" s="73"/>
      <c r="N204" s="66"/>
      <c r="O204" s="66"/>
      <c r="P204" s="66"/>
      <c r="Q204" s="668">
        <v>29</v>
      </c>
      <c r="R204" s="997">
        <v>44041</v>
      </c>
    </row>
    <row r="205" spans="1:18" ht="15" customHeight="1" x14ac:dyDescent="0.3">
      <c r="A205" s="96">
        <v>446</v>
      </c>
      <c r="B205" s="526">
        <v>35462</v>
      </c>
      <c r="C205" s="527" t="s">
        <v>142</v>
      </c>
      <c r="D205" s="73">
        <v>45111</v>
      </c>
      <c r="E205" s="801">
        <v>1</v>
      </c>
      <c r="F205" s="1050">
        <v>56</v>
      </c>
      <c r="G205" s="1041">
        <v>55</v>
      </c>
      <c r="H205" s="1036">
        <v>44735</v>
      </c>
      <c r="I205" s="73"/>
      <c r="J205" s="72"/>
      <c r="K205" s="73"/>
      <c r="L205" s="72"/>
      <c r="M205" s="73"/>
      <c r="N205" s="66"/>
      <c r="O205" s="66"/>
      <c r="P205" s="66"/>
      <c r="Q205" s="668">
        <v>55</v>
      </c>
      <c r="R205" s="997">
        <v>44735</v>
      </c>
    </row>
    <row r="206" spans="1:18" ht="15" customHeight="1" x14ac:dyDescent="0.3">
      <c r="A206" s="96">
        <v>447</v>
      </c>
      <c r="B206" s="526">
        <v>35462</v>
      </c>
      <c r="C206" s="527" t="s">
        <v>143</v>
      </c>
      <c r="D206" s="73">
        <v>43810</v>
      </c>
      <c r="E206" s="801">
        <v>0</v>
      </c>
      <c r="F206" s="1050">
        <v>3</v>
      </c>
      <c r="G206" s="1041">
        <v>3</v>
      </c>
      <c r="H206" s="1036">
        <v>43810</v>
      </c>
      <c r="I206" s="73"/>
      <c r="J206" s="72"/>
      <c r="K206" s="73"/>
      <c r="L206" s="72"/>
      <c r="M206" s="73"/>
      <c r="N206" s="66"/>
      <c r="O206" s="66"/>
      <c r="P206" s="66"/>
      <c r="Q206" s="668">
        <v>3</v>
      </c>
      <c r="R206" s="997">
        <v>43810</v>
      </c>
    </row>
    <row r="207" spans="1:18" ht="15" customHeight="1" x14ac:dyDescent="0.3">
      <c r="A207" s="96">
        <v>448</v>
      </c>
      <c r="B207" s="526">
        <v>35462</v>
      </c>
      <c r="C207" s="531" t="s">
        <v>144</v>
      </c>
      <c r="D207" s="73">
        <v>44041</v>
      </c>
      <c r="E207" s="801">
        <v>0</v>
      </c>
      <c r="F207" s="1050">
        <v>32</v>
      </c>
      <c r="G207" s="1041">
        <v>32</v>
      </c>
      <c r="H207" s="1036">
        <v>44041</v>
      </c>
      <c r="I207" s="73"/>
      <c r="J207" s="72"/>
      <c r="K207" s="73"/>
      <c r="L207" s="72"/>
      <c r="M207" s="73"/>
      <c r="N207" s="66"/>
      <c r="O207" s="66"/>
      <c r="P207" s="66"/>
      <c r="Q207" s="668">
        <v>32</v>
      </c>
      <c r="R207" s="997">
        <v>44041</v>
      </c>
    </row>
    <row r="208" spans="1:18" ht="15" customHeight="1" x14ac:dyDescent="0.3">
      <c r="A208" s="96">
        <v>449</v>
      </c>
      <c r="B208" s="526">
        <v>35490</v>
      </c>
      <c r="C208" s="527" t="s">
        <v>145</v>
      </c>
      <c r="D208" s="73">
        <v>45169</v>
      </c>
      <c r="E208" s="801">
        <v>1</v>
      </c>
      <c r="F208" s="1050">
        <v>7</v>
      </c>
      <c r="G208" s="1041">
        <v>6</v>
      </c>
      <c r="H208" s="1036">
        <v>44047</v>
      </c>
      <c r="I208" s="73"/>
      <c r="J208" s="72"/>
      <c r="K208" s="73"/>
      <c r="L208" s="72"/>
      <c r="M208" s="73"/>
      <c r="N208" s="66"/>
      <c r="O208" s="66"/>
      <c r="P208" s="66"/>
      <c r="Q208" s="668">
        <v>6</v>
      </c>
      <c r="R208" s="997">
        <v>44047</v>
      </c>
    </row>
    <row r="209" spans="1:18" ht="15" customHeight="1" x14ac:dyDescent="0.3">
      <c r="A209" s="96">
        <v>450</v>
      </c>
      <c r="B209" s="526">
        <v>35674</v>
      </c>
      <c r="C209" s="527" t="s">
        <v>146</v>
      </c>
      <c r="D209" s="76" t="s">
        <v>16</v>
      </c>
      <c r="E209" s="801">
        <v>0</v>
      </c>
      <c r="F209" s="1050">
        <v>0</v>
      </c>
      <c r="G209" s="1041">
        <v>0</v>
      </c>
      <c r="H209" s="1037" t="s">
        <v>16</v>
      </c>
      <c r="I209" s="73"/>
      <c r="J209" s="72"/>
      <c r="K209" s="73"/>
      <c r="L209" s="72"/>
      <c r="M209" s="73"/>
      <c r="N209" s="66"/>
      <c r="O209" s="66"/>
      <c r="P209" s="66"/>
      <c r="Q209" s="668">
        <v>0</v>
      </c>
      <c r="R209" s="998" t="s">
        <v>16</v>
      </c>
    </row>
    <row r="210" spans="1:18" ht="15" customHeight="1" x14ac:dyDescent="0.3">
      <c r="A210" s="96">
        <v>451</v>
      </c>
      <c r="B210" s="526">
        <v>35765</v>
      </c>
      <c r="C210" s="527" t="s">
        <v>65</v>
      </c>
      <c r="D210" s="73">
        <v>44504</v>
      </c>
      <c r="E210" s="801">
        <v>0</v>
      </c>
      <c r="F210" s="1050">
        <v>10</v>
      </c>
      <c r="G210" s="1041">
        <v>10</v>
      </c>
      <c r="H210" s="1036">
        <v>44504</v>
      </c>
      <c r="I210" s="73"/>
      <c r="J210" s="72"/>
      <c r="K210" s="73"/>
      <c r="L210" s="72"/>
      <c r="M210" s="73"/>
      <c r="N210" s="66"/>
      <c r="O210" s="66"/>
      <c r="P210" s="66"/>
      <c r="Q210" s="668">
        <v>10</v>
      </c>
      <c r="R210" s="997">
        <v>44504</v>
      </c>
    </row>
    <row r="211" spans="1:18" ht="15" customHeight="1" x14ac:dyDescent="0.3">
      <c r="A211" s="96">
        <v>452</v>
      </c>
      <c r="B211" s="526">
        <v>35855</v>
      </c>
      <c r="C211" s="527" t="s">
        <v>65</v>
      </c>
      <c r="D211" s="73">
        <v>44504</v>
      </c>
      <c r="E211" s="801">
        <v>0</v>
      </c>
      <c r="F211" s="1050">
        <v>14</v>
      </c>
      <c r="G211" s="1041">
        <v>14</v>
      </c>
      <c r="H211" s="1036">
        <v>44504</v>
      </c>
      <c r="I211" s="73"/>
      <c r="J211" s="72"/>
      <c r="K211" s="73"/>
      <c r="L211" s="72"/>
      <c r="M211" s="73"/>
      <c r="N211" s="66"/>
      <c r="O211" s="66"/>
      <c r="P211" s="66"/>
      <c r="Q211" s="668">
        <v>14</v>
      </c>
      <c r="R211" s="997">
        <v>44504</v>
      </c>
    </row>
    <row r="212" spans="1:18" ht="15" customHeight="1" x14ac:dyDescent="0.3">
      <c r="A212" s="96">
        <v>457</v>
      </c>
      <c r="B212" s="526">
        <v>35916</v>
      </c>
      <c r="C212" s="527" t="s">
        <v>147</v>
      </c>
      <c r="D212" s="73">
        <v>43717</v>
      </c>
      <c r="E212" s="801">
        <v>0</v>
      </c>
      <c r="F212" s="1050">
        <v>4</v>
      </c>
      <c r="G212" s="1041">
        <v>4</v>
      </c>
      <c r="H212" s="1036">
        <v>43717</v>
      </c>
      <c r="I212" s="73"/>
      <c r="J212" s="72"/>
      <c r="K212" s="73"/>
      <c r="L212" s="72"/>
      <c r="M212" s="73"/>
      <c r="N212" s="66"/>
      <c r="O212" s="66"/>
      <c r="P212" s="66"/>
      <c r="Q212" s="668">
        <v>4</v>
      </c>
      <c r="R212" s="997">
        <v>43717</v>
      </c>
    </row>
    <row r="213" spans="1:18" ht="15" customHeight="1" x14ac:dyDescent="0.3">
      <c r="A213" s="96">
        <v>459</v>
      </c>
      <c r="B213" s="526">
        <v>35977</v>
      </c>
      <c r="C213" s="527" t="s">
        <v>148</v>
      </c>
      <c r="D213" s="73">
        <v>44292</v>
      </c>
      <c r="E213" s="801">
        <v>0</v>
      </c>
      <c r="F213" s="1050">
        <v>5</v>
      </c>
      <c r="G213" s="1041">
        <v>5</v>
      </c>
      <c r="H213" s="1036">
        <v>44292</v>
      </c>
      <c r="I213" s="73"/>
      <c r="J213" s="72"/>
      <c r="K213" s="73"/>
      <c r="L213" s="72"/>
      <c r="M213" s="73"/>
      <c r="N213" s="66"/>
      <c r="O213" s="66"/>
      <c r="P213" s="66"/>
      <c r="Q213" s="668">
        <v>5</v>
      </c>
      <c r="R213" s="997">
        <v>44292</v>
      </c>
    </row>
    <row r="214" spans="1:18" ht="15" customHeight="1" x14ac:dyDescent="0.3">
      <c r="A214" s="96">
        <v>460</v>
      </c>
      <c r="B214" s="526">
        <v>35977</v>
      </c>
      <c r="C214" s="527" t="s">
        <v>149</v>
      </c>
      <c r="D214" s="73">
        <v>38656</v>
      </c>
      <c r="E214" s="801">
        <v>0</v>
      </c>
      <c r="F214" s="1050">
        <v>3</v>
      </c>
      <c r="G214" s="1041">
        <v>3</v>
      </c>
      <c r="H214" s="1036">
        <v>38656</v>
      </c>
      <c r="I214" s="76"/>
      <c r="J214" s="72"/>
      <c r="K214" s="76"/>
      <c r="L214" s="72"/>
      <c r="M214" s="76"/>
      <c r="N214" s="66"/>
      <c r="O214" s="66"/>
      <c r="P214" s="66"/>
      <c r="Q214" s="668">
        <v>3</v>
      </c>
      <c r="R214" s="997">
        <v>38656</v>
      </c>
    </row>
    <row r="215" spans="1:18" ht="15" customHeight="1" x14ac:dyDescent="0.3">
      <c r="A215" s="96">
        <v>461</v>
      </c>
      <c r="B215" s="526">
        <v>35977</v>
      </c>
      <c r="C215" s="527" t="s">
        <v>148</v>
      </c>
      <c r="D215" s="73">
        <v>45090</v>
      </c>
      <c r="E215" s="801">
        <v>1</v>
      </c>
      <c r="F215" s="1050">
        <v>8</v>
      </c>
      <c r="G215" s="1041">
        <v>7</v>
      </c>
      <c r="H215" s="1036">
        <v>43328</v>
      </c>
      <c r="I215" s="73"/>
      <c r="J215" s="72"/>
      <c r="K215" s="73"/>
      <c r="L215" s="72"/>
      <c r="M215" s="73"/>
      <c r="N215" s="66"/>
      <c r="O215" s="66"/>
      <c r="P215" s="66"/>
      <c r="Q215" s="668">
        <v>7</v>
      </c>
      <c r="R215" s="997">
        <v>43328</v>
      </c>
    </row>
    <row r="216" spans="1:18" ht="15" customHeight="1" x14ac:dyDescent="0.3">
      <c r="A216" s="96">
        <v>463</v>
      </c>
      <c r="B216" s="526">
        <v>35977</v>
      </c>
      <c r="C216" s="527" t="s">
        <v>148</v>
      </c>
      <c r="D216" s="76" t="s">
        <v>16</v>
      </c>
      <c r="E216" s="801">
        <v>0</v>
      </c>
      <c r="F216" s="1050">
        <v>0</v>
      </c>
      <c r="G216" s="1041">
        <v>0</v>
      </c>
      <c r="H216" s="1037" t="s">
        <v>16</v>
      </c>
      <c r="I216" s="73"/>
      <c r="J216" s="72"/>
      <c r="K216" s="73"/>
      <c r="L216" s="72"/>
      <c r="M216" s="73"/>
      <c r="N216" s="66"/>
      <c r="O216" s="66"/>
      <c r="P216" s="66"/>
      <c r="Q216" s="668">
        <v>0</v>
      </c>
      <c r="R216" s="998" t="s">
        <v>16</v>
      </c>
    </row>
    <row r="217" spans="1:18" ht="15" customHeight="1" x14ac:dyDescent="0.3">
      <c r="A217" s="96">
        <v>464</v>
      </c>
      <c r="B217" s="526">
        <v>35977</v>
      </c>
      <c r="C217" s="527" t="s">
        <v>148</v>
      </c>
      <c r="D217" s="73">
        <v>44785</v>
      </c>
      <c r="E217" s="801">
        <v>0</v>
      </c>
      <c r="F217" s="1050">
        <v>2</v>
      </c>
      <c r="G217" s="1041">
        <v>2</v>
      </c>
      <c r="H217" s="1036">
        <v>44785</v>
      </c>
      <c r="I217" s="73"/>
      <c r="J217" s="72"/>
      <c r="K217" s="73"/>
      <c r="L217" s="72"/>
      <c r="M217" s="73"/>
      <c r="N217" s="66"/>
      <c r="O217" s="66"/>
      <c r="P217" s="66"/>
      <c r="Q217" s="668">
        <v>2</v>
      </c>
      <c r="R217" s="997">
        <v>44785</v>
      </c>
    </row>
    <row r="218" spans="1:18" ht="15" customHeight="1" x14ac:dyDescent="0.3">
      <c r="A218" s="96">
        <v>465</v>
      </c>
      <c r="B218" s="526">
        <v>35977</v>
      </c>
      <c r="C218" s="527" t="s">
        <v>149</v>
      </c>
      <c r="D218" s="73">
        <v>39506</v>
      </c>
      <c r="E218" s="801">
        <v>0</v>
      </c>
      <c r="F218" s="1050">
        <v>3</v>
      </c>
      <c r="G218" s="1041">
        <v>3</v>
      </c>
      <c r="H218" s="1036">
        <v>39506</v>
      </c>
      <c r="I218" s="73"/>
      <c r="J218" s="72"/>
      <c r="K218" s="73"/>
      <c r="L218" s="72"/>
      <c r="M218" s="73"/>
      <c r="N218" s="66"/>
      <c r="O218" s="66"/>
      <c r="P218" s="66"/>
      <c r="Q218" s="668">
        <v>3</v>
      </c>
      <c r="R218" s="997">
        <v>39506</v>
      </c>
    </row>
    <row r="219" spans="1:18" ht="15" customHeight="1" x14ac:dyDescent="0.3">
      <c r="A219" s="96">
        <v>466</v>
      </c>
      <c r="B219" s="526">
        <v>35977</v>
      </c>
      <c r="C219" s="527" t="s">
        <v>148</v>
      </c>
      <c r="D219" s="73">
        <v>38861</v>
      </c>
      <c r="E219" s="801">
        <v>0</v>
      </c>
      <c r="F219" s="1050">
        <v>1</v>
      </c>
      <c r="G219" s="1041">
        <v>1</v>
      </c>
      <c r="H219" s="1036">
        <v>38861</v>
      </c>
      <c r="I219" s="73"/>
      <c r="J219" s="72"/>
      <c r="K219" s="73"/>
      <c r="L219" s="72"/>
      <c r="M219" s="73"/>
      <c r="N219" s="66"/>
      <c r="O219" s="66"/>
      <c r="P219" s="66"/>
      <c r="Q219" s="668">
        <v>1</v>
      </c>
      <c r="R219" s="997">
        <v>38861</v>
      </c>
    </row>
    <row r="220" spans="1:18" ht="15" customHeight="1" x14ac:dyDescent="0.3">
      <c r="A220" s="96">
        <v>468</v>
      </c>
      <c r="B220" s="526">
        <v>35977</v>
      </c>
      <c r="C220" s="527" t="s">
        <v>148</v>
      </c>
      <c r="D220" s="73">
        <v>44292</v>
      </c>
      <c r="E220" s="801">
        <v>0</v>
      </c>
      <c r="F220" s="1050">
        <v>6</v>
      </c>
      <c r="G220" s="1041">
        <v>6</v>
      </c>
      <c r="H220" s="1036">
        <v>44292</v>
      </c>
      <c r="I220" s="73"/>
      <c r="J220" s="72"/>
      <c r="K220" s="73"/>
      <c r="L220" s="72"/>
      <c r="M220" s="73"/>
      <c r="N220" s="66"/>
      <c r="O220" s="66"/>
      <c r="P220" s="66"/>
      <c r="Q220" s="668">
        <v>6</v>
      </c>
      <c r="R220" s="997">
        <v>44292</v>
      </c>
    </row>
    <row r="221" spans="1:18" ht="15" customHeight="1" x14ac:dyDescent="0.3">
      <c r="A221" s="96">
        <v>469</v>
      </c>
      <c r="B221" s="526">
        <v>36008</v>
      </c>
      <c r="C221" s="527" t="s">
        <v>49</v>
      </c>
      <c r="D221" s="73">
        <v>44946</v>
      </c>
      <c r="E221" s="801">
        <v>1</v>
      </c>
      <c r="F221" s="1050">
        <v>6</v>
      </c>
      <c r="G221" s="1041">
        <v>5</v>
      </c>
      <c r="H221" s="1036">
        <v>44946</v>
      </c>
      <c r="I221" s="76"/>
      <c r="J221" s="72"/>
      <c r="K221" s="76"/>
      <c r="L221" s="72"/>
      <c r="M221" s="76"/>
      <c r="N221" s="66"/>
      <c r="O221" s="66"/>
      <c r="P221" s="66"/>
      <c r="Q221" s="668">
        <v>6</v>
      </c>
      <c r="R221" s="997">
        <v>44946</v>
      </c>
    </row>
    <row r="222" spans="1:18" ht="15" customHeight="1" x14ac:dyDescent="0.3">
      <c r="A222" s="96">
        <v>471</v>
      </c>
      <c r="B222" s="526">
        <v>36008</v>
      </c>
      <c r="C222" s="527" t="s">
        <v>150</v>
      </c>
      <c r="D222" s="73">
        <v>45405</v>
      </c>
      <c r="E222" s="801">
        <v>2</v>
      </c>
      <c r="F222" s="1050">
        <v>13</v>
      </c>
      <c r="G222" s="1041">
        <v>11</v>
      </c>
      <c r="H222" s="1036">
        <v>44840</v>
      </c>
      <c r="I222" s="73"/>
      <c r="J222" s="72"/>
      <c r="K222" s="73"/>
      <c r="L222" s="72"/>
      <c r="M222" s="73"/>
      <c r="N222" s="66"/>
      <c r="O222" s="66"/>
      <c r="P222" s="66"/>
      <c r="Q222" s="668">
        <v>11</v>
      </c>
      <c r="R222" s="997">
        <v>44840</v>
      </c>
    </row>
    <row r="223" spans="1:18" ht="15" customHeight="1" x14ac:dyDescent="0.3">
      <c r="A223" s="96">
        <v>472</v>
      </c>
      <c r="B223" s="526">
        <v>36008</v>
      </c>
      <c r="C223" s="527" t="s">
        <v>151</v>
      </c>
      <c r="D223" s="76">
        <v>43859</v>
      </c>
      <c r="E223" s="801">
        <v>0</v>
      </c>
      <c r="F223" s="1050">
        <v>2</v>
      </c>
      <c r="G223" s="1041">
        <v>2</v>
      </c>
      <c r="H223" s="1037">
        <v>43859</v>
      </c>
      <c r="I223" s="73"/>
      <c r="J223" s="72"/>
      <c r="K223" s="73"/>
      <c r="L223" s="72"/>
      <c r="M223" s="73"/>
      <c r="N223" s="66"/>
      <c r="O223" s="66"/>
      <c r="P223" s="66"/>
      <c r="Q223" s="668">
        <v>2</v>
      </c>
      <c r="R223" s="998">
        <v>43859</v>
      </c>
    </row>
    <row r="224" spans="1:18" ht="15" customHeight="1" x14ac:dyDescent="0.3">
      <c r="A224" s="96">
        <v>473</v>
      </c>
      <c r="B224" s="526">
        <v>36008</v>
      </c>
      <c r="C224" s="527" t="s">
        <v>152</v>
      </c>
      <c r="D224" s="73">
        <v>44840</v>
      </c>
      <c r="E224" s="801">
        <v>0</v>
      </c>
      <c r="F224" s="1050">
        <v>8</v>
      </c>
      <c r="G224" s="1041">
        <v>8</v>
      </c>
      <c r="H224" s="1036">
        <v>44840</v>
      </c>
      <c r="I224" s="73"/>
      <c r="J224" s="72"/>
      <c r="K224" s="73"/>
      <c r="L224" s="72"/>
      <c r="M224" s="73"/>
      <c r="N224" s="66"/>
      <c r="O224" s="66"/>
      <c r="P224" s="66"/>
      <c r="Q224" s="668">
        <v>8</v>
      </c>
      <c r="R224" s="997">
        <v>44840</v>
      </c>
    </row>
    <row r="225" spans="1:18" ht="15" customHeight="1" x14ac:dyDescent="0.3">
      <c r="A225" s="96">
        <v>474</v>
      </c>
      <c r="B225" s="526">
        <v>36008</v>
      </c>
      <c r="C225" s="527" t="s">
        <v>153</v>
      </c>
      <c r="D225" s="73">
        <v>37707</v>
      </c>
      <c r="E225" s="801">
        <v>0</v>
      </c>
      <c r="F225" s="1050">
        <v>2</v>
      </c>
      <c r="G225" s="1041">
        <v>2</v>
      </c>
      <c r="H225" s="1036">
        <v>37707</v>
      </c>
      <c r="I225" s="73"/>
      <c r="J225" s="72"/>
      <c r="K225" s="73"/>
      <c r="L225" s="72"/>
      <c r="M225" s="73"/>
      <c r="N225" s="66"/>
      <c r="O225" s="66"/>
      <c r="P225" s="66"/>
      <c r="Q225" s="668">
        <v>2</v>
      </c>
      <c r="R225" s="997">
        <v>37707</v>
      </c>
    </row>
    <row r="226" spans="1:18" ht="15" customHeight="1" x14ac:dyDescent="0.3">
      <c r="A226" s="96">
        <v>475</v>
      </c>
      <c r="B226" s="526">
        <v>36008</v>
      </c>
      <c r="C226" s="527" t="s">
        <v>154</v>
      </c>
      <c r="D226" s="73">
        <v>42189</v>
      </c>
      <c r="E226" s="801">
        <v>0</v>
      </c>
      <c r="F226" s="1050">
        <v>5</v>
      </c>
      <c r="G226" s="1041">
        <v>5</v>
      </c>
      <c r="H226" s="1036">
        <v>42189</v>
      </c>
      <c r="I226" s="73"/>
      <c r="J226" s="72"/>
      <c r="K226" s="73"/>
      <c r="L226" s="72"/>
      <c r="M226" s="73"/>
      <c r="N226" s="66"/>
      <c r="O226" s="66"/>
      <c r="P226" s="66"/>
      <c r="Q226" s="668">
        <v>5</v>
      </c>
      <c r="R226" s="997">
        <v>42189</v>
      </c>
    </row>
    <row r="227" spans="1:18" ht="15" customHeight="1" x14ac:dyDescent="0.3">
      <c r="A227" s="96">
        <v>476</v>
      </c>
      <c r="B227" s="526">
        <v>36008</v>
      </c>
      <c r="C227" s="527" t="s">
        <v>155</v>
      </c>
      <c r="D227" s="73">
        <v>44700</v>
      </c>
      <c r="E227" s="801">
        <v>0</v>
      </c>
      <c r="F227" s="1050">
        <v>9</v>
      </c>
      <c r="G227" s="1041">
        <v>9</v>
      </c>
      <c r="H227" s="1036">
        <v>44700</v>
      </c>
      <c r="I227" s="73"/>
      <c r="J227" s="72"/>
      <c r="K227" s="73"/>
      <c r="L227" s="72"/>
      <c r="M227" s="73"/>
      <c r="N227" s="66"/>
      <c r="O227" s="66"/>
      <c r="P227" s="66"/>
      <c r="Q227" s="668">
        <v>9</v>
      </c>
      <c r="R227" s="997">
        <v>44700</v>
      </c>
    </row>
    <row r="228" spans="1:18" ht="15" customHeight="1" x14ac:dyDescent="0.3">
      <c r="A228" s="96">
        <v>477</v>
      </c>
      <c r="B228" s="526">
        <v>36008</v>
      </c>
      <c r="C228" s="527" t="s">
        <v>136</v>
      </c>
      <c r="D228" s="73">
        <v>40008</v>
      </c>
      <c r="E228" s="801">
        <v>0</v>
      </c>
      <c r="F228" s="1050">
        <v>2</v>
      </c>
      <c r="G228" s="1041">
        <v>2</v>
      </c>
      <c r="H228" s="1036">
        <v>40008</v>
      </c>
      <c r="I228" s="76"/>
      <c r="J228" s="72"/>
      <c r="K228" s="76"/>
      <c r="L228" s="72"/>
      <c r="M228" s="76"/>
      <c r="N228" s="66"/>
      <c r="O228" s="66"/>
      <c r="P228" s="66"/>
      <c r="Q228" s="668">
        <v>2</v>
      </c>
      <c r="R228" s="997">
        <v>40008</v>
      </c>
    </row>
    <row r="229" spans="1:18" ht="15" customHeight="1" x14ac:dyDescent="0.3">
      <c r="A229" s="96">
        <v>478</v>
      </c>
      <c r="B229" s="526">
        <v>36008</v>
      </c>
      <c r="C229" s="527" t="s">
        <v>136</v>
      </c>
      <c r="D229" s="76" t="s">
        <v>16</v>
      </c>
      <c r="E229" s="801">
        <v>0</v>
      </c>
      <c r="F229" s="1050">
        <v>0</v>
      </c>
      <c r="G229" s="1041">
        <v>0</v>
      </c>
      <c r="H229" s="1037" t="s">
        <v>16</v>
      </c>
      <c r="I229" s="73"/>
      <c r="J229" s="72"/>
      <c r="K229" s="73"/>
      <c r="L229" s="72"/>
      <c r="M229" s="73"/>
      <c r="N229" s="66"/>
      <c r="O229" s="66"/>
      <c r="P229" s="66"/>
      <c r="Q229" s="668">
        <v>0</v>
      </c>
      <c r="R229" s="998" t="s">
        <v>16</v>
      </c>
    </row>
    <row r="230" spans="1:18" ht="15" customHeight="1" x14ac:dyDescent="0.3">
      <c r="A230" s="96">
        <v>479</v>
      </c>
      <c r="B230" s="526">
        <v>36008</v>
      </c>
      <c r="C230" s="527" t="s">
        <v>136</v>
      </c>
      <c r="D230" s="73">
        <v>40091</v>
      </c>
      <c r="E230" s="801">
        <v>0</v>
      </c>
      <c r="F230" s="1050">
        <v>2</v>
      </c>
      <c r="G230" s="1041">
        <v>2</v>
      </c>
      <c r="H230" s="1036">
        <v>40091</v>
      </c>
      <c r="I230" s="73"/>
      <c r="J230" s="72"/>
      <c r="K230" s="73"/>
      <c r="L230" s="72"/>
      <c r="M230" s="73"/>
      <c r="N230" s="66"/>
      <c r="O230" s="66"/>
      <c r="P230" s="66"/>
      <c r="Q230" s="668">
        <v>2</v>
      </c>
      <c r="R230" s="997">
        <v>40091</v>
      </c>
    </row>
    <row r="231" spans="1:18" ht="15" customHeight="1" x14ac:dyDescent="0.3">
      <c r="A231" s="96">
        <v>480</v>
      </c>
      <c r="B231" s="526">
        <v>36008</v>
      </c>
      <c r="C231" s="527" t="s">
        <v>136</v>
      </c>
      <c r="D231" s="76" t="s">
        <v>16</v>
      </c>
      <c r="E231" s="801">
        <v>0</v>
      </c>
      <c r="F231" s="1050">
        <v>0</v>
      </c>
      <c r="G231" s="1041">
        <v>0</v>
      </c>
      <c r="H231" s="1037" t="s">
        <v>16</v>
      </c>
      <c r="I231" s="73"/>
      <c r="J231" s="72"/>
      <c r="K231" s="73"/>
      <c r="L231" s="72"/>
      <c r="M231" s="73"/>
      <c r="N231" s="66"/>
      <c r="O231" s="66"/>
      <c r="P231" s="66"/>
      <c r="Q231" s="668">
        <v>0</v>
      </c>
      <c r="R231" s="998" t="s">
        <v>16</v>
      </c>
    </row>
    <row r="232" spans="1:18" ht="15" customHeight="1" x14ac:dyDescent="0.3">
      <c r="A232" s="96">
        <v>484</v>
      </c>
      <c r="B232" s="526">
        <v>36039</v>
      </c>
      <c r="C232" s="527" t="s">
        <v>156</v>
      </c>
      <c r="D232" s="73">
        <v>42320</v>
      </c>
      <c r="E232" s="801">
        <v>0</v>
      </c>
      <c r="F232" s="1050">
        <v>14</v>
      </c>
      <c r="G232" s="1041">
        <v>14</v>
      </c>
      <c r="H232" s="1036">
        <v>42320</v>
      </c>
      <c r="I232" s="73"/>
      <c r="J232" s="72"/>
      <c r="K232" s="73"/>
      <c r="L232" s="72"/>
      <c r="M232" s="73"/>
      <c r="N232" s="66"/>
      <c r="O232" s="66"/>
      <c r="P232" s="66"/>
      <c r="Q232" s="668">
        <v>14</v>
      </c>
      <c r="R232" s="997">
        <v>42320</v>
      </c>
    </row>
    <row r="233" spans="1:18" ht="15" customHeight="1" x14ac:dyDescent="0.3">
      <c r="A233" s="96">
        <v>485</v>
      </c>
      <c r="B233" s="526">
        <v>36039</v>
      </c>
      <c r="C233" s="527" t="s">
        <v>157</v>
      </c>
      <c r="D233" s="73">
        <v>43147</v>
      </c>
      <c r="E233" s="801">
        <v>0</v>
      </c>
      <c r="F233" s="1050">
        <v>11</v>
      </c>
      <c r="G233" s="1041">
        <v>11</v>
      </c>
      <c r="H233" s="1036">
        <v>43147</v>
      </c>
      <c r="I233" s="73"/>
      <c r="J233" s="72"/>
      <c r="K233" s="73"/>
      <c r="L233" s="72"/>
      <c r="M233" s="73"/>
      <c r="N233" s="66"/>
      <c r="O233" s="66"/>
      <c r="P233" s="66"/>
      <c r="Q233" s="668">
        <v>11</v>
      </c>
      <c r="R233" s="997">
        <v>43147</v>
      </c>
    </row>
    <row r="234" spans="1:18" ht="15" customHeight="1" x14ac:dyDescent="0.3">
      <c r="A234" s="96">
        <v>488</v>
      </c>
      <c r="B234" s="526">
        <v>36039</v>
      </c>
      <c r="C234" s="527" t="s">
        <v>65</v>
      </c>
      <c r="D234" s="73">
        <v>44504</v>
      </c>
      <c r="E234" s="801">
        <v>0</v>
      </c>
      <c r="F234" s="1050">
        <v>2</v>
      </c>
      <c r="G234" s="1041">
        <v>2</v>
      </c>
      <c r="H234" s="1036">
        <v>44504</v>
      </c>
      <c r="I234" s="76"/>
      <c r="J234" s="72"/>
      <c r="K234" s="76"/>
      <c r="L234" s="72"/>
      <c r="M234" s="76"/>
      <c r="N234" s="66"/>
      <c r="O234" s="66"/>
      <c r="P234" s="66"/>
      <c r="Q234" s="668">
        <v>2</v>
      </c>
      <c r="R234" s="997">
        <v>44504</v>
      </c>
    </row>
    <row r="235" spans="1:18" ht="15" customHeight="1" x14ac:dyDescent="0.3">
      <c r="A235" s="96">
        <v>489</v>
      </c>
      <c r="B235" s="526">
        <v>36039</v>
      </c>
      <c r="C235" s="527" t="s">
        <v>158</v>
      </c>
      <c r="D235" s="76" t="s">
        <v>16</v>
      </c>
      <c r="E235" s="801">
        <v>0</v>
      </c>
      <c r="F235" s="1050">
        <v>0</v>
      </c>
      <c r="G235" s="1041">
        <v>0</v>
      </c>
      <c r="H235" s="1037" t="s">
        <v>16</v>
      </c>
      <c r="I235" s="73"/>
      <c r="J235" s="72"/>
      <c r="K235" s="73"/>
      <c r="L235" s="72"/>
      <c r="M235" s="73"/>
      <c r="N235" s="66"/>
      <c r="O235" s="66"/>
      <c r="P235" s="66"/>
      <c r="Q235" s="668">
        <v>0</v>
      </c>
      <c r="R235" s="998" t="s">
        <v>16</v>
      </c>
    </row>
    <row r="236" spans="1:18" ht="15" customHeight="1" x14ac:dyDescent="0.3">
      <c r="A236" s="97">
        <v>490</v>
      </c>
      <c r="B236" s="526">
        <v>36161</v>
      </c>
      <c r="C236" s="528" t="s">
        <v>159</v>
      </c>
      <c r="D236" s="73">
        <v>45323</v>
      </c>
      <c r="E236" s="801">
        <v>7</v>
      </c>
      <c r="F236" s="1050">
        <v>226</v>
      </c>
      <c r="G236" s="1041">
        <v>219</v>
      </c>
      <c r="H236" s="1036" t="s">
        <v>4274</v>
      </c>
      <c r="I236" s="76"/>
      <c r="J236" s="72"/>
      <c r="K236" s="76"/>
      <c r="L236" s="72"/>
      <c r="M236" s="76"/>
      <c r="N236" s="66"/>
      <c r="O236" s="66"/>
      <c r="P236" s="66"/>
      <c r="Q236" s="668">
        <v>221</v>
      </c>
      <c r="R236" s="997" t="s">
        <v>4274</v>
      </c>
    </row>
    <row r="237" spans="1:18" ht="15" customHeight="1" x14ac:dyDescent="0.3">
      <c r="A237" s="97">
        <v>492</v>
      </c>
      <c r="B237" s="526">
        <v>36161</v>
      </c>
      <c r="C237" s="528" t="s">
        <v>159</v>
      </c>
      <c r="D237" s="73">
        <v>45321</v>
      </c>
      <c r="E237" s="801">
        <v>4</v>
      </c>
      <c r="F237" s="1050">
        <v>64</v>
      </c>
      <c r="G237" s="1041">
        <v>60</v>
      </c>
      <c r="H237" s="1036">
        <v>44909</v>
      </c>
      <c r="I237" s="73"/>
      <c r="J237" s="72"/>
      <c r="K237" s="73"/>
      <c r="L237" s="72"/>
      <c r="M237" s="73"/>
      <c r="N237" s="66"/>
      <c r="O237" s="66"/>
      <c r="P237" s="66"/>
      <c r="Q237" s="668">
        <v>60</v>
      </c>
      <c r="R237" s="997">
        <v>44909</v>
      </c>
    </row>
    <row r="238" spans="1:18" ht="15" customHeight="1" x14ac:dyDescent="0.3">
      <c r="A238" s="96">
        <v>493</v>
      </c>
      <c r="B238" s="526">
        <v>36281</v>
      </c>
      <c r="C238" s="527" t="s">
        <v>13</v>
      </c>
      <c r="D238" s="76" t="s">
        <v>16</v>
      </c>
      <c r="E238" s="801">
        <v>0</v>
      </c>
      <c r="F238" s="1050">
        <v>0</v>
      </c>
      <c r="G238" s="1041">
        <v>0</v>
      </c>
      <c r="H238" s="1037" t="s">
        <v>16</v>
      </c>
      <c r="I238" s="73"/>
      <c r="J238" s="72"/>
      <c r="K238" s="73"/>
      <c r="L238" s="72"/>
      <c r="M238" s="73"/>
      <c r="N238" s="66"/>
      <c r="O238" s="66"/>
      <c r="P238" s="66"/>
      <c r="Q238" s="668">
        <v>0</v>
      </c>
      <c r="R238" s="998" t="s">
        <v>16</v>
      </c>
    </row>
    <row r="239" spans="1:18" ht="15" customHeight="1" x14ac:dyDescent="0.3">
      <c r="A239" s="96">
        <v>494</v>
      </c>
      <c r="B239" s="526">
        <v>36192</v>
      </c>
      <c r="C239" s="531" t="s">
        <v>160</v>
      </c>
      <c r="D239" s="73">
        <v>44041</v>
      </c>
      <c r="E239" s="801">
        <v>0</v>
      </c>
      <c r="F239" s="1050">
        <v>15</v>
      </c>
      <c r="G239" s="1041">
        <v>15</v>
      </c>
      <c r="H239" s="1036">
        <v>44041</v>
      </c>
      <c r="I239" s="73"/>
      <c r="J239" s="72"/>
      <c r="K239" s="73"/>
      <c r="L239" s="72"/>
      <c r="M239" s="73"/>
      <c r="N239" s="66"/>
      <c r="O239" s="66"/>
      <c r="P239" s="66"/>
      <c r="Q239" s="668">
        <v>15</v>
      </c>
      <c r="R239" s="997">
        <v>44041</v>
      </c>
    </row>
    <row r="240" spans="1:18" ht="15" customHeight="1" x14ac:dyDescent="0.3">
      <c r="A240" s="96">
        <v>495</v>
      </c>
      <c r="B240" s="526">
        <v>36192</v>
      </c>
      <c r="C240" s="527" t="s">
        <v>161</v>
      </c>
      <c r="D240" s="73">
        <v>43435</v>
      </c>
      <c r="E240" s="801">
        <v>0</v>
      </c>
      <c r="F240" s="1050">
        <v>6</v>
      </c>
      <c r="G240" s="1041">
        <v>6</v>
      </c>
      <c r="H240" s="1036">
        <v>43435</v>
      </c>
      <c r="I240" s="76"/>
      <c r="J240" s="72"/>
      <c r="K240" s="76"/>
      <c r="L240" s="72"/>
      <c r="M240" s="76"/>
      <c r="N240" s="66"/>
      <c r="O240" s="66"/>
      <c r="P240" s="66"/>
      <c r="Q240" s="668">
        <v>6</v>
      </c>
      <c r="R240" s="997">
        <v>43435</v>
      </c>
    </row>
    <row r="241" spans="1:18" ht="15" customHeight="1" x14ac:dyDescent="0.3">
      <c r="A241" s="96">
        <v>499</v>
      </c>
      <c r="B241" s="526">
        <v>36281</v>
      </c>
      <c r="C241" s="527" t="s">
        <v>26</v>
      </c>
      <c r="D241" s="73">
        <v>43859</v>
      </c>
      <c r="E241" s="801">
        <v>0</v>
      </c>
      <c r="F241" s="1050">
        <v>14</v>
      </c>
      <c r="G241" s="1041">
        <v>14</v>
      </c>
      <c r="H241" s="1036">
        <v>43859</v>
      </c>
      <c r="I241" s="73"/>
      <c r="J241" s="72"/>
      <c r="K241" s="73"/>
      <c r="L241" s="72"/>
      <c r="M241" s="73"/>
      <c r="N241" s="66"/>
      <c r="O241" s="66"/>
      <c r="P241" s="66"/>
      <c r="Q241" s="668">
        <v>14</v>
      </c>
      <c r="R241" s="997">
        <v>43859</v>
      </c>
    </row>
    <row r="242" spans="1:18" ht="15" customHeight="1" x14ac:dyDescent="0.3">
      <c r="A242" s="96">
        <v>501</v>
      </c>
      <c r="B242" s="526">
        <v>36281</v>
      </c>
      <c r="C242" s="527" t="s">
        <v>162</v>
      </c>
      <c r="D242" s="76">
        <v>45090</v>
      </c>
      <c r="E242" s="801">
        <v>1</v>
      </c>
      <c r="F242" s="1050">
        <v>1</v>
      </c>
      <c r="G242" s="1041">
        <v>0</v>
      </c>
      <c r="H242" s="1037" t="s">
        <v>16</v>
      </c>
      <c r="I242" s="73"/>
      <c r="J242" s="72"/>
      <c r="K242" s="73"/>
      <c r="L242" s="72"/>
      <c r="M242" s="73"/>
      <c r="N242" s="66"/>
      <c r="O242" s="66"/>
      <c r="P242" s="66"/>
      <c r="Q242" s="668">
        <v>0</v>
      </c>
      <c r="R242" s="998" t="s">
        <v>16</v>
      </c>
    </row>
    <row r="243" spans="1:18" ht="15" customHeight="1" x14ac:dyDescent="0.3">
      <c r="A243" s="96">
        <v>502</v>
      </c>
      <c r="B243" s="526">
        <v>36312</v>
      </c>
      <c r="C243" s="527" t="s">
        <v>163</v>
      </c>
      <c r="D243" s="73">
        <v>37707</v>
      </c>
      <c r="E243" s="801">
        <v>0</v>
      </c>
      <c r="F243" s="1050">
        <v>2</v>
      </c>
      <c r="G243" s="1041">
        <v>2</v>
      </c>
      <c r="H243" s="1036">
        <v>37707</v>
      </c>
      <c r="I243" s="76"/>
      <c r="J243" s="72"/>
      <c r="K243" s="76"/>
      <c r="L243" s="72"/>
      <c r="M243" s="76"/>
      <c r="N243" s="66"/>
      <c r="O243" s="66"/>
      <c r="P243" s="66"/>
      <c r="Q243" s="668">
        <v>2</v>
      </c>
      <c r="R243" s="997">
        <v>37707</v>
      </c>
    </row>
    <row r="244" spans="1:18" ht="15" customHeight="1" x14ac:dyDescent="0.3">
      <c r="A244" s="96">
        <v>505</v>
      </c>
      <c r="B244" s="526">
        <v>36373</v>
      </c>
      <c r="C244" s="527" t="s">
        <v>164</v>
      </c>
      <c r="D244" s="73">
        <v>44595</v>
      </c>
      <c r="E244" s="801">
        <v>0</v>
      </c>
      <c r="F244" s="1050">
        <v>4</v>
      </c>
      <c r="G244" s="1041">
        <v>4</v>
      </c>
      <c r="H244" s="1036">
        <v>44595</v>
      </c>
      <c r="I244" s="73"/>
      <c r="J244" s="72"/>
      <c r="K244" s="73"/>
      <c r="L244" s="72"/>
      <c r="M244" s="73"/>
      <c r="N244" s="66"/>
      <c r="O244" s="66"/>
      <c r="P244" s="66"/>
      <c r="Q244" s="668">
        <v>4</v>
      </c>
      <c r="R244" s="997">
        <v>44595</v>
      </c>
    </row>
    <row r="245" spans="1:18" ht="15" customHeight="1" x14ac:dyDescent="0.3">
      <c r="A245" s="96">
        <v>506</v>
      </c>
      <c r="B245" s="526">
        <v>36373</v>
      </c>
      <c r="C245" s="527" t="s">
        <v>165</v>
      </c>
      <c r="D245" s="73">
        <v>39031</v>
      </c>
      <c r="E245" s="801">
        <v>0</v>
      </c>
      <c r="F245" s="1050">
        <v>1</v>
      </c>
      <c r="G245" s="1041">
        <v>1</v>
      </c>
      <c r="H245" s="1036">
        <v>39031</v>
      </c>
      <c r="I245" s="73"/>
      <c r="J245" s="72"/>
      <c r="K245" s="73"/>
      <c r="L245" s="72"/>
      <c r="M245" s="73"/>
      <c r="N245" s="66"/>
      <c r="O245" s="66"/>
      <c r="P245" s="66"/>
      <c r="Q245" s="668">
        <v>1</v>
      </c>
      <c r="R245" s="997">
        <v>39031</v>
      </c>
    </row>
    <row r="246" spans="1:18" ht="15" customHeight="1" x14ac:dyDescent="0.3">
      <c r="A246" s="96">
        <v>507</v>
      </c>
      <c r="B246" s="526">
        <v>36373</v>
      </c>
      <c r="C246" s="527" t="s">
        <v>166</v>
      </c>
      <c r="D246" s="73">
        <v>45215</v>
      </c>
      <c r="E246" s="801">
        <v>2</v>
      </c>
      <c r="F246" s="1050">
        <v>46</v>
      </c>
      <c r="G246" s="1041">
        <v>44</v>
      </c>
      <c r="H246" s="1036">
        <v>44623</v>
      </c>
      <c r="I246" s="73"/>
      <c r="J246" s="72"/>
      <c r="K246" s="73"/>
      <c r="L246" s="72"/>
      <c r="M246" s="73"/>
      <c r="N246" s="66"/>
      <c r="O246" s="66"/>
      <c r="P246" s="66"/>
      <c r="Q246" s="668">
        <v>44</v>
      </c>
      <c r="R246" s="997">
        <v>44623</v>
      </c>
    </row>
    <row r="247" spans="1:18" ht="15" customHeight="1" x14ac:dyDescent="0.3">
      <c r="A247" s="96">
        <v>508</v>
      </c>
      <c r="B247" s="526">
        <v>36373</v>
      </c>
      <c r="C247" s="527" t="s">
        <v>167</v>
      </c>
      <c r="D247" s="73">
        <v>45237</v>
      </c>
      <c r="E247" s="801">
        <v>2</v>
      </c>
      <c r="F247" s="1050">
        <v>34</v>
      </c>
      <c r="G247" s="1041">
        <v>32</v>
      </c>
      <c r="H247" s="1036">
        <v>44403</v>
      </c>
      <c r="I247" s="76"/>
      <c r="J247" s="72"/>
      <c r="K247" s="76"/>
      <c r="L247" s="72"/>
      <c r="M247" s="76"/>
      <c r="N247" s="66"/>
      <c r="O247" s="66"/>
      <c r="P247" s="66"/>
      <c r="Q247" s="668">
        <v>32</v>
      </c>
      <c r="R247" s="997">
        <v>44403</v>
      </c>
    </row>
    <row r="248" spans="1:18" ht="15" customHeight="1" x14ac:dyDescent="0.3">
      <c r="A248" s="96">
        <v>509</v>
      </c>
      <c r="B248" s="526">
        <v>36373</v>
      </c>
      <c r="C248" s="527" t="s">
        <v>168</v>
      </c>
      <c r="D248" s="73">
        <v>42208</v>
      </c>
      <c r="E248" s="801">
        <v>0</v>
      </c>
      <c r="F248" s="1050">
        <v>2</v>
      </c>
      <c r="G248" s="1041">
        <v>2</v>
      </c>
      <c r="H248" s="1036">
        <v>42208</v>
      </c>
      <c r="I248" s="73"/>
      <c r="J248" s="72"/>
      <c r="K248" s="73"/>
      <c r="L248" s="72"/>
      <c r="M248" s="73"/>
      <c r="N248" s="66"/>
      <c r="O248" s="66"/>
      <c r="P248" s="66"/>
      <c r="Q248" s="668">
        <v>2</v>
      </c>
      <c r="R248" s="997">
        <v>42208</v>
      </c>
    </row>
    <row r="249" spans="1:18" ht="15" customHeight="1" x14ac:dyDescent="0.3">
      <c r="A249" s="96">
        <v>511</v>
      </c>
      <c r="B249" s="526">
        <v>36495</v>
      </c>
      <c r="C249" s="527" t="s">
        <v>169</v>
      </c>
      <c r="D249" s="73">
        <v>44552</v>
      </c>
      <c r="E249" s="801">
        <v>0</v>
      </c>
      <c r="F249" s="1050">
        <v>5</v>
      </c>
      <c r="G249" s="1041">
        <v>5</v>
      </c>
      <c r="H249" s="1036">
        <v>44552</v>
      </c>
      <c r="I249" s="73"/>
      <c r="J249" s="72"/>
      <c r="K249" s="73"/>
      <c r="L249" s="72"/>
      <c r="M249" s="73"/>
      <c r="N249" s="66"/>
      <c r="O249" s="66"/>
      <c r="P249" s="66"/>
      <c r="Q249" s="668">
        <v>5</v>
      </c>
      <c r="R249" s="997">
        <v>44552</v>
      </c>
    </row>
    <row r="250" spans="1:18" ht="15" customHeight="1" x14ac:dyDescent="0.3">
      <c r="A250" s="96">
        <v>512</v>
      </c>
      <c r="B250" s="526">
        <v>36495</v>
      </c>
      <c r="C250" s="527" t="s">
        <v>170</v>
      </c>
      <c r="D250" s="73">
        <v>40855</v>
      </c>
      <c r="E250" s="801">
        <v>0</v>
      </c>
      <c r="F250" s="1050">
        <v>1</v>
      </c>
      <c r="G250" s="1041">
        <v>1</v>
      </c>
      <c r="H250" s="1036">
        <v>40855</v>
      </c>
      <c r="I250" s="73"/>
      <c r="J250" s="72"/>
      <c r="K250" s="73"/>
      <c r="L250" s="72"/>
      <c r="M250" s="73"/>
      <c r="N250" s="66"/>
      <c r="O250" s="66"/>
      <c r="P250" s="66"/>
      <c r="Q250" s="668">
        <v>1</v>
      </c>
      <c r="R250" s="997">
        <v>40855</v>
      </c>
    </row>
    <row r="251" spans="1:18" ht="15" customHeight="1" x14ac:dyDescent="0.3">
      <c r="A251" s="96">
        <v>513</v>
      </c>
      <c r="B251" s="526">
        <v>36495</v>
      </c>
      <c r="C251" s="527" t="s">
        <v>171</v>
      </c>
      <c r="D251" s="73">
        <v>41144</v>
      </c>
      <c r="E251" s="801">
        <v>0</v>
      </c>
      <c r="F251" s="1050">
        <v>2</v>
      </c>
      <c r="G251" s="1041">
        <v>2</v>
      </c>
      <c r="H251" s="1036">
        <v>41144</v>
      </c>
      <c r="I251" s="73"/>
      <c r="J251" s="72"/>
      <c r="K251" s="73"/>
      <c r="L251" s="72"/>
      <c r="M251" s="73"/>
      <c r="N251" s="66"/>
      <c r="O251" s="66"/>
      <c r="P251" s="66"/>
      <c r="Q251" s="668">
        <v>2</v>
      </c>
      <c r="R251" s="997">
        <v>41144</v>
      </c>
    </row>
    <row r="252" spans="1:18" ht="15" customHeight="1" x14ac:dyDescent="0.3">
      <c r="A252" s="96">
        <v>514</v>
      </c>
      <c r="B252" s="526">
        <v>36495</v>
      </c>
      <c r="C252" s="527" t="s">
        <v>172</v>
      </c>
      <c r="D252" s="76" t="s">
        <v>16</v>
      </c>
      <c r="E252" s="801">
        <v>0</v>
      </c>
      <c r="F252" s="1050">
        <v>0</v>
      </c>
      <c r="G252" s="1041">
        <v>0</v>
      </c>
      <c r="H252" s="1037" t="s">
        <v>16</v>
      </c>
      <c r="I252" s="73"/>
      <c r="J252" s="72"/>
      <c r="K252" s="73"/>
      <c r="L252" s="72"/>
      <c r="M252" s="73"/>
      <c r="N252" s="66"/>
      <c r="O252" s="66"/>
      <c r="P252" s="66"/>
      <c r="Q252" s="668">
        <v>0</v>
      </c>
      <c r="R252" s="998" t="s">
        <v>16</v>
      </c>
    </row>
    <row r="253" spans="1:18" ht="15" customHeight="1" x14ac:dyDescent="0.3">
      <c r="A253" s="96">
        <v>515</v>
      </c>
      <c r="B253" s="526">
        <v>36495</v>
      </c>
      <c r="C253" s="527" t="s">
        <v>173</v>
      </c>
      <c r="D253" s="76" t="s">
        <v>16</v>
      </c>
      <c r="E253" s="801">
        <v>0</v>
      </c>
      <c r="F253" s="1050">
        <v>0</v>
      </c>
      <c r="G253" s="1041">
        <v>0</v>
      </c>
      <c r="H253" s="1037" t="s">
        <v>16</v>
      </c>
      <c r="I253" s="73"/>
      <c r="J253" s="72"/>
      <c r="K253" s="73"/>
      <c r="L253" s="72"/>
      <c r="M253" s="73"/>
      <c r="N253" s="66"/>
      <c r="O253" s="66"/>
      <c r="P253" s="66"/>
      <c r="Q253" s="668">
        <v>0</v>
      </c>
      <c r="R253" s="998" t="s">
        <v>16</v>
      </c>
    </row>
    <row r="254" spans="1:18" ht="15" customHeight="1" x14ac:dyDescent="0.3">
      <c r="A254" s="96">
        <v>516</v>
      </c>
      <c r="B254" s="526">
        <v>36465</v>
      </c>
      <c r="C254" s="527" t="s">
        <v>174</v>
      </c>
      <c r="D254" s="76" t="s">
        <v>16</v>
      </c>
      <c r="E254" s="803">
        <v>0</v>
      </c>
      <c r="F254" s="1052">
        <v>0</v>
      </c>
      <c r="G254" s="1043">
        <v>0</v>
      </c>
      <c r="H254" s="1037" t="s">
        <v>16</v>
      </c>
      <c r="I254" s="73"/>
      <c r="J254" s="72"/>
      <c r="K254" s="73"/>
      <c r="L254" s="72"/>
      <c r="M254" s="73"/>
      <c r="N254" s="66"/>
      <c r="O254" s="66"/>
      <c r="P254" s="66"/>
      <c r="Q254" s="806">
        <v>0</v>
      </c>
      <c r="R254" s="998" t="s">
        <v>16</v>
      </c>
    </row>
    <row r="255" spans="1:18" ht="15" customHeight="1" x14ac:dyDescent="0.3">
      <c r="A255" s="96">
        <v>522</v>
      </c>
      <c r="B255" s="526">
        <v>36861</v>
      </c>
      <c r="C255" s="527" t="s">
        <v>175</v>
      </c>
      <c r="D255" s="73">
        <v>43815</v>
      </c>
      <c r="E255" s="801">
        <v>0</v>
      </c>
      <c r="F255" s="1050">
        <v>5</v>
      </c>
      <c r="G255" s="1041">
        <v>5</v>
      </c>
      <c r="H255" s="1036">
        <v>43815</v>
      </c>
      <c r="I255" s="73"/>
      <c r="J255" s="72"/>
      <c r="K255" s="73"/>
      <c r="L255" s="72"/>
      <c r="M255" s="73"/>
      <c r="N255" s="66"/>
      <c r="O255" s="66"/>
      <c r="P255" s="66"/>
      <c r="Q255" s="668">
        <v>5</v>
      </c>
      <c r="R255" s="997">
        <v>43815</v>
      </c>
    </row>
    <row r="256" spans="1:18" ht="15" customHeight="1" x14ac:dyDescent="0.3">
      <c r="A256" s="96">
        <v>523</v>
      </c>
      <c r="B256" s="526">
        <v>36861</v>
      </c>
      <c r="C256" s="527" t="s">
        <v>176</v>
      </c>
      <c r="D256" s="73">
        <v>38043</v>
      </c>
      <c r="E256" s="801">
        <v>0</v>
      </c>
      <c r="F256" s="1050">
        <v>4</v>
      </c>
      <c r="G256" s="1041">
        <v>4</v>
      </c>
      <c r="H256" s="1036">
        <v>38043</v>
      </c>
      <c r="I256" s="73"/>
      <c r="J256" s="72"/>
      <c r="K256" s="73"/>
      <c r="L256" s="72"/>
      <c r="M256" s="73"/>
      <c r="N256" s="66"/>
      <c r="O256" s="66"/>
      <c r="P256" s="66"/>
      <c r="Q256" s="668">
        <v>4</v>
      </c>
      <c r="R256" s="997">
        <v>38043</v>
      </c>
    </row>
    <row r="257" spans="1:18" ht="15" customHeight="1" x14ac:dyDescent="0.3">
      <c r="A257" s="96">
        <v>524</v>
      </c>
      <c r="B257" s="526">
        <v>36861</v>
      </c>
      <c r="C257" s="527" t="s">
        <v>177</v>
      </c>
      <c r="D257" s="76" t="s">
        <v>16</v>
      </c>
      <c r="E257" s="803">
        <v>0</v>
      </c>
      <c r="F257" s="1052">
        <v>0</v>
      </c>
      <c r="G257" s="1043">
        <v>0</v>
      </c>
      <c r="H257" s="1037" t="s">
        <v>16</v>
      </c>
      <c r="I257" s="76"/>
      <c r="J257" s="72"/>
      <c r="K257" s="76"/>
      <c r="L257" s="72"/>
      <c r="M257" s="76"/>
      <c r="N257" s="66"/>
      <c r="O257" s="66"/>
      <c r="P257" s="66"/>
      <c r="Q257" s="806">
        <v>0</v>
      </c>
      <c r="R257" s="998" t="s">
        <v>16</v>
      </c>
    </row>
    <row r="258" spans="1:18" ht="15" customHeight="1" x14ac:dyDescent="0.3">
      <c r="A258" s="96">
        <v>525</v>
      </c>
      <c r="B258" s="526">
        <v>36861</v>
      </c>
      <c r="C258" s="527" t="s">
        <v>178</v>
      </c>
      <c r="D258" s="73">
        <v>42018</v>
      </c>
      <c r="E258" s="803">
        <v>0</v>
      </c>
      <c r="F258" s="1052">
        <v>1</v>
      </c>
      <c r="G258" s="1043">
        <v>1</v>
      </c>
      <c r="H258" s="1036">
        <v>42018</v>
      </c>
      <c r="I258" s="76"/>
      <c r="J258" s="72"/>
      <c r="K258" s="76"/>
      <c r="L258" s="72"/>
      <c r="M258" s="76"/>
      <c r="N258" s="66"/>
      <c r="O258" s="66"/>
      <c r="P258" s="66"/>
      <c r="Q258" s="806">
        <v>1</v>
      </c>
      <c r="R258" s="997">
        <v>42018</v>
      </c>
    </row>
    <row r="259" spans="1:18" ht="15" customHeight="1" x14ac:dyDescent="0.3">
      <c r="A259" s="96">
        <v>526</v>
      </c>
      <c r="B259" s="526">
        <v>36923</v>
      </c>
      <c r="C259" s="527" t="s">
        <v>133</v>
      </c>
      <c r="D259" s="76" t="s">
        <v>16</v>
      </c>
      <c r="E259" s="803">
        <v>0</v>
      </c>
      <c r="F259" s="1052">
        <v>0</v>
      </c>
      <c r="G259" s="1043">
        <v>0</v>
      </c>
      <c r="H259" s="1037" t="s">
        <v>16</v>
      </c>
      <c r="I259" s="76"/>
      <c r="J259" s="78"/>
      <c r="K259" s="76"/>
      <c r="L259" s="78"/>
      <c r="M259" s="76"/>
      <c r="N259" s="66"/>
      <c r="O259" s="66"/>
      <c r="P259" s="66"/>
      <c r="Q259" s="806">
        <v>0</v>
      </c>
      <c r="R259" s="998" t="s">
        <v>16</v>
      </c>
    </row>
    <row r="260" spans="1:18" ht="15" customHeight="1" x14ac:dyDescent="0.3">
      <c r="A260" s="96">
        <v>527</v>
      </c>
      <c r="B260" s="526">
        <v>36861</v>
      </c>
      <c r="C260" s="527" t="s">
        <v>179</v>
      </c>
      <c r="D260" s="73">
        <v>44294</v>
      </c>
      <c r="E260" s="801">
        <v>0</v>
      </c>
      <c r="F260" s="1050">
        <v>12</v>
      </c>
      <c r="G260" s="1041">
        <v>12</v>
      </c>
      <c r="H260" s="1036">
        <v>44294</v>
      </c>
      <c r="I260" s="73"/>
      <c r="J260" s="72"/>
      <c r="K260" s="73"/>
      <c r="L260" s="72"/>
      <c r="M260" s="73"/>
      <c r="N260" s="66"/>
      <c r="O260" s="66"/>
      <c r="P260" s="66"/>
      <c r="Q260" s="668">
        <v>12</v>
      </c>
      <c r="R260" s="997">
        <v>44294</v>
      </c>
    </row>
    <row r="261" spans="1:18" ht="15" customHeight="1" x14ac:dyDescent="0.3">
      <c r="A261" s="96">
        <v>528</v>
      </c>
      <c r="B261" s="526">
        <v>36923</v>
      </c>
      <c r="C261" s="527" t="s">
        <v>180</v>
      </c>
      <c r="D261" s="73">
        <v>42114</v>
      </c>
      <c r="E261" s="801">
        <v>0</v>
      </c>
      <c r="F261" s="1050">
        <v>3</v>
      </c>
      <c r="G261" s="1041">
        <v>3</v>
      </c>
      <c r="H261" s="1036">
        <v>42114</v>
      </c>
      <c r="I261" s="73"/>
      <c r="J261" s="72"/>
      <c r="K261" s="73"/>
      <c r="L261" s="72"/>
      <c r="M261" s="73"/>
      <c r="N261" s="66"/>
      <c r="O261" s="66"/>
      <c r="P261" s="66"/>
      <c r="Q261" s="668">
        <v>3</v>
      </c>
      <c r="R261" s="997">
        <v>42114</v>
      </c>
    </row>
    <row r="262" spans="1:18" ht="15" customHeight="1" x14ac:dyDescent="0.3">
      <c r="A262" s="96">
        <v>531</v>
      </c>
      <c r="B262" s="526">
        <v>36923</v>
      </c>
      <c r="C262" s="527" t="s">
        <v>12</v>
      </c>
      <c r="D262" s="73">
        <v>45406</v>
      </c>
      <c r="E262" s="801">
        <v>1</v>
      </c>
      <c r="F262" s="1050">
        <v>6</v>
      </c>
      <c r="G262" s="1041">
        <v>5</v>
      </c>
      <c r="H262" s="1036">
        <v>44294</v>
      </c>
      <c r="I262" s="76"/>
      <c r="J262" s="78"/>
      <c r="K262" s="76"/>
      <c r="L262" s="78"/>
      <c r="M262" s="76"/>
      <c r="N262" s="66"/>
      <c r="O262" s="66"/>
      <c r="P262" s="66"/>
      <c r="Q262" s="668">
        <v>5</v>
      </c>
      <c r="R262" s="997">
        <v>44294</v>
      </c>
    </row>
    <row r="263" spans="1:18" ht="15" customHeight="1" x14ac:dyDescent="0.3">
      <c r="A263" s="96">
        <v>532</v>
      </c>
      <c r="B263" s="526">
        <v>36982</v>
      </c>
      <c r="C263" s="527" t="s">
        <v>8</v>
      </c>
      <c r="D263" s="73">
        <v>44967</v>
      </c>
      <c r="E263" s="801">
        <v>1</v>
      </c>
      <c r="F263" s="1050">
        <v>22</v>
      </c>
      <c r="G263" s="1041">
        <v>21</v>
      </c>
      <c r="H263" s="1036">
        <v>44967</v>
      </c>
      <c r="I263" s="73"/>
      <c r="J263" s="78"/>
      <c r="K263" s="73"/>
      <c r="L263" s="78"/>
      <c r="M263" s="73"/>
      <c r="N263" s="66"/>
      <c r="O263" s="66"/>
      <c r="P263" s="66"/>
      <c r="Q263" s="668">
        <v>22</v>
      </c>
      <c r="R263" s="997">
        <v>44967</v>
      </c>
    </row>
    <row r="264" spans="1:18" ht="15" customHeight="1" x14ac:dyDescent="0.3">
      <c r="A264" s="96">
        <v>534</v>
      </c>
      <c r="B264" s="526">
        <v>36982</v>
      </c>
      <c r="C264" s="527" t="s">
        <v>110</v>
      </c>
      <c r="D264" s="73">
        <v>44530</v>
      </c>
      <c r="E264" s="801">
        <v>0</v>
      </c>
      <c r="F264" s="1050">
        <v>13</v>
      </c>
      <c r="G264" s="1041">
        <v>13</v>
      </c>
      <c r="H264" s="1036">
        <v>44530</v>
      </c>
      <c r="I264" s="76"/>
      <c r="J264" s="78"/>
      <c r="K264" s="76"/>
      <c r="L264" s="78"/>
      <c r="M264" s="76"/>
      <c r="N264" s="66"/>
      <c r="O264" s="66"/>
      <c r="P264" s="66"/>
      <c r="Q264" s="668">
        <v>13</v>
      </c>
      <c r="R264" s="997">
        <v>44530</v>
      </c>
    </row>
    <row r="265" spans="1:18" ht="15" customHeight="1" x14ac:dyDescent="0.3">
      <c r="A265" s="96">
        <v>537</v>
      </c>
      <c r="B265" s="526">
        <v>37073</v>
      </c>
      <c r="C265" s="527" t="s">
        <v>135</v>
      </c>
      <c r="D265" s="73">
        <v>43391</v>
      </c>
      <c r="E265" s="801">
        <v>0</v>
      </c>
      <c r="F265" s="1050">
        <v>23</v>
      </c>
      <c r="G265" s="1041">
        <v>23</v>
      </c>
      <c r="H265" s="1036">
        <v>43391</v>
      </c>
      <c r="I265" s="73"/>
      <c r="J265" s="72"/>
      <c r="K265" s="73"/>
      <c r="L265" s="72"/>
      <c r="M265" s="73"/>
      <c r="N265" s="66"/>
      <c r="O265" s="66"/>
      <c r="P265" s="66"/>
      <c r="Q265" s="668">
        <v>23</v>
      </c>
      <c r="R265" s="997">
        <v>43391</v>
      </c>
    </row>
    <row r="266" spans="1:18" ht="15" customHeight="1" x14ac:dyDescent="0.3">
      <c r="A266" s="96">
        <v>542</v>
      </c>
      <c r="B266" s="526">
        <v>37257</v>
      </c>
      <c r="C266" s="527" t="s">
        <v>92</v>
      </c>
      <c r="D266" s="73">
        <v>45090</v>
      </c>
      <c r="E266" s="801">
        <v>1</v>
      </c>
      <c r="F266" s="1050">
        <v>5</v>
      </c>
      <c r="G266" s="1041">
        <v>4</v>
      </c>
      <c r="H266" s="1036">
        <v>38289</v>
      </c>
      <c r="I266" s="73"/>
      <c r="J266" s="72"/>
      <c r="K266" s="73"/>
      <c r="L266" s="72"/>
      <c r="M266" s="73"/>
      <c r="N266" s="66"/>
      <c r="O266" s="66"/>
      <c r="P266" s="66"/>
      <c r="Q266" s="668">
        <v>4</v>
      </c>
      <c r="R266" s="997">
        <v>38289</v>
      </c>
    </row>
    <row r="267" spans="1:18" ht="15" customHeight="1" x14ac:dyDescent="0.3">
      <c r="A267" s="96">
        <v>543</v>
      </c>
      <c r="B267" s="526">
        <v>37469</v>
      </c>
      <c r="C267" s="527" t="s">
        <v>181</v>
      </c>
      <c r="D267" s="73">
        <v>45215</v>
      </c>
      <c r="E267" s="801">
        <v>1</v>
      </c>
      <c r="F267" s="1050">
        <v>12</v>
      </c>
      <c r="G267" s="1041">
        <v>11</v>
      </c>
      <c r="H267" s="1036">
        <v>42075</v>
      </c>
      <c r="I267" s="73"/>
      <c r="J267" s="72"/>
      <c r="K267" s="73"/>
      <c r="L267" s="72"/>
      <c r="M267" s="73"/>
      <c r="N267" s="66"/>
      <c r="O267" s="66"/>
      <c r="P267" s="66"/>
      <c r="Q267" s="668">
        <v>11</v>
      </c>
      <c r="R267" s="997">
        <v>42075</v>
      </c>
    </row>
    <row r="268" spans="1:18" ht="15" customHeight="1" x14ac:dyDescent="0.3">
      <c r="A268" s="96">
        <v>544</v>
      </c>
      <c r="B268" s="526">
        <v>37469</v>
      </c>
      <c r="C268" s="527" t="s">
        <v>181</v>
      </c>
      <c r="D268" s="73">
        <v>45239</v>
      </c>
      <c r="E268" s="801">
        <v>4</v>
      </c>
      <c r="F268" s="1050">
        <v>52</v>
      </c>
      <c r="G268" s="1041">
        <v>48</v>
      </c>
      <c r="H268" s="1036">
        <v>44861</v>
      </c>
      <c r="I268" s="73"/>
      <c r="J268" s="72"/>
      <c r="K268" s="73"/>
      <c r="L268" s="72"/>
      <c r="M268" s="73"/>
      <c r="N268" s="66"/>
      <c r="O268" s="66"/>
      <c r="P268" s="66"/>
      <c r="Q268" s="668">
        <v>48</v>
      </c>
      <c r="R268" s="997">
        <v>44861</v>
      </c>
    </row>
    <row r="269" spans="1:18" ht="15" customHeight="1" x14ac:dyDescent="0.3">
      <c r="A269" s="96">
        <v>545</v>
      </c>
      <c r="B269" s="526">
        <v>37226</v>
      </c>
      <c r="C269" s="527" t="s">
        <v>182</v>
      </c>
      <c r="D269" s="73">
        <v>45229</v>
      </c>
      <c r="E269" s="801">
        <v>2</v>
      </c>
      <c r="F269" s="1050">
        <v>40</v>
      </c>
      <c r="G269" s="1041">
        <v>38</v>
      </c>
      <c r="H269" s="1036">
        <v>44861</v>
      </c>
      <c r="I269" s="73"/>
      <c r="J269" s="72"/>
      <c r="K269" s="73"/>
      <c r="L269" s="72"/>
      <c r="M269" s="73"/>
      <c r="N269" s="66"/>
      <c r="O269" s="66"/>
      <c r="P269" s="66"/>
      <c r="Q269" s="668">
        <v>38</v>
      </c>
      <c r="R269" s="997">
        <v>44861</v>
      </c>
    </row>
    <row r="270" spans="1:18" ht="15" customHeight="1" x14ac:dyDescent="0.3">
      <c r="A270" s="96">
        <v>546</v>
      </c>
      <c r="B270" s="526">
        <v>37226</v>
      </c>
      <c r="C270" s="527" t="s">
        <v>183</v>
      </c>
      <c r="D270" s="73">
        <v>42208</v>
      </c>
      <c r="E270" s="801">
        <v>0</v>
      </c>
      <c r="F270" s="1050">
        <v>10</v>
      </c>
      <c r="G270" s="1041">
        <v>10</v>
      </c>
      <c r="H270" s="1036">
        <v>42208</v>
      </c>
      <c r="I270" s="73"/>
      <c r="J270" s="72"/>
      <c r="K270" s="73"/>
      <c r="L270" s="72"/>
      <c r="M270" s="73"/>
      <c r="N270" s="66"/>
      <c r="O270" s="66"/>
      <c r="P270" s="66"/>
      <c r="Q270" s="668">
        <v>10</v>
      </c>
      <c r="R270" s="997">
        <v>42208</v>
      </c>
    </row>
    <row r="271" spans="1:18" ht="15" customHeight="1" x14ac:dyDescent="0.3">
      <c r="A271" s="96">
        <v>547</v>
      </c>
      <c r="B271" s="526">
        <v>37226</v>
      </c>
      <c r="C271" s="527" t="s">
        <v>164</v>
      </c>
      <c r="D271" s="73">
        <v>39002</v>
      </c>
      <c r="E271" s="801">
        <v>0</v>
      </c>
      <c r="F271" s="1050">
        <v>7</v>
      </c>
      <c r="G271" s="1041">
        <v>7</v>
      </c>
      <c r="H271" s="1036">
        <v>39002</v>
      </c>
      <c r="I271" s="73"/>
      <c r="J271" s="72"/>
      <c r="K271" s="73"/>
      <c r="L271" s="72"/>
      <c r="M271" s="73"/>
      <c r="N271" s="66"/>
      <c r="O271" s="66"/>
      <c r="P271" s="66"/>
      <c r="Q271" s="668">
        <v>7</v>
      </c>
      <c r="R271" s="997">
        <v>39002</v>
      </c>
    </row>
    <row r="272" spans="1:18" ht="15" customHeight="1" x14ac:dyDescent="0.3">
      <c r="A272" s="96">
        <v>548</v>
      </c>
      <c r="B272" s="526">
        <v>37226</v>
      </c>
      <c r="C272" s="527" t="s">
        <v>184</v>
      </c>
      <c r="D272" s="73">
        <v>40864</v>
      </c>
      <c r="E272" s="801">
        <v>0</v>
      </c>
      <c r="F272" s="1050">
        <v>3</v>
      </c>
      <c r="G272" s="1041">
        <v>3</v>
      </c>
      <c r="H272" s="1036">
        <v>40864</v>
      </c>
      <c r="I272" s="73"/>
      <c r="J272" s="72"/>
      <c r="K272" s="73"/>
      <c r="L272" s="72"/>
      <c r="M272" s="73"/>
      <c r="N272" s="66"/>
      <c r="O272" s="66"/>
      <c r="P272" s="66"/>
      <c r="Q272" s="668">
        <v>3</v>
      </c>
      <c r="R272" s="997">
        <v>40864</v>
      </c>
    </row>
    <row r="273" spans="1:18" ht="15" customHeight="1" x14ac:dyDescent="0.3">
      <c r="A273" s="96">
        <v>552</v>
      </c>
      <c r="B273" s="526">
        <v>37377</v>
      </c>
      <c r="C273" s="527" t="s">
        <v>185</v>
      </c>
      <c r="D273" s="73">
        <v>45352</v>
      </c>
      <c r="E273" s="801">
        <v>12</v>
      </c>
      <c r="F273" s="1050">
        <v>105</v>
      </c>
      <c r="G273" s="1041">
        <v>93</v>
      </c>
      <c r="H273" s="1036">
        <v>44963</v>
      </c>
      <c r="I273" s="73"/>
      <c r="J273" s="72"/>
      <c r="K273" s="73"/>
      <c r="L273" s="72"/>
      <c r="M273" s="73"/>
      <c r="N273" s="66"/>
      <c r="O273" s="66"/>
      <c r="P273" s="66"/>
      <c r="Q273" s="668">
        <v>94</v>
      </c>
      <c r="R273" s="997">
        <v>44963</v>
      </c>
    </row>
    <row r="274" spans="1:18" ht="15" customHeight="1" x14ac:dyDescent="0.3">
      <c r="A274" s="98">
        <v>554</v>
      </c>
      <c r="B274" s="526">
        <v>37135</v>
      </c>
      <c r="C274" s="532" t="s">
        <v>186</v>
      </c>
      <c r="D274" s="76" t="s">
        <v>16</v>
      </c>
      <c r="E274" s="803">
        <v>0</v>
      </c>
      <c r="F274" s="1052">
        <v>0</v>
      </c>
      <c r="G274" s="1043">
        <v>0</v>
      </c>
      <c r="H274" s="1037" t="s">
        <v>16</v>
      </c>
      <c r="I274" s="73"/>
      <c r="J274" s="72"/>
      <c r="K274" s="73"/>
      <c r="L274" s="72"/>
      <c r="M274" s="73"/>
      <c r="N274" s="66"/>
      <c r="O274" s="66"/>
      <c r="P274" s="66"/>
      <c r="Q274" s="806">
        <v>0</v>
      </c>
      <c r="R274" s="998" t="s">
        <v>16</v>
      </c>
    </row>
    <row r="275" spans="1:18" ht="15" customHeight="1" x14ac:dyDescent="0.3">
      <c r="A275" s="98">
        <v>555</v>
      </c>
      <c r="B275" s="526">
        <v>37135</v>
      </c>
      <c r="C275" s="532" t="s">
        <v>186</v>
      </c>
      <c r="D275" s="79">
        <v>41144</v>
      </c>
      <c r="E275" s="801">
        <v>0</v>
      </c>
      <c r="F275" s="1050">
        <v>1</v>
      </c>
      <c r="G275" s="1041">
        <v>1</v>
      </c>
      <c r="H275" s="1038">
        <v>41144</v>
      </c>
      <c r="I275" s="73"/>
      <c r="J275" s="72"/>
      <c r="K275" s="73"/>
      <c r="L275" s="72"/>
      <c r="M275" s="73"/>
      <c r="N275" s="66"/>
      <c r="O275" s="66"/>
      <c r="P275" s="66"/>
      <c r="Q275" s="668">
        <v>1</v>
      </c>
      <c r="R275" s="999">
        <v>41144</v>
      </c>
    </row>
    <row r="276" spans="1:18" ht="15" customHeight="1" x14ac:dyDescent="0.3">
      <c r="A276" s="98">
        <v>556</v>
      </c>
      <c r="B276" s="526">
        <v>37135</v>
      </c>
      <c r="C276" s="532" t="s">
        <v>187</v>
      </c>
      <c r="D276" s="76" t="s">
        <v>16</v>
      </c>
      <c r="E276" s="803">
        <v>0</v>
      </c>
      <c r="F276" s="1052">
        <v>0</v>
      </c>
      <c r="G276" s="1043">
        <v>0</v>
      </c>
      <c r="H276" s="1037" t="s">
        <v>16</v>
      </c>
      <c r="I276" s="73"/>
      <c r="J276" s="72"/>
      <c r="K276" s="73"/>
      <c r="L276" s="72"/>
      <c r="M276" s="73"/>
      <c r="N276" s="66"/>
      <c r="O276" s="66"/>
      <c r="P276" s="66"/>
      <c r="Q276" s="806">
        <v>0</v>
      </c>
      <c r="R276" s="998" t="s">
        <v>16</v>
      </c>
    </row>
    <row r="277" spans="1:18" ht="15" customHeight="1" x14ac:dyDescent="0.3">
      <c r="A277" s="98">
        <v>558</v>
      </c>
      <c r="B277" s="526">
        <v>37135</v>
      </c>
      <c r="C277" s="532" t="s">
        <v>187</v>
      </c>
      <c r="D277" s="76" t="s">
        <v>16</v>
      </c>
      <c r="E277" s="803">
        <v>0</v>
      </c>
      <c r="F277" s="1052">
        <v>0</v>
      </c>
      <c r="G277" s="1043">
        <v>0</v>
      </c>
      <c r="H277" s="1037" t="s">
        <v>16</v>
      </c>
      <c r="I277" s="73"/>
      <c r="J277" s="72"/>
      <c r="K277" s="73"/>
      <c r="L277" s="72"/>
      <c r="M277" s="73"/>
      <c r="N277" s="66"/>
      <c r="O277" s="66"/>
      <c r="P277" s="66"/>
      <c r="Q277" s="806">
        <v>0</v>
      </c>
      <c r="R277" s="998" t="s">
        <v>16</v>
      </c>
    </row>
    <row r="278" spans="1:18" ht="15" customHeight="1" x14ac:dyDescent="0.3">
      <c r="A278" s="98">
        <v>559</v>
      </c>
      <c r="B278" s="526">
        <v>37135</v>
      </c>
      <c r="C278" s="532" t="s">
        <v>187</v>
      </c>
      <c r="D278" s="76" t="s">
        <v>16</v>
      </c>
      <c r="E278" s="803">
        <v>0</v>
      </c>
      <c r="F278" s="1052">
        <v>0</v>
      </c>
      <c r="G278" s="1043">
        <v>0</v>
      </c>
      <c r="H278" s="1037" t="s">
        <v>16</v>
      </c>
      <c r="I278" s="73"/>
      <c r="J278" s="72"/>
      <c r="K278" s="73"/>
      <c r="L278" s="72"/>
      <c r="M278" s="73"/>
      <c r="N278" s="66"/>
      <c r="O278" s="66"/>
      <c r="P278" s="66"/>
      <c r="Q278" s="806">
        <v>0</v>
      </c>
      <c r="R278" s="998" t="s">
        <v>16</v>
      </c>
    </row>
    <row r="279" spans="1:18" ht="15" customHeight="1" x14ac:dyDescent="0.3">
      <c r="A279" s="98">
        <v>561</v>
      </c>
      <c r="B279" s="526">
        <v>37135</v>
      </c>
      <c r="C279" s="532" t="s">
        <v>186</v>
      </c>
      <c r="D279" s="76" t="s">
        <v>16</v>
      </c>
      <c r="E279" s="803">
        <v>0</v>
      </c>
      <c r="F279" s="1052">
        <v>0</v>
      </c>
      <c r="G279" s="1043">
        <v>0</v>
      </c>
      <c r="H279" s="1037" t="s">
        <v>16</v>
      </c>
      <c r="I279" s="76"/>
      <c r="J279" s="78"/>
      <c r="K279" s="76"/>
      <c r="L279" s="78"/>
      <c r="M279" s="76"/>
      <c r="N279" s="66"/>
      <c r="O279" s="66"/>
      <c r="P279" s="66"/>
      <c r="Q279" s="806">
        <v>0</v>
      </c>
      <c r="R279" s="998" t="s">
        <v>16</v>
      </c>
    </row>
    <row r="280" spans="1:18" ht="15" customHeight="1" x14ac:dyDescent="0.3">
      <c r="A280" s="98">
        <v>562</v>
      </c>
      <c r="B280" s="526">
        <v>37135</v>
      </c>
      <c r="C280" s="532" t="s">
        <v>73</v>
      </c>
      <c r="D280" s="73">
        <v>45237</v>
      </c>
      <c r="E280" s="801">
        <v>3</v>
      </c>
      <c r="F280" s="1050">
        <v>7</v>
      </c>
      <c r="G280" s="1041">
        <v>4</v>
      </c>
      <c r="H280" s="1036">
        <v>44963</v>
      </c>
      <c r="I280" s="79"/>
      <c r="J280" s="72"/>
      <c r="K280" s="79"/>
      <c r="L280" s="72"/>
      <c r="M280" s="79"/>
      <c r="N280" s="66"/>
      <c r="O280" s="66"/>
      <c r="P280" s="66"/>
      <c r="Q280" s="668">
        <v>5</v>
      </c>
      <c r="R280" s="997">
        <v>44963</v>
      </c>
    </row>
    <row r="281" spans="1:18" ht="15" customHeight="1" x14ac:dyDescent="0.3">
      <c r="A281" s="98">
        <v>563</v>
      </c>
      <c r="B281" s="526">
        <v>37135</v>
      </c>
      <c r="C281" s="532" t="s">
        <v>188</v>
      </c>
      <c r="D281" s="79">
        <v>39485</v>
      </c>
      <c r="E281" s="801">
        <v>0</v>
      </c>
      <c r="F281" s="1050">
        <v>2</v>
      </c>
      <c r="G281" s="1041">
        <v>2</v>
      </c>
      <c r="H281" s="1038">
        <v>39485</v>
      </c>
      <c r="I281" s="76"/>
      <c r="J281" s="78"/>
      <c r="K281" s="76"/>
      <c r="L281" s="78"/>
      <c r="M281" s="76"/>
      <c r="N281" s="66"/>
      <c r="O281" s="66"/>
      <c r="P281" s="66"/>
      <c r="Q281" s="668">
        <v>2</v>
      </c>
      <c r="R281" s="999">
        <v>39485</v>
      </c>
    </row>
    <row r="282" spans="1:18" ht="15" customHeight="1" x14ac:dyDescent="0.3">
      <c r="A282" s="98">
        <v>565</v>
      </c>
      <c r="B282" s="526">
        <v>37135</v>
      </c>
      <c r="C282" s="532" t="s">
        <v>189</v>
      </c>
      <c r="D282" s="79">
        <v>33847</v>
      </c>
      <c r="E282" s="801">
        <v>0</v>
      </c>
      <c r="F282" s="1050">
        <v>1</v>
      </c>
      <c r="G282" s="1041">
        <v>1</v>
      </c>
      <c r="H282" s="1038">
        <v>33847</v>
      </c>
      <c r="I282" s="76"/>
      <c r="J282" s="78"/>
      <c r="K282" s="76"/>
      <c r="L282" s="78"/>
      <c r="M282" s="76"/>
      <c r="N282" s="66"/>
      <c r="O282" s="66"/>
      <c r="P282" s="66"/>
      <c r="Q282" s="668">
        <v>1</v>
      </c>
      <c r="R282" s="999">
        <v>33847</v>
      </c>
    </row>
    <row r="283" spans="1:18" ht="15" customHeight="1" x14ac:dyDescent="0.3">
      <c r="A283" s="98">
        <v>568</v>
      </c>
      <c r="B283" s="526">
        <v>37135</v>
      </c>
      <c r="C283" s="527" t="s">
        <v>168</v>
      </c>
      <c r="D283" s="73">
        <v>43859</v>
      </c>
      <c r="E283" s="803">
        <v>0</v>
      </c>
      <c r="F283" s="1052">
        <v>3</v>
      </c>
      <c r="G283" s="1043">
        <v>3</v>
      </c>
      <c r="H283" s="1036">
        <v>43859</v>
      </c>
      <c r="I283" s="76"/>
      <c r="J283" s="78"/>
      <c r="K283" s="76"/>
      <c r="L283" s="78"/>
      <c r="M283" s="76"/>
      <c r="N283" s="66"/>
      <c r="O283" s="66"/>
      <c r="P283" s="66"/>
      <c r="Q283" s="806">
        <v>3</v>
      </c>
      <c r="R283" s="997">
        <v>43859</v>
      </c>
    </row>
    <row r="284" spans="1:18" ht="15" customHeight="1" x14ac:dyDescent="0.3">
      <c r="A284" s="98">
        <v>569</v>
      </c>
      <c r="B284" s="526">
        <v>37135</v>
      </c>
      <c r="C284" s="532" t="s">
        <v>190</v>
      </c>
      <c r="D284" s="79">
        <v>41144</v>
      </c>
      <c r="E284" s="801">
        <v>0</v>
      </c>
      <c r="F284" s="1050">
        <v>2</v>
      </c>
      <c r="G284" s="1041">
        <v>2</v>
      </c>
      <c r="H284" s="1038">
        <v>41144</v>
      </c>
      <c r="I284" s="76"/>
      <c r="J284" s="78"/>
      <c r="K284" s="76"/>
      <c r="L284" s="78"/>
      <c r="M284" s="76"/>
      <c r="N284" s="66"/>
      <c r="O284" s="66"/>
      <c r="P284" s="66"/>
      <c r="Q284" s="668">
        <v>2</v>
      </c>
      <c r="R284" s="999">
        <v>41144</v>
      </c>
    </row>
    <row r="285" spans="1:18" ht="15" customHeight="1" x14ac:dyDescent="0.3">
      <c r="A285" s="98">
        <v>573</v>
      </c>
      <c r="B285" s="526">
        <v>37135</v>
      </c>
      <c r="C285" s="532" t="s">
        <v>13</v>
      </c>
      <c r="D285" s="76">
        <v>45351</v>
      </c>
      <c r="E285" s="803">
        <v>1</v>
      </c>
      <c r="F285" s="1052">
        <v>1</v>
      </c>
      <c r="G285" s="1043">
        <v>0</v>
      </c>
      <c r="H285" s="1037" t="s">
        <v>16</v>
      </c>
      <c r="I285" s="73"/>
      <c r="J285" s="72"/>
      <c r="K285" s="73"/>
      <c r="L285" s="72"/>
      <c r="M285" s="73"/>
      <c r="N285" s="66"/>
      <c r="O285" s="66"/>
      <c r="P285" s="66"/>
      <c r="Q285" s="806">
        <v>0</v>
      </c>
      <c r="R285" s="998" t="s">
        <v>16</v>
      </c>
    </row>
    <row r="286" spans="1:18" ht="15" customHeight="1" x14ac:dyDescent="0.3">
      <c r="A286" s="98">
        <v>574</v>
      </c>
      <c r="B286" s="526">
        <v>37135</v>
      </c>
      <c r="C286" s="532" t="s">
        <v>191</v>
      </c>
      <c r="D286" s="76" t="s">
        <v>16</v>
      </c>
      <c r="E286" s="803">
        <v>0</v>
      </c>
      <c r="F286" s="1052">
        <v>0</v>
      </c>
      <c r="G286" s="1043">
        <v>0</v>
      </c>
      <c r="H286" s="1037" t="s">
        <v>16</v>
      </c>
      <c r="I286" s="79"/>
      <c r="J286" s="72"/>
      <c r="K286" s="79"/>
      <c r="L286" s="72"/>
      <c r="M286" s="79"/>
      <c r="N286" s="66"/>
      <c r="O286" s="66"/>
      <c r="P286" s="66"/>
      <c r="Q286" s="806">
        <v>0</v>
      </c>
      <c r="R286" s="998" t="s">
        <v>16</v>
      </c>
    </row>
    <row r="287" spans="1:18" ht="15" customHeight="1" x14ac:dyDescent="0.3">
      <c r="A287" s="98">
        <v>575</v>
      </c>
      <c r="B287" s="526">
        <v>37135</v>
      </c>
      <c r="C287" s="532" t="s">
        <v>190</v>
      </c>
      <c r="D287" s="76" t="s">
        <v>16</v>
      </c>
      <c r="E287" s="801">
        <v>0</v>
      </c>
      <c r="F287" s="1050">
        <v>0</v>
      </c>
      <c r="G287" s="1041">
        <v>0</v>
      </c>
      <c r="H287" s="1037" t="s">
        <v>16</v>
      </c>
      <c r="I287" s="79"/>
      <c r="J287" s="72"/>
      <c r="K287" s="79"/>
      <c r="L287" s="72"/>
      <c r="M287" s="79"/>
      <c r="N287" s="66"/>
      <c r="O287" s="66"/>
      <c r="P287" s="66"/>
      <c r="Q287" s="668">
        <v>0</v>
      </c>
      <c r="R287" s="998" t="s">
        <v>16</v>
      </c>
    </row>
    <row r="288" spans="1:18" ht="15" customHeight="1" x14ac:dyDescent="0.3">
      <c r="A288" s="98">
        <v>577</v>
      </c>
      <c r="B288" s="526">
        <v>37135</v>
      </c>
      <c r="C288" s="532" t="s">
        <v>192</v>
      </c>
      <c r="D288" s="76" t="s">
        <v>16</v>
      </c>
      <c r="E288" s="801">
        <v>0</v>
      </c>
      <c r="F288" s="1050">
        <v>0</v>
      </c>
      <c r="G288" s="1041">
        <v>0</v>
      </c>
      <c r="H288" s="1037" t="s">
        <v>16</v>
      </c>
      <c r="I288" s="73"/>
      <c r="J288" s="78"/>
      <c r="K288" s="73"/>
      <c r="L288" s="78"/>
      <c r="M288" s="73"/>
      <c r="N288" s="66"/>
      <c r="O288" s="66"/>
      <c r="P288" s="66"/>
      <c r="Q288" s="668">
        <v>0</v>
      </c>
      <c r="R288" s="998" t="s">
        <v>16</v>
      </c>
    </row>
    <row r="289" spans="1:18" ht="15" customHeight="1" x14ac:dyDescent="0.3">
      <c r="A289" s="96">
        <v>578</v>
      </c>
      <c r="B289" s="526">
        <v>37622</v>
      </c>
      <c r="C289" s="527" t="s">
        <v>193</v>
      </c>
      <c r="D289" s="73">
        <v>38035</v>
      </c>
      <c r="E289" s="801">
        <v>0</v>
      </c>
      <c r="F289" s="1050">
        <v>1</v>
      </c>
      <c r="G289" s="1041">
        <v>1</v>
      </c>
      <c r="H289" s="1036">
        <v>38035</v>
      </c>
      <c r="I289" s="79"/>
      <c r="J289" s="72"/>
      <c r="K289" s="79"/>
      <c r="L289" s="72"/>
      <c r="M289" s="79"/>
      <c r="N289" s="66"/>
      <c r="O289" s="66"/>
      <c r="P289" s="66"/>
      <c r="Q289" s="668">
        <v>1</v>
      </c>
      <c r="R289" s="997">
        <v>38035</v>
      </c>
    </row>
    <row r="290" spans="1:18" ht="15" customHeight="1" x14ac:dyDescent="0.3">
      <c r="A290" s="96">
        <v>579</v>
      </c>
      <c r="B290" s="526">
        <v>37622</v>
      </c>
      <c r="C290" s="527" t="s">
        <v>194</v>
      </c>
      <c r="D290" s="73">
        <v>42181</v>
      </c>
      <c r="E290" s="801">
        <v>0</v>
      </c>
      <c r="F290" s="1050">
        <v>3</v>
      </c>
      <c r="G290" s="1041">
        <v>3</v>
      </c>
      <c r="H290" s="1036">
        <v>42181</v>
      </c>
      <c r="I290" s="76"/>
      <c r="J290" s="78"/>
      <c r="K290" s="76"/>
      <c r="L290" s="78"/>
      <c r="M290" s="76"/>
      <c r="N290" s="66"/>
      <c r="O290" s="66"/>
      <c r="P290" s="66"/>
      <c r="Q290" s="668">
        <v>3</v>
      </c>
      <c r="R290" s="997">
        <v>42181</v>
      </c>
    </row>
    <row r="291" spans="1:18" ht="15" customHeight="1" x14ac:dyDescent="0.3">
      <c r="A291" s="96">
        <v>580</v>
      </c>
      <c r="B291" s="526">
        <v>37622</v>
      </c>
      <c r="C291" s="527" t="s">
        <v>195</v>
      </c>
      <c r="D291" s="76">
        <v>44692</v>
      </c>
      <c r="E291" s="801">
        <v>0</v>
      </c>
      <c r="F291" s="1050">
        <v>1</v>
      </c>
      <c r="G291" s="1041">
        <v>1</v>
      </c>
      <c r="H291" s="1037">
        <v>44692</v>
      </c>
      <c r="I291" s="76"/>
      <c r="J291" s="78"/>
      <c r="K291" s="76"/>
      <c r="L291" s="78"/>
      <c r="M291" s="76"/>
      <c r="N291" s="66"/>
      <c r="O291" s="66"/>
      <c r="P291" s="66"/>
      <c r="Q291" s="668">
        <v>1</v>
      </c>
      <c r="R291" s="998">
        <v>44692</v>
      </c>
    </row>
    <row r="292" spans="1:18" ht="15" customHeight="1" x14ac:dyDescent="0.3">
      <c r="A292" s="96">
        <v>581</v>
      </c>
      <c r="B292" s="526">
        <v>37622</v>
      </c>
      <c r="C292" s="527" t="s">
        <v>196</v>
      </c>
      <c r="D292" s="73">
        <v>38035</v>
      </c>
      <c r="E292" s="801">
        <v>0</v>
      </c>
      <c r="F292" s="1050">
        <v>1</v>
      </c>
      <c r="G292" s="1041">
        <v>1</v>
      </c>
      <c r="H292" s="1036">
        <v>38035</v>
      </c>
      <c r="I292" s="76"/>
      <c r="J292" s="72"/>
      <c r="K292" s="76"/>
      <c r="L292" s="72"/>
      <c r="M292" s="76"/>
      <c r="N292" s="66"/>
      <c r="O292" s="66"/>
      <c r="P292" s="66"/>
      <c r="Q292" s="668">
        <v>1</v>
      </c>
      <c r="R292" s="997">
        <v>38035</v>
      </c>
    </row>
    <row r="293" spans="1:18" ht="15" customHeight="1" x14ac:dyDescent="0.3">
      <c r="A293" s="96">
        <v>582</v>
      </c>
      <c r="B293" s="526">
        <v>37622</v>
      </c>
      <c r="C293" s="527" t="s">
        <v>197</v>
      </c>
      <c r="D293" s="73">
        <v>44692</v>
      </c>
      <c r="E293" s="801">
        <v>0</v>
      </c>
      <c r="F293" s="1050">
        <v>3</v>
      </c>
      <c r="G293" s="1041">
        <v>3</v>
      </c>
      <c r="H293" s="1036">
        <v>44692</v>
      </c>
      <c r="I293" s="76"/>
      <c r="J293" s="72"/>
      <c r="K293" s="76"/>
      <c r="L293" s="72"/>
      <c r="M293" s="76"/>
      <c r="N293" s="66"/>
      <c r="O293" s="66"/>
      <c r="P293" s="66"/>
      <c r="Q293" s="668">
        <v>3</v>
      </c>
      <c r="R293" s="997">
        <v>44692</v>
      </c>
    </row>
    <row r="294" spans="1:18" ht="15" customHeight="1" x14ac:dyDescent="0.3">
      <c r="A294" s="96">
        <v>583</v>
      </c>
      <c r="B294" s="526">
        <v>37622</v>
      </c>
      <c r="C294" s="527" t="s">
        <v>198</v>
      </c>
      <c r="D294" s="73">
        <v>45169</v>
      </c>
      <c r="E294" s="801">
        <v>1</v>
      </c>
      <c r="F294" s="1050">
        <v>3</v>
      </c>
      <c r="G294" s="1041">
        <v>2</v>
      </c>
      <c r="H294" s="1036">
        <v>41351</v>
      </c>
      <c r="I294" s="73"/>
      <c r="J294" s="72"/>
      <c r="K294" s="73"/>
      <c r="L294" s="72"/>
      <c r="M294" s="73"/>
      <c r="N294" s="66"/>
      <c r="O294" s="66"/>
      <c r="P294" s="66"/>
      <c r="Q294" s="668">
        <v>2</v>
      </c>
      <c r="R294" s="997">
        <v>41351</v>
      </c>
    </row>
    <row r="295" spans="1:18" ht="15" customHeight="1" x14ac:dyDescent="0.3">
      <c r="A295" s="96">
        <v>586</v>
      </c>
      <c r="B295" s="526">
        <v>37622</v>
      </c>
      <c r="C295" s="527" t="s">
        <v>199</v>
      </c>
      <c r="D295" s="73">
        <v>39094</v>
      </c>
      <c r="E295" s="801">
        <v>0</v>
      </c>
      <c r="F295" s="1050">
        <v>3</v>
      </c>
      <c r="G295" s="1041">
        <v>3</v>
      </c>
      <c r="H295" s="1036">
        <v>39094</v>
      </c>
      <c r="I295" s="73"/>
      <c r="J295" s="72"/>
      <c r="K295" s="73"/>
      <c r="L295" s="72"/>
      <c r="M295" s="73"/>
      <c r="N295" s="66"/>
      <c r="O295" s="66"/>
      <c r="P295" s="66"/>
      <c r="Q295" s="668">
        <v>3</v>
      </c>
      <c r="R295" s="997">
        <v>39094</v>
      </c>
    </row>
    <row r="296" spans="1:18" ht="15" customHeight="1" x14ac:dyDescent="0.3">
      <c r="A296" s="96">
        <v>591</v>
      </c>
      <c r="B296" s="526">
        <v>37622</v>
      </c>
      <c r="C296" s="527" t="s">
        <v>200</v>
      </c>
      <c r="D296" s="73">
        <v>38035</v>
      </c>
      <c r="E296" s="801">
        <v>0</v>
      </c>
      <c r="F296" s="1050">
        <v>1</v>
      </c>
      <c r="G296" s="1041">
        <v>1</v>
      </c>
      <c r="H296" s="1036">
        <v>38035</v>
      </c>
      <c r="I296" s="76"/>
      <c r="J296" s="72"/>
      <c r="K296" s="76"/>
      <c r="L296" s="72"/>
      <c r="M296" s="76"/>
      <c r="N296" s="66"/>
      <c r="O296" s="66"/>
      <c r="P296" s="66"/>
      <c r="Q296" s="668">
        <v>1</v>
      </c>
      <c r="R296" s="997">
        <v>38035</v>
      </c>
    </row>
    <row r="297" spans="1:18" ht="15" customHeight="1" x14ac:dyDescent="0.3">
      <c r="A297" s="96">
        <v>592</v>
      </c>
      <c r="B297" s="526">
        <v>37622</v>
      </c>
      <c r="C297" s="527" t="s">
        <v>201</v>
      </c>
      <c r="D297" s="73">
        <v>41901</v>
      </c>
      <c r="E297" s="801">
        <v>0</v>
      </c>
      <c r="F297" s="1050">
        <v>3</v>
      </c>
      <c r="G297" s="1041">
        <v>3</v>
      </c>
      <c r="H297" s="1036">
        <v>41901</v>
      </c>
      <c r="I297" s="73"/>
      <c r="J297" s="72"/>
      <c r="K297" s="73"/>
      <c r="L297" s="72"/>
      <c r="M297" s="73"/>
      <c r="N297" s="66"/>
      <c r="O297" s="66"/>
      <c r="P297" s="66"/>
      <c r="Q297" s="668">
        <v>3</v>
      </c>
      <c r="R297" s="997">
        <v>41901</v>
      </c>
    </row>
    <row r="298" spans="1:18" ht="15" customHeight="1" x14ac:dyDescent="0.3">
      <c r="A298" s="96">
        <v>593</v>
      </c>
      <c r="B298" s="526">
        <v>37622</v>
      </c>
      <c r="C298" s="527" t="s">
        <v>202</v>
      </c>
      <c r="D298" s="73">
        <v>39176</v>
      </c>
      <c r="E298" s="801">
        <v>0</v>
      </c>
      <c r="F298" s="1050">
        <v>4</v>
      </c>
      <c r="G298" s="1041">
        <v>4</v>
      </c>
      <c r="H298" s="1036">
        <v>39176</v>
      </c>
      <c r="I298" s="73"/>
      <c r="J298" s="72"/>
      <c r="K298" s="73"/>
      <c r="L298" s="72"/>
      <c r="M298" s="73"/>
      <c r="N298" s="66"/>
      <c r="O298" s="66"/>
      <c r="P298" s="66"/>
      <c r="Q298" s="668">
        <v>4</v>
      </c>
      <c r="R298" s="997">
        <v>39176</v>
      </c>
    </row>
    <row r="299" spans="1:18" ht="15" customHeight="1" x14ac:dyDescent="0.3">
      <c r="A299" s="96">
        <v>594</v>
      </c>
      <c r="B299" s="526">
        <v>37622</v>
      </c>
      <c r="C299" s="527" t="s">
        <v>203</v>
      </c>
      <c r="D299" s="73">
        <v>38035</v>
      </c>
      <c r="E299" s="801">
        <v>0</v>
      </c>
      <c r="F299" s="1050">
        <v>1</v>
      </c>
      <c r="G299" s="1041">
        <v>1</v>
      </c>
      <c r="H299" s="1036">
        <v>38035</v>
      </c>
      <c r="I299" s="73"/>
      <c r="J299" s="72"/>
      <c r="K299" s="73"/>
      <c r="L299" s="72"/>
      <c r="M299" s="73"/>
      <c r="N299" s="66"/>
      <c r="O299" s="66"/>
      <c r="P299" s="66"/>
      <c r="Q299" s="668">
        <v>1</v>
      </c>
      <c r="R299" s="997">
        <v>38035</v>
      </c>
    </row>
    <row r="300" spans="1:18" ht="15" customHeight="1" x14ac:dyDescent="0.3">
      <c r="A300" s="96">
        <v>595</v>
      </c>
      <c r="B300" s="526">
        <v>37622</v>
      </c>
      <c r="C300" s="527" t="s">
        <v>204</v>
      </c>
      <c r="D300" s="73">
        <v>39050</v>
      </c>
      <c r="E300" s="801">
        <v>0</v>
      </c>
      <c r="F300" s="1050">
        <v>3</v>
      </c>
      <c r="G300" s="1041">
        <v>3</v>
      </c>
      <c r="H300" s="1036">
        <v>39050</v>
      </c>
      <c r="I300" s="73"/>
      <c r="J300" s="72"/>
      <c r="K300" s="73"/>
      <c r="L300" s="72"/>
      <c r="M300" s="73"/>
      <c r="N300" s="66"/>
      <c r="O300" s="66"/>
      <c r="P300" s="66"/>
      <c r="Q300" s="668">
        <v>3</v>
      </c>
      <c r="R300" s="997">
        <v>39050</v>
      </c>
    </row>
    <row r="301" spans="1:18" ht="15" customHeight="1" x14ac:dyDescent="0.3">
      <c r="A301" s="96">
        <v>596</v>
      </c>
      <c r="B301" s="526">
        <v>37622</v>
      </c>
      <c r="C301" s="527" t="s">
        <v>205</v>
      </c>
      <c r="D301" s="73">
        <v>43675</v>
      </c>
      <c r="E301" s="801">
        <v>0</v>
      </c>
      <c r="F301" s="1050">
        <v>6</v>
      </c>
      <c r="G301" s="1041">
        <v>6</v>
      </c>
      <c r="H301" s="1036">
        <v>43675</v>
      </c>
      <c r="I301" s="73"/>
      <c r="J301" s="72"/>
      <c r="K301" s="73"/>
      <c r="L301" s="72"/>
      <c r="M301" s="73"/>
      <c r="N301" s="66"/>
      <c r="O301" s="66"/>
      <c r="P301" s="66"/>
      <c r="Q301" s="668">
        <v>6</v>
      </c>
      <c r="R301" s="997">
        <v>43675</v>
      </c>
    </row>
    <row r="302" spans="1:18" ht="15" customHeight="1" x14ac:dyDescent="0.3">
      <c r="A302" s="96">
        <v>597</v>
      </c>
      <c r="B302" s="526">
        <v>37622</v>
      </c>
      <c r="C302" s="527" t="s">
        <v>206</v>
      </c>
      <c r="D302" s="73">
        <v>43256</v>
      </c>
      <c r="E302" s="801">
        <v>0</v>
      </c>
      <c r="F302" s="1050">
        <v>4</v>
      </c>
      <c r="G302" s="1041">
        <v>4</v>
      </c>
      <c r="H302" s="1036">
        <v>43256</v>
      </c>
      <c r="I302" s="73"/>
      <c r="J302" s="72"/>
      <c r="K302" s="73"/>
      <c r="L302" s="72"/>
      <c r="M302" s="73"/>
      <c r="N302" s="66"/>
      <c r="O302" s="66"/>
      <c r="P302" s="66"/>
      <c r="Q302" s="668">
        <v>4</v>
      </c>
      <c r="R302" s="997">
        <v>43256</v>
      </c>
    </row>
    <row r="303" spans="1:18" ht="15" customHeight="1" x14ac:dyDescent="0.3">
      <c r="A303" s="96">
        <v>598</v>
      </c>
      <c r="B303" s="526">
        <v>37622</v>
      </c>
      <c r="C303" s="527" t="s">
        <v>207</v>
      </c>
      <c r="D303" s="73">
        <v>39176</v>
      </c>
      <c r="E303" s="801">
        <v>0</v>
      </c>
      <c r="F303" s="1050">
        <v>3</v>
      </c>
      <c r="G303" s="1041">
        <v>3</v>
      </c>
      <c r="H303" s="1036">
        <v>39176</v>
      </c>
      <c r="I303" s="73"/>
      <c r="J303" s="72"/>
      <c r="K303" s="73"/>
      <c r="L303" s="72"/>
      <c r="M303" s="73"/>
      <c r="N303" s="66"/>
      <c r="O303" s="66"/>
      <c r="P303" s="66"/>
      <c r="Q303" s="668">
        <v>3</v>
      </c>
      <c r="R303" s="997">
        <v>39176</v>
      </c>
    </row>
    <row r="304" spans="1:18" ht="15" customHeight="1" x14ac:dyDescent="0.3">
      <c r="A304" s="96">
        <v>599</v>
      </c>
      <c r="B304" s="526">
        <v>37622</v>
      </c>
      <c r="C304" s="527" t="s">
        <v>208</v>
      </c>
      <c r="D304" s="73">
        <v>38035</v>
      </c>
      <c r="E304" s="801">
        <v>0</v>
      </c>
      <c r="F304" s="1050">
        <v>1</v>
      </c>
      <c r="G304" s="1041">
        <v>1</v>
      </c>
      <c r="H304" s="1036">
        <v>38035</v>
      </c>
      <c r="I304" s="73"/>
      <c r="J304" s="72"/>
      <c r="K304" s="73"/>
      <c r="L304" s="72"/>
      <c r="M304" s="73"/>
      <c r="N304" s="66"/>
      <c r="O304" s="66"/>
      <c r="P304" s="66"/>
      <c r="Q304" s="668">
        <v>1</v>
      </c>
      <c r="R304" s="997">
        <v>38035</v>
      </c>
    </row>
    <row r="305" spans="1:18" ht="15" customHeight="1" x14ac:dyDescent="0.3">
      <c r="A305" s="96">
        <v>606</v>
      </c>
      <c r="B305" s="526">
        <v>37500</v>
      </c>
      <c r="C305" s="527" t="s">
        <v>209</v>
      </c>
      <c r="D305" s="76" t="s">
        <v>16</v>
      </c>
      <c r="E305" s="801">
        <v>0</v>
      </c>
      <c r="F305" s="1050">
        <v>0</v>
      </c>
      <c r="G305" s="1041">
        <v>0</v>
      </c>
      <c r="H305" s="1037" t="s">
        <v>16</v>
      </c>
      <c r="I305" s="73"/>
      <c r="J305" s="72"/>
      <c r="K305" s="73"/>
      <c r="L305" s="72"/>
      <c r="M305" s="73"/>
      <c r="N305" s="66"/>
      <c r="O305" s="66"/>
      <c r="P305" s="66"/>
      <c r="Q305" s="668">
        <v>0</v>
      </c>
      <c r="R305" s="998" t="s">
        <v>16</v>
      </c>
    </row>
    <row r="306" spans="1:18" ht="15" customHeight="1" x14ac:dyDescent="0.3">
      <c r="A306" s="96">
        <v>607</v>
      </c>
      <c r="B306" s="526">
        <v>37500</v>
      </c>
      <c r="C306" s="527" t="s">
        <v>210</v>
      </c>
      <c r="D306" s="76">
        <v>45090</v>
      </c>
      <c r="E306" s="801">
        <v>1</v>
      </c>
      <c r="F306" s="1050">
        <v>1</v>
      </c>
      <c r="G306" s="1041">
        <v>0</v>
      </c>
      <c r="H306" s="1037" t="s">
        <v>16</v>
      </c>
      <c r="I306" s="73"/>
      <c r="J306" s="72"/>
      <c r="K306" s="73"/>
      <c r="L306" s="72"/>
      <c r="M306" s="73"/>
      <c r="N306" s="66"/>
      <c r="O306" s="66"/>
      <c r="P306" s="66"/>
      <c r="Q306" s="668">
        <v>0</v>
      </c>
      <c r="R306" s="998" t="s">
        <v>16</v>
      </c>
    </row>
    <row r="307" spans="1:18" ht="15" customHeight="1" x14ac:dyDescent="0.3">
      <c r="A307" s="96">
        <v>608</v>
      </c>
      <c r="B307" s="526">
        <v>37500</v>
      </c>
      <c r="C307" s="527" t="s">
        <v>211</v>
      </c>
      <c r="D307" s="76" t="s">
        <v>16</v>
      </c>
      <c r="E307" s="801">
        <v>0</v>
      </c>
      <c r="F307" s="1050">
        <v>0</v>
      </c>
      <c r="G307" s="1041">
        <v>0</v>
      </c>
      <c r="H307" s="1037" t="s">
        <v>16</v>
      </c>
      <c r="I307" s="73"/>
      <c r="J307" s="72"/>
      <c r="K307" s="73"/>
      <c r="L307" s="72"/>
      <c r="M307" s="73"/>
      <c r="N307" s="66"/>
      <c r="O307" s="66"/>
      <c r="P307" s="66"/>
      <c r="Q307" s="668">
        <v>0</v>
      </c>
      <c r="R307" s="998" t="s">
        <v>16</v>
      </c>
    </row>
    <row r="308" spans="1:18" ht="15" customHeight="1" x14ac:dyDescent="0.3">
      <c r="A308" s="96">
        <v>609</v>
      </c>
      <c r="B308" s="526">
        <v>37500</v>
      </c>
      <c r="C308" s="527" t="s">
        <v>212</v>
      </c>
      <c r="D308" s="76" t="s">
        <v>16</v>
      </c>
      <c r="E308" s="801">
        <v>0</v>
      </c>
      <c r="F308" s="1050">
        <v>0</v>
      </c>
      <c r="G308" s="1041">
        <v>0</v>
      </c>
      <c r="H308" s="1037" t="s">
        <v>16</v>
      </c>
      <c r="I308" s="73"/>
      <c r="J308" s="72"/>
      <c r="K308" s="73"/>
      <c r="L308" s="72"/>
      <c r="M308" s="73"/>
      <c r="N308" s="66"/>
      <c r="O308" s="66"/>
      <c r="P308" s="66"/>
      <c r="Q308" s="668">
        <v>0</v>
      </c>
      <c r="R308" s="998" t="s">
        <v>16</v>
      </c>
    </row>
    <row r="309" spans="1:18" ht="15" customHeight="1" x14ac:dyDescent="0.3">
      <c r="A309" s="96">
        <v>610</v>
      </c>
      <c r="B309" s="526">
        <v>37500</v>
      </c>
      <c r="C309" s="527" t="s">
        <v>213</v>
      </c>
      <c r="D309" s="73">
        <v>40590</v>
      </c>
      <c r="E309" s="801">
        <v>0</v>
      </c>
      <c r="F309" s="1050">
        <v>1</v>
      </c>
      <c r="G309" s="1041">
        <v>1</v>
      </c>
      <c r="H309" s="1036">
        <v>40590</v>
      </c>
      <c r="I309" s="73"/>
      <c r="J309" s="72"/>
      <c r="K309" s="73"/>
      <c r="L309" s="72"/>
      <c r="M309" s="73"/>
      <c r="N309" s="66"/>
      <c r="O309" s="66"/>
      <c r="P309" s="66"/>
      <c r="Q309" s="668">
        <v>1</v>
      </c>
      <c r="R309" s="997">
        <v>40590</v>
      </c>
    </row>
    <row r="310" spans="1:18" ht="15" customHeight="1" x14ac:dyDescent="0.3">
      <c r="A310" s="96">
        <v>611</v>
      </c>
      <c r="B310" s="526">
        <v>37653</v>
      </c>
      <c r="C310" s="527" t="s">
        <v>60</v>
      </c>
      <c r="D310" s="73">
        <v>44323</v>
      </c>
      <c r="E310" s="801">
        <v>0</v>
      </c>
      <c r="F310" s="1050">
        <v>5</v>
      </c>
      <c r="G310" s="1041">
        <v>5</v>
      </c>
      <c r="H310" s="1036">
        <v>44323</v>
      </c>
      <c r="I310" s="76"/>
      <c r="J310" s="72"/>
      <c r="K310" s="76"/>
      <c r="L310" s="72"/>
      <c r="M310" s="76"/>
      <c r="N310" s="66"/>
      <c r="O310" s="66"/>
      <c r="P310" s="66"/>
      <c r="Q310" s="668">
        <v>5</v>
      </c>
      <c r="R310" s="997">
        <v>44323</v>
      </c>
    </row>
    <row r="311" spans="1:18" ht="15" customHeight="1" x14ac:dyDescent="0.3">
      <c r="A311" s="98">
        <v>616</v>
      </c>
      <c r="B311" s="526">
        <v>37135</v>
      </c>
      <c r="C311" s="532" t="s">
        <v>191</v>
      </c>
      <c r="D311" s="76" t="s">
        <v>16</v>
      </c>
      <c r="E311" s="801">
        <v>0</v>
      </c>
      <c r="F311" s="1050">
        <v>0</v>
      </c>
      <c r="G311" s="1041">
        <v>0</v>
      </c>
      <c r="H311" s="1037" t="s">
        <v>16</v>
      </c>
      <c r="I311" s="76"/>
      <c r="J311" s="72"/>
      <c r="K311" s="76"/>
      <c r="L311" s="72"/>
      <c r="M311" s="76"/>
      <c r="N311" s="66"/>
      <c r="O311" s="66"/>
      <c r="P311" s="66"/>
      <c r="Q311" s="668">
        <v>0</v>
      </c>
      <c r="R311" s="998" t="s">
        <v>16</v>
      </c>
    </row>
    <row r="312" spans="1:18" ht="15" customHeight="1" x14ac:dyDescent="0.3">
      <c r="A312" s="96">
        <v>619</v>
      </c>
      <c r="B312" s="526">
        <v>37926</v>
      </c>
      <c r="C312" s="527" t="s">
        <v>214</v>
      </c>
      <c r="D312" s="73">
        <v>43090</v>
      </c>
      <c r="E312" s="801">
        <v>0</v>
      </c>
      <c r="F312" s="1050">
        <v>7</v>
      </c>
      <c r="G312" s="1041">
        <v>7</v>
      </c>
      <c r="H312" s="1036">
        <v>43090</v>
      </c>
      <c r="I312" s="76"/>
      <c r="J312" s="72"/>
      <c r="K312" s="76"/>
      <c r="L312" s="72"/>
      <c r="M312" s="76"/>
      <c r="N312" s="66"/>
      <c r="O312" s="66"/>
      <c r="P312" s="66"/>
      <c r="Q312" s="668">
        <v>7</v>
      </c>
      <c r="R312" s="997">
        <v>43090</v>
      </c>
    </row>
    <row r="313" spans="1:18" ht="15" customHeight="1" x14ac:dyDescent="0.3">
      <c r="A313" s="96">
        <v>620</v>
      </c>
      <c r="B313" s="526">
        <v>37956</v>
      </c>
      <c r="C313" s="527" t="s">
        <v>136</v>
      </c>
      <c r="D313" s="73">
        <v>38035</v>
      </c>
      <c r="E313" s="801">
        <v>0</v>
      </c>
      <c r="F313" s="1050">
        <v>2</v>
      </c>
      <c r="G313" s="1041">
        <v>2</v>
      </c>
      <c r="H313" s="1036">
        <v>38035</v>
      </c>
      <c r="I313" s="76"/>
      <c r="J313" s="72"/>
      <c r="K313" s="76"/>
      <c r="L313" s="72"/>
      <c r="M313" s="76"/>
      <c r="N313" s="66"/>
      <c r="O313" s="66"/>
      <c r="P313" s="66"/>
      <c r="Q313" s="668">
        <v>2</v>
      </c>
      <c r="R313" s="997">
        <v>38035</v>
      </c>
    </row>
    <row r="314" spans="1:18" ht="15" customHeight="1" x14ac:dyDescent="0.3">
      <c r="A314" s="96">
        <v>621</v>
      </c>
      <c r="B314" s="526">
        <v>2004</v>
      </c>
      <c r="C314" s="527" t="s">
        <v>215</v>
      </c>
      <c r="D314" s="73">
        <v>38035</v>
      </c>
      <c r="E314" s="801">
        <v>0</v>
      </c>
      <c r="F314" s="1050">
        <v>1</v>
      </c>
      <c r="G314" s="1041">
        <v>1</v>
      </c>
      <c r="H314" s="1036">
        <v>38035</v>
      </c>
      <c r="I314" s="73"/>
      <c r="J314" s="72"/>
      <c r="K314" s="73"/>
      <c r="L314" s="72"/>
      <c r="M314" s="73"/>
      <c r="N314" s="66"/>
      <c r="O314" s="66"/>
      <c r="P314" s="66"/>
      <c r="Q314" s="668">
        <v>1</v>
      </c>
      <c r="R314" s="997">
        <v>38035</v>
      </c>
    </row>
    <row r="315" spans="1:18" ht="15" customHeight="1" x14ac:dyDescent="0.3">
      <c r="A315" s="96">
        <v>623</v>
      </c>
      <c r="B315" s="526">
        <v>38261</v>
      </c>
      <c r="C315" s="527" t="s">
        <v>216</v>
      </c>
      <c r="D315" s="73">
        <v>44595</v>
      </c>
      <c r="E315" s="801">
        <v>0</v>
      </c>
      <c r="F315" s="1050">
        <v>9</v>
      </c>
      <c r="G315" s="1041">
        <v>9</v>
      </c>
      <c r="H315" s="1036">
        <v>44595</v>
      </c>
      <c r="I315" s="73"/>
      <c r="J315" s="72"/>
      <c r="K315" s="73"/>
      <c r="L315" s="72"/>
      <c r="M315" s="73"/>
      <c r="N315" s="66"/>
      <c r="O315" s="66"/>
      <c r="P315" s="66"/>
      <c r="Q315" s="668">
        <v>9</v>
      </c>
      <c r="R315" s="997">
        <v>44595</v>
      </c>
    </row>
    <row r="316" spans="1:18" ht="15" customHeight="1" x14ac:dyDescent="0.3">
      <c r="A316" s="96">
        <v>625</v>
      </c>
      <c r="B316" s="526">
        <v>38139</v>
      </c>
      <c r="C316" s="527" t="s">
        <v>217</v>
      </c>
      <c r="D316" s="73">
        <v>44131</v>
      </c>
      <c r="E316" s="801">
        <v>0</v>
      </c>
      <c r="F316" s="1050">
        <v>14</v>
      </c>
      <c r="G316" s="1041">
        <v>14</v>
      </c>
      <c r="H316" s="1036">
        <v>44131</v>
      </c>
      <c r="I316" s="76"/>
      <c r="J316" s="72"/>
      <c r="K316" s="76"/>
      <c r="L316" s="72"/>
      <c r="M316" s="76"/>
      <c r="N316" s="66"/>
      <c r="O316" s="66"/>
      <c r="P316" s="66"/>
      <c r="Q316" s="668">
        <v>14</v>
      </c>
      <c r="R316" s="997">
        <v>44131</v>
      </c>
    </row>
    <row r="317" spans="1:18" ht="15" customHeight="1" x14ac:dyDescent="0.3">
      <c r="A317" s="96">
        <v>626</v>
      </c>
      <c r="B317" s="526">
        <v>38139</v>
      </c>
      <c r="C317" s="527" t="s">
        <v>218</v>
      </c>
      <c r="D317" s="73">
        <v>43045</v>
      </c>
      <c r="E317" s="801">
        <v>0</v>
      </c>
      <c r="F317" s="1050">
        <v>7</v>
      </c>
      <c r="G317" s="1041">
        <v>7</v>
      </c>
      <c r="H317" s="1036">
        <v>43045</v>
      </c>
      <c r="I317" s="73"/>
      <c r="J317" s="72"/>
      <c r="K317" s="73"/>
      <c r="L317" s="72"/>
      <c r="M317" s="73"/>
      <c r="N317" s="66"/>
      <c r="O317" s="66"/>
      <c r="P317" s="66"/>
      <c r="Q317" s="668">
        <v>7</v>
      </c>
      <c r="R317" s="997">
        <v>43045</v>
      </c>
    </row>
    <row r="318" spans="1:18" ht="15" customHeight="1" x14ac:dyDescent="0.3">
      <c r="A318" s="96">
        <v>627</v>
      </c>
      <c r="B318" s="526">
        <v>38231</v>
      </c>
      <c r="C318" s="527" t="s">
        <v>219</v>
      </c>
      <c r="D318" s="73">
        <v>38035</v>
      </c>
      <c r="E318" s="801">
        <v>0</v>
      </c>
      <c r="F318" s="1050">
        <v>1</v>
      </c>
      <c r="G318" s="1041">
        <v>1</v>
      </c>
      <c r="H318" s="1036">
        <v>38035</v>
      </c>
      <c r="I318" s="73"/>
      <c r="J318" s="72"/>
      <c r="K318" s="73"/>
      <c r="L318" s="72"/>
      <c r="M318" s="73"/>
      <c r="N318" s="66"/>
      <c r="O318" s="66"/>
      <c r="P318" s="66"/>
      <c r="Q318" s="668">
        <v>1</v>
      </c>
      <c r="R318" s="997">
        <v>38035</v>
      </c>
    </row>
    <row r="319" spans="1:18" ht="15" customHeight="1" x14ac:dyDescent="0.3">
      <c r="A319" s="96">
        <v>631</v>
      </c>
      <c r="B319" s="526">
        <v>38353</v>
      </c>
      <c r="C319" s="527" t="s">
        <v>220</v>
      </c>
      <c r="D319" s="73">
        <v>42382</v>
      </c>
      <c r="E319" s="801">
        <v>0</v>
      </c>
      <c r="F319" s="1050">
        <v>11</v>
      </c>
      <c r="G319" s="1041">
        <v>11</v>
      </c>
      <c r="H319" s="1036">
        <v>42382</v>
      </c>
      <c r="I319" s="73"/>
      <c r="J319" s="72"/>
      <c r="K319" s="73"/>
      <c r="L319" s="72"/>
      <c r="M319" s="73"/>
      <c r="N319" s="66"/>
      <c r="O319" s="66"/>
      <c r="P319" s="66"/>
      <c r="Q319" s="668">
        <v>11</v>
      </c>
      <c r="R319" s="997">
        <v>42382</v>
      </c>
    </row>
    <row r="320" spans="1:18" ht="15" customHeight="1" x14ac:dyDescent="0.3">
      <c r="A320" s="96">
        <v>632</v>
      </c>
      <c r="B320" s="526">
        <v>38412</v>
      </c>
      <c r="C320" s="527" t="s">
        <v>148</v>
      </c>
      <c r="D320" s="73">
        <v>45215</v>
      </c>
      <c r="E320" s="801">
        <v>2</v>
      </c>
      <c r="F320" s="1050">
        <v>32</v>
      </c>
      <c r="G320" s="1041">
        <v>30</v>
      </c>
      <c r="H320" s="1036">
        <v>44292</v>
      </c>
      <c r="I320" s="73"/>
      <c r="J320" s="72"/>
      <c r="K320" s="73"/>
      <c r="L320" s="72"/>
      <c r="M320" s="73"/>
      <c r="N320" s="66"/>
      <c r="O320" s="66"/>
      <c r="P320" s="66"/>
      <c r="Q320" s="668">
        <v>30</v>
      </c>
      <c r="R320" s="997">
        <v>44292</v>
      </c>
    </row>
    <row r="321" spans="1:18" ht="15" customHeight="1" x14ac:dyDescent="0.3">
      <c r="A321" s="96">
        <v>633</v>
      </c>
      <c r="B321" s="526">
        <v>38412</v>
      </c>
      <c r="C321" s="527" t="s">
        <v>148</v>
      </c>
      <c r="D321" s="73">
        <v>45125</v>
      </c>
      <c r="E321" s="801">
        <v>1</v>
      </c>
      <c r="F321" s="1050">
        <v>42</v>
      </c>
      <c r="G321" s="1041">
        <v>41</v>
      </c>
      <c r="H321" s="1036">
        <v>44785</v>
      </c>
      <c r="I321" s="73"/>
      <c r="J321" s="72"/>
      <c r="K321" s="73"/>
      <c r="L321" s="72"/>
      <c r="M321" s="73"/>
      <c r="N321" s="66"/>
      <c r="O321" s="66"/>
      <c r="P321" s="66"/>
      <c r="Q321" s="668">
        <v>41</v>
      </c>
      <c r="R321" s="997">
        <v>44785</v>
      </c>
    </row>
    <row r="322" spans="1:18" ht="15" customHeight="1" x14ac:dyDescent="0.3">
      <c r="A322" s="97">
        <v>635</v>
      </c>
      <c r="B322" s="526">
        <v>38261</v>
      </c>
      <c r="C322" s="533" t="s">
        <v>221</v>
      </c>
      <c r="D322" s="73">
        <v>45331</v>
      </c>
      <c r="E322" s="801">
        <v>1</v>
      </c>
      <c r="F322" s="1050">
        <v>2</v>
      </c>
      <c r="G322" s="1041">
        <v>1</v>
      </c>
      <c r="H322" s="1036">
        <v>42465</v>
      </c>
      <c r="I322" s="73"/>
      <c r="J322" s="72"/>
      <c r="K322" s="73"/>
      <c r="L322" s="72"/>
      <c r="M322" s="73"/>
      <c r="N322" s="66"/>
      <c r="O322" s="66"/>
      <c r="P322" s="66"/>
      <c r="Q322" s="668">
        <v>1</v>
      </c>
      <c r="R322" s="997">
        <v>42465</v>
      </c>
    </row>
    <row r="323" spans="1:18" ht="15" customHeight="1" x14ac:dyDescent="0.3">
      <c r="A323" s="97">
        <v>637</v>
      </c>
      <c r="B323" s="526">
        <v>38261</v>
      </c>
      <c r="C323" s="533" t="s">
        <v>222</v>
      </c>
      <c r="D323" s="73">
        <v>41242</v>
      </c>
      <c r="E323" s="801">
        <v>0</v>
      </c>
      <c r="F323" s="1050">
        <v>1</v>
      </c>
      <c r="G323" s="1041">
        <v>1</v>
      </c>
      <c r="H323" s="1036">
        <v>41242</v>
      </c>
      <c r="I323" s="73"/>
      <c r="J323" s="72"/>
      <c r="K323" s="73"/>
      <c r="L323" s="72"/>
      <c r="M323" s="73"/>
      <c r="N323" s="66"/>
      <c r="O323" s="66"/>
      <c r="P323" s="66"/>
      <c r="Q323" s="668">
        <v>1</v>
      </c>
      <c r="R323" s="997">
        <v>41242</v>
      </c>
    </row>
    <row r="324" spans="1:18" ht="15" customHeight="1" x14ac:dyDescent="0.3">
      <c r="A324" s="97">
        <v>638</v>
      </c>
      <c r="B324" s="526">
        <v>38261</v>
      </c>
      <c r="C324" s="533" t="s">
        <v>223</v>
      </c>
      <c r="D324" s="76">
        <v>45331</v>
      </c>
      <c r="E324" s="801">
        <v>1</v>
      </c>
      <c r="F324" s="1050">
        <v>1</v>
      </c>
      <c r="G324" s="1041">
        <v>0</v>
      </c>
      <c r="H324" s="1037" t="s">
        <v>16</v>
      </c>
      <c r="I324" s="73"/>
      <c r="J324" s="72"/>
      <c r="K324" s="73"/>
      <c r="L324" s="72"/>
      <c r="M324" s="73"/>
      <c r="N324" s="66"/>
      <c r="O324" s="66"/>
      <c r="P324" s="66"/>
      <c r="Q324" s="668">
        <v>0</v>
      </c>
      <c r="R324" s="998" t="s">
        <v>16</v>
      </c>
    </row>
    <row r="325" spans="1:18" ht="15" customHeight="1" x14ac:dyDescent="0.3">
      <c r="A325" s="96">
        <v>641</v>
      </c>
      <c r="B325" s="526">
        <v>38443</v>
      </c>
      <c r="C325" s="527" t="s">
        <v>224</v>
      </c>
      <c r="D325" s="76" t="s">
        <v>16</v>
      </c>
      <c r="E325" s="801">
        <v>0</v>
      </c>
      <c r="F325" s="1050">
        <v>0</v>
      </c>
      <c r="G325" s="1041">
        <v>0</v>
      </c>
      <c r="H325" s="1037" t="s">
        <v>16</v>
      </c>
      <c r="I325" s="73"/>
      <c r="J325" s="72"/>
      <c r="K325" s="73"/>
      <c r="L325" s="72"/>
      <c r="M325" s="73"/>
      <c r="N325" s="66"/>
      <c r="O325" s="66"/>
      <c r="P325" s="66"/>
      <c r="Q325" s="668">
        <v>0</v>
      </c>
      <c r="R325" s="998" t="s">
        <v>16</v>
      </c>
    </row>
    <row r="326" spans="1:18" ht="15" customHeight="1" x14ac:dyDescent="0.3">
      <c r="A326" s="96">
        <v>645</v>
      </c>
      <c r="B326" s="526">
        <v>37865</v>
      </c>
      <c r="C326" s="527" t="s">
        <v>225</v>
      </c>
      <c r="D326" s="76">
        <v>43161</v>
      </c>
      <c r="E326" s="801">
        <v>0</v>
      </c>
      <c r="F326" s="1050">
        <v>1</v>
      </c>
      <c r="G326" s="1041">
        <v>1</v>
      </c>
      <c r="H326" s="1037">
        <v>43161</v>
      </c>
      <c r="I326" s="73"/>
      <c r="J326" s="72"/>
      <c r="K326" s="73"/>
      <c r="L326" s="72"/>
      <c r="M326" s="73"/>
      <c r="N326" s="66"/>
      <c r="O326" s="66"/>
      <c r="P326" s="66"/>
      <c r="Q326" s="668">
        <v>1</v>
      </c>
      <c r="R326" s="998">
        <v>43161</v>
      </c>
    </row>
    <row r="327" spans="1:18" ht="15" customHeight="1" x14ac:dyDescent="0.3">
      <c r="A327" s="96">
        <v>646</v>
      </c>
      <c r="B327" s="526">
        <v>37865</v>
      </c>
      <c r="C327" s="527" t="s">
        <v>225</v>
      </c>
      <c r="D327" s="76">
        <v>44504</v>
      </c>
      <c r="E327" s="801">
        <v>0</v>
      </c>
      <c r="F327" s="1050">
        <v>2</v>
      </c>
      <c r="G327" s="1041">
        <v>2</v>
      </c>
      <c r="H327" s="1037">
        <v>44504</v>
      </c>
      <c r="I327" s="73"/>
      <c r="J327" s="72"/>
      <c r="K327" s="73"/>
      <c r="L327" s="72"/>
      <c r="M327" s="73"/>
      <c r="N327" s="66"/>
      <c r="O327" s="66"/>
      <c r="P327" s="66"/>
      <c r="Q327" s="668">
        <v>2</v>
      </c>
      <c r="R327" s="998">
        <v>44504</v>
      </c>
    </row>
    <row r="328" spans="1:18" ht="15" customHeight="1" x14ac:dyDescent="0.3">
      <c r="A328" s="96">
        <v>647</v>
      </c>
      <c r="B328" s="526">
        <v>37865</v>
      </c>
      <c r="C328" s="527" t="s">
        <v>225</v>
      </c>
      <c r="D328" s="76">
        <v>44595</v>
      </c>
      <c r="E328" s="801">
        <v>0</v>
      </c>
      <c r="F328" s="1050">
        <v>2</v>
      </c>
      <c r="G328" s="1041">
        <v>2</v>
      </c>
      <c r="H328" s="1037">
        <v>44595</v>
      </c>
      <c r="I328" s="73"/>
      <c r="J328" s="72"/>
      <c r="K328" s="73"/>
      <c r="L328" s="72"/>
      <c r="M328" s="73"/>
      <c r="N328" s="66"/>
      <c r="O328" s="66"/>
      <c r="P328" s="66"/>
      <c r="Q328" s="668">
        <v>2</v>
      </c>
      <c r="R328" s="998">
        <v>44595</v>
      </c>
    </row>
    <row r="329" spans="1:18" ht="15" customHeight="1" x14ac:dyDescent="0.3">
      <c r="A329" s="96">
        <v>648</v>
      </c>
      <c r="B329" s="526">
        <v>37865</v>
      </c>
      <c r="C329" s="527" t="s">
        <v>225</v>
      </c>
      <c r="D329" s="73">
        <v>39846</v>
      </c>
      <c r="E329" s="801">
        <v>0</v>
      </c>
      <c r="F329" s="1050">
        <v>1</v>
      </c>
      <c r="G329" s="1041">
        <v>1</v>
      </c>
      <c r="H329" s="1036">
        <v>39846</v>
      </c>
      <c r="I329" s="76"/>
      <c r="J329" s="72"/>
      <c r="K329" s="76"/>
      <c r="L329" s="72"/>
      <c r="M329" s="76"/>
      <c r="N329" s="66"/>
      <c r="O329" s="66"/>
      <c r="P329" s="66"/>
      <c r="Q329" s="668">
        <v>1</v>
      </c>
      <c r="R329" s="997">
        <v>39846</v>
      </c>
    </row>
    <row r="330" spans="1:18" ht="15" customHeight="1" x14ac:dyDescent="0.3">
      <c r="A330" s="96">
        <v>649</v>
      </c>
      <c r="B330" s="526">
        <v>37865</v>
      </c>
      <c r="C330" s="527" t="s">
        <v>225</v>
      </c>
      <c r="D330" s="76">
        <v>44504</v>
      </c>
      <c r="E330" s="801">
        <v>0</v>
      </c>
      <c r="F330" s="1050">
        <v>1</v>
      </c>
      <c r="G330" s="1041">
        <v>1</v>
      </c>
      <c r="H330" s="1037">
        <v>44504</v>
      </c>
      <c r="I330" s="76"/>
      <c r="J330" s="72"/>
      <c r="K330" s="76"/>
      <c r="L330" s="72"/>
      <c r="M330" s="76"/>
      <c r="N330" s="66"/>
      <c r="O330" s="66"/>
      <c r="P330" s="66"/>
      <c r="Q330" s="668">
        <v>1</v>
      </c>
      <c r="R330" s="998">
        <v>44504</v>
      </c>
    </row>
    <row r="331" spans="1:18" ht="15" customHeight="1" x14ac:dyDescent="0.3">
      <c r="A331" s="96">
        <v>650</v>
      </c>
      <c r="B331" s="526">
        <v>37865</v>
      </c>
      <c r="C331" s="527" t="s">
        <v>225</v>
      </c>
      <c r="D331" s="76" t="s">
        <v>16</v>
      </c>
      <c r="E331" s="801">
        <v>0</v>
      </c>
      <c r="F331" s="1050">
        <v>0</v>
      </c>
      <c r="G331" s="1041">
        <v>0</v>
      </c>
      <c r="H331" s="1037" t="s">
        <v>16</v>
      </c>
      <c r="I331" s="76"/>
      <c r="J331" s="72"/>
      <c r="K331" s="76"/>
      <c r="L331" s="72"/>
      <c r="M331" s="76"/>
      <c r="N331" s="66"/>
      <c r="O331" s="66"/>
      <c r="P331" s="66"/>
      <c r="Q331" s="668">
        <v>0</v>
      </c>
      <c r="R331" s="998" t="s">
        <v>16</v>
      </c>
    </row>
    <row r="332" spans="1:18" ht="15" customHeight="1" x14ac:dyDescent="0.3">
      <c r="A332" s="96">
        <v>651</v>
      </c>
      <c r="B332" s="526">
        <v>37865</v>
      </c>
      <c r="C332" s="527" t="s">
        <v>225</v>
      </c>
      <c r="D332" s="76" t="s">
        <v>16</v>
      </c>
      <c r="E332" s="801">
        <v>0</v>
      </c>
      <c r="F332" s="1050">
        <v>0</v>
      </c>
      <c r="G332" s="1041">
        <v>0</v>
      </c>
      <c r="H332" s="1037" t="s">
        <v>16</v>
      </c>
      <c r="I332" s="76"/>
      <c r="J332" s="72"/>
      <c r="K332" s="76"/>
      <c r="L332" s="72"/>
      <c r="M332" s="76"/>
      <c r="N332" s="66"/>
      <c r="O332" s="66"/>
      <c r="P332" s="66"/>
      <c r="Q332" s="668">
        <v>0</v>
      </c>
      <c r="R332" s="998" t="s">
        <v>16</v>
      </c>
    </row>
    <row r="333" spans="1:18" ht="15" customHeight="1" x14ac:dyDescent="0.3">
      <c r="A333" s="96">
        <v>652</v>
      </c>
      <c r="B333" s="526">
        <v>37865</v>
      </c>
      <c r="C333" s="527" t="s">
        <v>65</v>
      </c>
      <c r="D333" s="73">
        <v>43161</v>
      </c>
      <c r="E333" s="801">
        <v>0</v>
      </c>
      <c r="F333" s="1050">
        <v>2</v>
      </c>
      <c r="G333" s="1041">
        <v>2</v>
      </c>
      <c r="H333" s="1036">
        <v>43161</v>
      </c>
      <c r="I333" s="76"/>
      <c r="J333" s="72"/>
      <c r="K333" s="76"/>
      <c r="L333" s="72"/>
      <c r="M333" s="76"/>
      <c r="N333" s="66"/>
      <c r="O333" s="66"/>
      <c r="P333" s="66"/>
      <c r="Q333" s="668">
        <v>2</v>
      </c>
      <c r="R333" s="997">
        <v>43161</v>
      </c>
    </row>
    <row r="334" spans="1:18" x14ac:dyDescent="0.3">
      <c r="A334" s="96">
        <v>653</v>
      </c>
      <c r="B334" s="526">
        <v>37865</v>
      </c>
      <c r="C334" s="527" t="s">
        <v>225</v>
      </c>
      <c r="D334" s="76" t="s">
        <v>16</v>
      </c>
      <c r="E334" s="801">
        <v>0</v>
      </c>
      <c r="F334" s="1050">
        <v>0</v>
      </c>
      <c r="G334" s="1041">
        <v>0</v>
      </c>
      <c r="H334" s="1037" t="s">
        <v>16</v>
      </c>
      <c r="I334" s="73"/>
      <c r="J334" s="72"/>
      <c r="K334" s="73"/>
      <c r="L334" s="72"/>
      <c r="M334" s="73"/>
      <c r="N334" s="66"/>
      <c r="O334" s="66"/>
      <c r="P334" s="66"/>
      <c r="Q334" s="668">
        <v>0</v>
      </c>
      <c r="R334" s="998" t="s">
        <v>16</v>
      </c>
    </row>
    <row r="335" spans="1:18" ht="15" customHeight="1" x14ac:dyDescent="0.3">
      <c r="A335" s="96">
        <v>654</v>
      </c>
      <c r="B335" s="526">
        <v>37865</v>
      </c>
      <c r="C335" s="527" t="s">
        <v>225</v>
      </c>
      <c r="D335" s="76" t="s">
        <v>16</v>
      </c>
      <c r="E335" s="801">
        <v>0</v>
      </c>
      <c r="F335" s="1050">
        <v>0</v>
      </c>
      <c r="G335" s="1041">
        <v>0</v>
      </c>
      <c r="H335" s="1037" t="s">
        <v>16</v>
      </c>
      <c r="I335" s="76"/>
      <c r="J335" s="72"/>
      <c r="K335" s="76"/>
      <c r="L335" s="72"/>
      <c r="M335" s="76"/>
      <c r="N335" s="66"/>
      <c r="O335" s="66"/>
      <c r="P335" s="66"/>
      <c r="Q335" s="668">
        <v>0</v>
      </c>
      <c r="R335" s="998" t="s">
        <v>16</v>
      </c>
    </row>
    <row r="336" spans="1:18" ht="15" customHeight="1" x14ac:dyDescent="0.3">
      <c r="A336" s="96">
        <v>655</v>
      </c>
      <c r="B336" s="526">
        <v>37865</v>
      </c>
      <c r="C336" s="527" t="s">
        <v>225</v>
      </c>
      <c r="D336" s="76">
        <v>44504</v>
      </c>
      <c r="E336" s="801">
        <v>0</v>
      </c>
      <c r="F336" s="1050">
        <v>1</v>
      </c>
      <c r="G336" s="1041">
        <v>1</v>
      </c>
      <c r="H336" s="1037">
        <v>44504</v>
      </c>
      <c r="I336" s="76"/>
      <c r="J336" s="72"/>
      <c r="K336" s="76"/>
      <c r="L336" s="72"/>
      <c r="M336" s="76"/>
      <c r="N336" s="66"/>
      <c r="O336" s="66"/>
      <c r="P336" s="66"/>
      <c r="Q336" s="668">
        <v>1</v>
      </c>
      <c r="R336" s="998">
        <v>44504</v>
      </c>
    </row>
    <row r="337" spans="1:18" ht="15" customHeight="1" x14ac:dyDescent="0.3">
      <c r="A337" s="96">
        <v>656</v>
      </c>
      <c r="B337" s="526">
        <v>37865</v>
      </c>
      <c r="C337" s="527" t="s">
        <v>225</v>
      </c>
      <c r="D337" s="76" t="s">
        <v>16</v>
      </c>
      <c r="E337" s="801">
        <v>0</v>
      </c>
      <c r="F337" s="1050">
        <v>0</v>
      </c>
      <c r="G337" s="1041">
        <v>0</v>
      </c>
      <c r="H337" s="1037" t="s">
        <v>16</v>
      </c>
      <c r="I337" s="76"/>
      <c r="J337" s="72"/>
      <c r="K337" s="76"/>
      <c r="L337" s="72"/>
      <c r="M337" s="76"/>
      <c r="N337" s="66"/>
      <c r="O337" s="66"/>
      <c r="P337" s="66"/>
      <c r="Q337" s="668">
        <v>0</v>
      </c>
      <c r="R337" s="998" t="s">
        <v>16</v>
      </c>
    </row>
    <row r="338" spans="1:18" ht="15" customHeight="1" x14ac:dyDescent="0.3">
      <c r="A338" s="96">
        <v>657</v>
      </c>
      <c r="B338" s="526">
        <v>37865</v>
      </c>
      <c r="C338" s="527" t="s">
        <v>225</v>
      </c>
      <c r="D338" s="76">
        <v>43607</v>
      </c>
      <c r="E338" s="801">
        <v>0</v>
      </c>
      <c r="F338" s="1050">
        <v>1</v>
      </c>
      <c r="G338" s="1041">
        <v>1</v>
      </c>
      <c r="H338" s="1037">
        <v>43607</v>
      </c>
      <c r="I338" s="73"/>
      <c r="J338" s="72"/>
      <c r="K338" s="73"/>
      <c r="L338" s="72"/>
      <c r="M338" s="73"/>
      <c r="N338" s="66"/>
      <c r="O338" s="66"/>
      <c r="P338" s="66"/>
      <c r="Q338" s="668">
        <v>1</v>
      </c>
      <c r="R338" s="998">
        <v>43607</v>
      </c>
    </row>
    <row r="339" spans="1:18" ht="15" customHeight="1" x14ac:dyDescent="0.3">
      <c r="A339" s="96">
        <v>658</v>
      </c>
      <c r="B339" s="526">
        <v>37865</v>
      </c>
      <c r="C339" s="527" t="s">
        <v>225</v>
      </c>
      <c r="D339" s="73">
        <v>43607</v>
      </c>
      <c r="E339" s="801">
        <v>0</v>
      </c>
      <c r="F339" s="1050">
        <v>2</v>
      </c>
      <c r="G339" s="1041">
        <v>2</v>
      </c>
      <c r="H339" s="1036">
        <v>43607</v>
      </c>
      <c r="I339" s="76"/>
      <c r="J339" s="72"/>
      <c r="K339" s="76"/>
      <c r="L339" s="72"/>
      <c r="M339" s="76"/>
      <c r="N339" s="66"/>
      <c r="O339" s="66"/>
      <c r="P339" s="66"/>
      <c r="Q339" s="668">
        <v>2</v>
      </c>
      <c r="R339" s="997">
        <v>43607</v>
      </c>
    </row>
    <row r="340" spans="1:18" ht="15" customHeight="1" x14ac:dyDescent="0.3">
      <c r="A340" s="96">
        <v>659</v>
      </c>
      <c r="B340" s="526">
        <v>37865</v>
      </c>
      <c r="C340" s="527" t="s">
        <v>225</v>
      </c>
      <c r="D340" s="73">
        <v>42038</v>
      </c>
      <c r="E340" s="801">
        <v>0</v>
      </c>
      <c r="F340" s="1050">
        <v>2</v>
      </c>
      <c r="G340" s="1041">
        <v>2</v>
      </c>
      <c r="H340" s="1036">
        <v>42038</v>
      </c>
      <c r="I340" s="76"/>
      <c r="J340" s="72"/>
      <c r="K340" s="76"/>
      <c r="L340" s="72"/>
      <c r="M340" s="76"/>
      <c r="N340" s="66"/>
      <c r="O340" s="66"/>
      <c r="P340" s="66"/>
      <c r="Q340" s="668">
        <v>2</v>
      </c>
      <c r="R340" s="997">
        <v>42038</v>
      </c>
    </row>
    <row r="341" spans="1:18" ht="15" customHeight="1" x14ac:dyDescent="0.3">
      <c r="A341" s="96">
        <v>660</v>
      </c>
      <c r="B341" s="526">
        <v>38838</v>
      </c>
      <c r="C341" s="527" t="s">
        <v>226</v>
      </c>
      <c r="D341" s="76" t="s">
        <v>16</v>
      </c>
      <c r="E341" s="801">
        <v>0</v>
      </c>
      <c r="F341" s="1050">
        <v>0</v>
      </c>
      <c r="G341" s="1041">
        <v>0</v>
      </c>
      <c r="H341" s="1037" t="s">
        <v>16</v>
      </c>
      <c r="I341" s="76"/>
      <c r="J341" s="72"/>
      <c r="K341" s="76"/>
      <c r="L341" s="72"/>
      <c r="M341" s="76"/>
      <c r="N341" s="66"/>
      <c r="O341" s="66"/>
      <c r="P341" s="66"/>
      <c r="Q341" s="668">
        <v>0</v>
      </c>
      <c r="R341" s="998" t="s">
        <v>16</v>
      </c>
    </row>
    <row r="342" spans="1:18" ht="15" customHeight="1" x14ac:dyDescent="0.3">
      <c r="A342" s="96">
        <v>661</v>
      </c>
      <c r="B342" s="526">
        <v>38838</v>
      </c>
      <c r="C342" s="527" t="s">
        <v>226</v>
      </c>
      <c r="D342" s="73">
        <v>42492</v>
      </c>
      <c r="E342" s="801">
        <v>0</v>
      </c>
      <c r="F342" s="1050">
        <v>1</v>
      </c>
      <c r="G342" s="1041">
        <v>1</v>
      </c>
      <c r="H342" s="1036">
        <v>42492</v>
      </c>
      <c r="I342" s="76"/>
      <c r="J342" s="72"/>
      <c r="K342" s="76"/>
      <c r="L342" s="72"/>
      <c r="M342" s="76"/>
      <c r="N342" s="66"/>
      <c r="O342" s="66"/>
      <c r="P342" s="66"/>
      <c r="Q342" s="668">
        <v>1</v>
      </c>
      <c r="R342" s="997">
        <v>42492</v>
      </c>
    </row>
    <row r="343" spans="1:18" ht="15" customHeight="1" x14ac:dyDescent="0.3">
      <c r="A343" s="96">
        <v>662</v>
      </c>
      <c r="B343" s="526">
        <v>39022</v>
      </c>
      <c r="C343" s="527" t="s">
        <v>227</v>
      </c>
      <c r="D343" s="76">
        <v>44552</v>
      </c>
      <c r="E343" s="801">
        <v>0</v>
      </c>
      <c r="F343" s="1050">
        <v>1</v>
      </c>
      <c r="G343" s="1041">
        <v>1</v>
      </c>
      <c r="H343" s="1037">
        <v>44552</v>
      </c>
      <c r="I343" s="76"/>
      <c r="J343" s="72"/>
      <c r="K343" s="76"/>
      <c r="L343" s="72"/>
      <c r="M343" s="76"/>
      <c r="N343" s="66"/>
      <c r="O343" s="66"/>
      <c r="P343" s="66"/>
      <c r="Q343" s="668">
        <v>1</v>
      </c>
      <c r="R343" s="998">
        <v>44552</v>
      </c>
    </row>
    <row r="344" spans="1:18" ht="15" customHeight="1" x14ac:dyDescent="0.3">
      <c r="A344" s="96">
        <v>663</v>
      </c>
      <c r="B344" s="526">
        <v>39022</v>
      </c>
      <c r="C344" s="527" t="s">
        <v>228</v>
      </c>
      <c r="D344" s="73">
        <v>43675</v>
      </c>
      <c r="E344" s="801">
        <v>0</v>
      </c>
      <c r="F344" s="1050">
        <v>6</v>
      </c>
      <c r="G344" s="1041">
        <v>6</v>
      </c>
      <c r="H344" s="1036">
        <v>43675</v>
      </c>
      <c r="I344" s="73"/>
      <c r="J344" s="72"/>
      <c r="K344" s="73"/>
      <c r="L344" s="72"/>
      <c r="M344" s="73"/>
      <c r="N344" s="66"/>
      <c r="O344" s="66"/>
      <c r="P344" s="66"/>
      <c r="Q344" s="668">
        <v>6</v>
      </c>
      <c r="R344" s="997">
        <v>43675</v>
      </c>
    </row>
    <row r="345" spans="1:18" ht="15" customHeight="1" x14ac:dyDescent="0.3">
      <c r="A345" s="96">
        <v>664</v>
      </c>
      <c r="B345" s="526">
        <v>38838</v>
      </c>
      <c r="C345" s="527" t="s">
        <v>177</v>
      </c>
      <c r="D345" s="73">
        <v>41340</v>
      </c>
      <c r="E345" s="801">
        <v>0</v>
      </c>
      <c r="F345" s="1050">
        <v>2</v>
      </c>
      <c r="G345" s="1041">
        <v>2</v>
      </c>
      <c r="H345" s="1036">
        <v>41340</v>
      </c>
      <c r="I345" s="73"/>
      <c r="J345" s="72"/>
      <c r="K345" s="73"/>
      <c r="L345" s="72"/>
      <c r="M345" s="73"/>
      <c r="N345" s="66"/>
      <c r="O345" s="66"/>
      <c r="P345" s="66"/>
      <c r="Q345" s="668">
        <v>2</v>
      </c>
      <c r="R345" s="997">
        <v>41340</v>
      </c>
    </row>
    <row r="346" spans="1:18" ht="15" customHeight="1" x14ac:dyDescent="0.3">
      <c r="A346" s="96">
        <v>666</v>
      </c>
      <c r="B346" s="526">
        <v>38989</v>
      </c>
      <c r="C346" s="527" t="s">
        <v>229</v>
      </c>
      <c r="D346" s="76" t="s">
        <v>16</v>
      </c>
      <c r="E346" s="801">
        <v>0</v>
      </c>
      <c r="F346" s="1050">
        <v>0</v>
      </c>
      <c r="G346" s="1041">
        <v>0</v>
      </c>
      <c r="H346" s="1037" t="s">
        <v>16</v>
      </c>
      <c r="I346" s="76"/>
      <c r="J346" s="72"/>
      <c r="K346" s="76"/>
      <c r="L346" s="72"/>
      <c r="M346" s="76"/>
      <c r="N346" s="66"/>
      <c r="O346" s="66"/>
      <c r="P346" s="66"/>
      <c r="Q346" s="668">
        <v>0</v>
      </c>
      <c r="R346" s="998" t="s">
        <v>16</v>
      </c>
    </row>
    <row r="347" spans="1:18" ht="15" customHeight="1" x14ac:dyDescent="0.3">
      <c r="A347" s="96">
        <v>667</v>
      </c>
      <c r="B347" s="526">
        <v>38989</v>
      </c>
      <c r="C347" s="527" t="s">
        <v>230</v>
      </c>
      <c r="D347" s="73">
        <v>33273</v>
      </c>
      <c r="E347" s="801">
        <v>0</v>
      </c>
      <c r="F347" s="1050">
        <v>1</v>
      </c>
      <c r="G347" s="1041">
        <v>1</v>
      </c>
      <c r="H347" s="1036">
        <v>33273</v>
      </c>
      <c r="I347" s="73"/>
      <c r="J347" s="72"/>
      <c r="K347" s="73"/>
      <c r="L347" s="72"/>
      <c r="M347" s="73"/>
      <c r="N347" s="66"/>
      <c r="O347" s="66"/>
      <c r="P347" s="66"/>
      <c r="Q347" s="668">
        <v>1</v>
      </c>
      <c r="R347" s="997">
        <v>33273</v>
      </c>
    </row>
    <row r="348" spans="1:18" ht="15" customHeight="1" x14ac:dyDescent="0.3">
      <c r="A348" s="96">
        <v>668</v>
      </c>
      <c r="B348" s="526">
        <v>38989</v>
      </c>
      <c r="C348" s="527" t="s">
        <v>231</v>
      </c>
      <c r="D348" s="76" t="s">
        <v>16</v>
      </c>
      <c r="E348" s="801">
        <v>0</v>
      </c>
      <c r="F348" s="1050">
        <v>0</v>
      </c>
      <c r="G348" s="1041">
        <v>0</v>
      </c>
      <c r="H348" s="1037" t="s">
        <v>16</v>
      </c>
      <c r="I348" s="76"/>
      <c r="J348" s="72"/>
      <c r="K348" s="76"/>
      <c r="L348" s="72"/>
      <c r="M348" s="76"/>
      <c r="N348" s="66"/>
      <c r="O348" s="66"/>
      <c r="P348" s="66"/>
      <c r="Q348" s="668">
        <v>0</v>
      </c>
      <c r="R348" s="998" t="s">
        <v>16</v>
      </c>
    </row>
    <row r="349" spans="1:18" ht="15" customHeight="1" x14ac:dyDescent="0.3">
      <c r="A349" s="96">
        <v>669</v>
      </c>
      <c r="B349" s="526">
        <v>38989</v>
      </c>
      <c r="C349" s="527" t="s">
        <v>34</v>
      </c>
      <c r="D349" s="73">
        <v>45229</v>
      </c>
      <c r="E349" s="801">
        <v>6</v>
      </c>
      <c r="F349" s="1050">
        <v>53</v>
      </c>
      <c r="G349" s="1041">
        <v>47</v>
      </c>
      <c r="H349" s="1036">
        <v>45029</v>
      </c>
      <c r="I349" s="73"/>
      <c r="J349" s="72"/>
      <c r="K349" s="73"/>
      <c r="L349" s="72"/>
      <c r="M349" s="73"/>
      <c r="N349" s="66"/>
      <c r="O349" s="66"/>
      <c r="P349" s="66"/>
      <c r="Q349" s="668">
        <v>48</v>
      </c>
      <c r="R349" s="997">
        <v>45029</v>
      </c>
    </row>
    <row r="350" spans="1:18" ht="15" customHeight="1" x14ac:dyDescent="0.3">
      <c r="A350" s="96">
        <v>672</v>
      </c>
      <c r="B350" s="526">
        <v>38989</v>
      </c>
      <c r="C350" s="527" t="s">
        <v>226</v>
      </c>
      <c r="D350" s="76" t="s">
        <v>16</v>
      </c>
      <c r="E350" s="801">
        <v>0</v>
      </c>
      <c r="F350" s="1050">
        <v>0</v>
      </c>
      <c r="G350" s="1041">
        <v>0</v>
      </c>
      <c r="H350" s="1037" t="s">
        <v>16</v>
      </c>
      <c r="I350" s="73"/>
      <c r="J350" s="72"/>
      <c r="K350" s="73"/>
      <c r="L350" s="72"/>
      <c r="M350" s="73"/>
      <c r="N350" s="66"/>
      <c r="O350" s="66"/>
      <c r="P350" s="66"/>
      <c r="Q350" s="668">
        <v>0</v>
      </c>
      <c r="R350" s="998" t="s">
        <v>16</v>
      </c>
    </row>
    <row r="351" spans="1:18" ht="15" customHeight="1" x14ac:dyDescent="0.3">
      <c r="A351" s="96">
        <v>673</v>
      </c>
      <c r="B351" s="526">
        <v>38989</v>
      </c>
      <c r="C351" s="527" t="s">
        <v>232</v>
      </c>
      <c r="D351" s="73">
        <v>41144</v>
      </c>
      <c r="E351" s="801">
        <v>0</v>
      </c>
      <c r="F351" s="1050">
        <v>1</v>
      </c>
      <c r="G351" s="1041">
        <v>1</v>
      </c>
      <c r="H351" s="1036">
        <v>41144</v>
      </c>
      <c r="I351" s="76"/>
      <c r="J351" s="72"/>
      <c r="K351" s="76"/>
      <c r="L351" s="72"/>
      <c r="M351" s="76"/>
      <c r="N351" s="66"/>
      <c r="O351" s="66"/>
      <c r="P351" s="66"/>
      <c r="Q351" s="668">
        <v>1</v>
      </c>
      <c r="R351" s="997">
        <v>41144</v>
      </c>
    </row>
    <row r="352" spans="1:18" ht="15" customHeight="1" x14ac:dyDescent="0.3">
      <c r="A352" s="96">
        <v>674</v>
      </c>
      <c r="B352" s="526">
        <v>38989</v>
      </c>
      <c r="C352" s="527" t="s">
        <v>233</v>
      </c>
      <c r="D352" s="76" t="s">
        <v>16</v>
      </c>
      <c r="E352" s="801">
        <v>0</v>
      </c>
      <c r="F352" s="1050">
        <v>0</v>
      </c>
      <c r="G352" s="1041">
        <v>0</v>
      </c>
      <c r="H352" s="1037" t="s">
        <v>16</v>
      </c>
      <c r="I352" s="73"/>
      <c r="J352" s="72"/>
      <c r="K352" s="73"/>
      <c r="L352" s="72"/>
      <c r="M352" s="73"/>
      <c r="N352" s="66"/>
      <c r="O352" s="66"/>
      <c r="P352" s="66"/>
      <c r="Q352" s="668">
        <v>0</v>
      </c>
      <c r="R352" s="998" t="s">
        <v>16</v>
      </c>
    </row>
    <row r="353" spans="1:18" ht="15" customHeight="1" x14ac:dyDescent="0.3">
      <c r="A353" s="96">
        <v>678</v>
      </c>
      <c r="B353" s="526">
        <v>38989</v>
      </c>
      <c r="C353" s="527" t="s">
        <v>234</v>
      </c>
      <c r="D353" s="73">
        <v>42255</v>
      </c>
      <c r="E353" s="801">
        <v>0</v>
      </c>
      <c r="F353" s="1050">
        <v>1</v>
      </c>
      <c r="G353" s="1041">
        <v>1</v>
      </c>
      <c r="H353" s="1036">
        <v>42255</v>
      </c>
      <c r="I353" s="76"/>
      <c r="J353" s="72"/>
      <c r="K353" s="76"/>
      <c r="L353" s="72"/>
      <c r="M353" s="76"/>
      <c r="N353" s="66"/>
      <c r="O353" s="66"/>
      <c r="P353" s="66"/>
      <c r="Q353" s="668">
        <v>1</v>
      </c>
      <c r="R353" s="997">
        <v>42255</v>
      </c>
    </row>
    <row r="354" spans="1:18" ht="15" customHeight="1" x14ac:dyDescent="0.3">
      <c r="A354" s="96">
        <v>679</v>
      </c>
      <c r="B354" s="526">
        <v>38989</v>
      </c>
      <c r="C354" s="527" t="s">
        <v>235</v>
      </c>
      <c r="D354" s="76">
        <v>42948</v>
      </c>
      <c r="E354" s="801">
        <v>0</v>
      </c>
      <c r="F354" s="1050">
        <v>1</v>
      </c>
      <c r="G354" s="1041">
        <v>1</v>
      </c>
      <c r="H354" s="1037">
        <v>42948</v>
      </c>
      <c r="I354" s="73"/>
      <c r="J354" s="72"/>
      <c r="K354" s="73"/>
      <c r="L354" s="72"/>
      <c r="M354" s="73"/>
      <c r="N354" s="66"/>
      <c r="O354" s="66"/>
      <c r="P354" s="66"/>
      <c r="Q354" s="668">
        <v>1</v>
      </c>
      <c r="R354" s="998">
        <v>42948</v>
      </c>
    </row>
    <row r="355" spans="1:18" ht="15" customHeight="1" x14ac:dyDescent="0.3">
      <c r="A355" s="96">
        <v>682</v>
      </c>
      <c r="B355" s="526">
        <v>38989</v>
      </c>
      <c r="C355" s="527" t="s">
        <v>108</v>
      </c>
      <c r="D355" s="76" t="s">
        <v>16</v>
      </c>
      <c r="E355" s="801">
        <v>0</v>
      </c>
      <c r="F355" s="1050">
        <v>0</v>
      </c>
      <c r="G355" s="1041">
        <v>0</v>
      </c>
      <c r="H355" s="1037" t="s">
        <v>16</v>
      </c>
      <c r="I355" s="76"/>
      <c r="J355" s="72"/>
      <c r="K355" s="76"/>
      <c r="L355" s="72"/>
      <c r="M355" s="76"/>
      <c r="N355" s="66"/>
      <c r="O355" s="66"/>
      <c r="P355" s="66"/>
      <c r="Q355" s="668">
        <v>0</v>
      </c>
      <c r="R355" s="998" t="s">
        <v>16</v>
      </c>
    </row>
    <row r="356" spans="1:18" ht="15" customHeight="1" x14ac:dyDescent="0.3">
      <c r="A356" s="96">
        <v>683</v>
      </c>
      <c r="B356" s="526">
        <v>38989</v>
      </c>
      <c r="C356" s="527" t="s">
        <v>236</v>
      </c>
      <c r="D356" s="73">
        <v>45352</v>
      </c>
      <c r="E356" s="801">
        <v>1</v>
      </c>
      <c r="F356" s="1050">
        <v>4</v>
      </c>
      <c r="G356" s="1041">
        <v>3</v>
      </c>
      <c r="H356" s="1036">
        <v>44595</v>
      </c>
      <c r="I356" s="73"/>
      <c r="J356" s="72"/>
      <c r="K356" s="73"/>
      <c r="L356" s="72"/>
      <c r="M356" s="73"/>
      <c r="N356" s="66"/>
      <c r="O356" s="66"/>
      <c r="P356" s="66"/>
      <c r="Q356" s="668">
        <v>3</v>
      </c>
      <c r="R356" s="997">
        <v>44595</v>
      </c>
    </row>
    <row r="357" spans="1:18" ht="15" customHeight="1" x14ac:dyDescent="0.3">
      <c r="A357" s="96">
        <v>684</v>
      </c>
      <c r="B357" s="526">
        <v>38989</v>
      </c>
      <c r="C357" s="527" t="s">
        <v>237</v>
      </c>
      <c r="D357" s="73">
        <v>39601</v>
      </c>
      <c r="E357" s="801">
        <v>0</v>
      </c>
      <c r="F357" s="1050">
        <v>1</v>
      </c>
      <c r="G357" s="1041">
        <v>1</v>
      </c>
      <c r="H357" s="1036">
        <v>39601</v>
      </c>
      <c r="I357" s="76"/>
      <c r="J357" s="72"/>
      <c r="K357" s="76"/>
      <c r="L357" s="72"/>
      <c r="M357" s="76"/>
      <c r="N357" s="66"/>
      <c r="O357" s="66"/>
      <c r="P357" s="66"/>
      <c r="Q357" s="668">
        <v>1</v>
      </c>
      <c r="R357" s="997">
        <v>39601</v>
      </c>
    </row>
    <row r="358" spans="1:18" ht="15" customHeight="1" x14ac:dyDescent="0.3">
      <c r="A358" s="96">
        <v>688</v>
      </c>
      <c r="B358" s="526">
        <v>39022</v>
      </c>
      <c r="C358" s="534" t="s">
        <v>238</v>
      </c>
      <c r="D358" s="73">
        <v>39176</v>
      </c>
      <c r="E358" s="801">
        <v>0</v>
      </c>
      <c r="F358" s="1050">
        <v>1</v>
      </c>
      <c r="G358" s="1041">
        <v>1</v>
      </c>
      <c r="H358" s="1036">
        <v>39176</v>
      </c>
      <c r="I358" s="73"/>
      <c r="J358" s="72"/>
      <c r="K358" s="73"/>
      <c r="L358" s="72"/>
      <c r="M358" s="73"/>
      <c r="N358" s="66"/>
      <c r="O358" s="66"/>
      <c r="P358" s="66"/>
      <c r="Q358" s="668">
        <v>1</v>
      </c>
      <c r="R358" s="997">
        <v>39176</v>
      </c>
    </row>
    <row r="359" spans="1:18" ht="15" customHeight="1" x14ac:dyDescent="0.3">
      <c r="A359" s="96">
        <v>689</v>
      </c>
      <c r="B359" s="526">
        <v>39052</v>
      </c>
      <c r="C359" s="527" t="s">
        <v>181</v>
      </c>
      <c r="D359" s="73">
        <v>42069</v>
      </c>
      <c r="E359" s="801">
        <v>0</v>
      </c>
      <c r="F359" s="1050">
        <v>1</v>
      </c>
      <c r="G359" s="1041">
        <v>1</v>
      </c>
      <c r="H359" s="1036">
        <v>42069</v>
      </c>
      <c r="I359" s="76"/>
      <c r="J359" s="72"/>
      <c r="K359" s="76"/>
      <c r="L359" s="72"/>
      <c r="M359" s="76"/>
      <c r="N359" s="66"/>
      <c r="O359" s="66"/>
      <c r="P359" s="66"/>
      <c r="Q359" s="668">
        <v>1</v>
      </c>
      <c r="R359" s="997">
        <v>42069</v>
      </c>
    </row>
    <row r="360" spans="1:18" ht="15" customHeight="1" x14ac:dyDescent="0.3">
      <c r="A360" s="96">
        <v>690</v>
      </c>
      <c r="B360" s="526">
        <v>39234</v>
      </c>
      <c r="C360" s="527" t="s">
        <v>239</v>
      </c>
      <c r="D360" s="73">
        <v>45111</v>
      </c>
      <c r="E360" s="801">
        <v>2</v>
      </c>
      <c r="F360" s="1050">
        <v>13</v>
      </c>
      <c r="G360" s="1041">
        <v>11</v>
      </c>
      <c r="H360" s="1036">
        <v>44984</v>
      </c>
      <c r="I360" s="76"/>
      <c r="J360" s="72"/>
      <c r="K360" s="76"/>
      <c r="L360" s="72"/>
      <c r="M360" s="76"/>
      <c r="N360" s="66"/>
      <c r="O360" s="66"/>
      <c r="P360" s="66"/>
      <c r="Q360" s="668">
        <v>12</v>
      </c>
      <c r="R360" s="997">
        <v>44984</v>
      </c>
    </row>
    <row r="361" spans="1:18" ht="15" customHeight="1" x14ac:dyDescent="0.3">
      <c r="A361" s="96">
        <v>692</v>
      </c>
      <c r="B361" s="526">
        <v>39904</v>
      </c>
      <c r="C361" s="527" t="s">
        <v>240</v>
      </c>
      <c r="D361" s="73">
        <v>45111</v>
      </c>
      <c r="E361" s="801">
        <v>1</v>
      </c>
      <c r="F361" s="1050">
        <v>22</v>
      </c>
      <c r="G361" s="1041">
        <v>21</v>
      </c>
      <c r="H361" s="1036">
        <v>44735</v>
      </c>
      <c r="I361" s="73"/>
      <c r="J361" s="72"/>
      <c r="K361" s="73"/>
      <c r="L361" s="72"/>
      <c r="M361" s="73"/>
      <c r="N361" s="66"/>
      <c r="O361" s="66"/>
      <c r="P361" s="66"/>
      <c r="Q361" s="668">
        <v>21</v>
      </c>
      <c r="R361" s="997">
        <v>44735</v>
      </c>
    </row>
    <row r="362" spans="1:18" ht="15" customHeight="1" x14ac:dyDescent="0.3">
      <c r="A362" s="96">
        <v>695</v>
      </c>
      <c r="B362" s="526">
        <v>39600</v>
      </c>
      <c r="C362" s="527" t="s">
        <v>241</v>
      </c>
      <c r="D362" s="73">
        <v>44739</v>
      </c>
      <c r="E362" s="801">
        <v>0</v>
      </c>
      <c r="F362" s="1050">
        <v>11</v>
      </c>
      <c r="G362" s="1041">
        <v>11</v>
      </c>
      <c r="H362" s="1036">
        <v>44739</v>
      </c>
      <c r="I362" s="73"/>
      <c r="J362" s="72"/>
      <c r="K362" s="73"/>
      <c r="L362" s="72"/>
      <c r="M362" s="73"/>
      <c r="N362" s="66"/>
      <c r="O362" s="66"/>
      <c r="P362" s="66"/>
      <c r="Q362" s="668">
        <v>11</v>
      </c>
      <c r="R362" s="997">
        <v>44739</v>
      </c>
    </row>
    <row r="363" spans="1:18" ht="15" customHeight="1" x14ac:dyDescent="0.3">
      <c r="A363" s="96">
        <v>696</v>
      </c>
      <c r="B363" s="526">
        <v>40299</v>
      </c>
      <c r="C363" s="534" t="s">
        <v>242</v>
      </c>
      <c r="D363" s="73">
        <v>42075</v>
      </c>
      <c r="E363" s="801">
        <v>0</v>
      </c>
      <c r="F363" s="1050">
        <v>2</v>
      </c>
      <c r="G363" s="1041">
        <v>2</v>
      </c>
      <c r="H363" s="1036">
        <v>42075</v>
      </c>
      <c r="I363" s="73"/>
      <c r="J363" s="72"/>
      <c r="K363" s="73"/>
      <c r="L363" s="72"/>
      <c r="M363" s="73"/>
      <c r="N363" s="66"/>
      <c r="O363" s="66"/>
      <c r="P363" s="66"/>
      <c r="Q363" s="668">
        <v>2</v>
      </c>
      <c r="R363" s="997">
        <v>42075</v>
      </c>
    </row>
    <row r="364" spans="1:18" ht="15" customHeight="1" x14ac:dyDescent="0.3">
      <c r="A364" s="99">
        <v>697</v>
      </c>
      <c r="B364" s="535">
        <v>40118</v>
      </c>
      <c r="C364" s="527" t="s">
        <v>243</v>
      </c>
      <c r="D364" s="73">
        <v>43622</v>
      </c>
      <c r="E364" s="801">
        <v>0</v>
      </c>
      <c r="F364" s="1050">
        <v>11</v>
      </c>
      <c r="G364" s="1041">
        <v>11</v>
      </c>
      <c r="H364" s="1036">
        <v>43622</v>
      </c>
      <c r="I364" s="73"/>
      <c r="J364" s="72"/>
      <c r="K364" s="73"/>
      <c r="L364" s="72"/>
      <c r="M364" s="73"/>
      <c r="N364" s="66"/>
      <c r="O364" s="66"/>
      <c r="P364" s="66"/>
      <c r="Q364" s="668">
        <v>11</v>
      </c>
      <c r="R364" s="997">
        <v>43622</v>
      </c>
    </row>
    <row r="365" spans="1:18" ht="15" customHeight="1" x14ac:dyDescent="0.3">
      <c r="A365" s="99">
        <v>698</v>
      </c>
      <c r="B365" s="535">
        <v>40118</v>
      </c>
      <c r="C365" s="527" t="s">
        <v>244</v>
      </c>
      <c r="D365" s="73">
        <v>43007</v>
      </c>
      <c r="E365" s="801">
        <v>0</v>
      </c>
      <c r="F365" s="1050">
        <v>3</v>
      </c>
      <c r="G365" s="1041">
        <v>3</v>
      </c>
      <c r="H365" s="1036">
        <v>43007</v>
      </c>
      <c r="I365" s="73"/>
      <c r="J365" s="72"/>
      <c r="K365" s="73"/>
      <c r="L365" s="72"/>
      <c r="M365" s="73"/>
      <c r="N365" s="66"/>
      <c r="O365" s="66"/>
      <c r="P365" s="66"/>
      <c r="Q365" s="668">
        <v>3</v>
      </c>
      <c r="R365" s="997">
        <v>43007</v>
      </c>
    </row>
    <row r="366" spans="1:18" ht="15" customHeight="1" x14ac:dyDescent="0.3">
      <c r="A366" s="99">
        <v>699</v>
      </c>
      <c r="B366" s="535">
        <v>40787</v>
      </c>
      <c r="C366" s="527" t="s">
        <v>245</v>
      </c>
      <c r="D366" s="73">
        <v>40753</v>
      </c>
      <c r="E366" s="801">
        <v>0</v>
      </c>
      <c r="F366" s="1050">
        <v>1</v>
      </c>
      <c r="G366" s="1041">
        <v>1</v>
      </c>
      <c r="H366" s="1036">
        <v>40753</v>
      </c>
      <c r="I366" s="73"/>
      <c r="J366" s="72"/>
      <c r="K366" s="73"/>
      <c r="L366" s="72"/>
      <c r="M366" s="73"/>
      <c r="N366" s="66"/>
      <c r="O366" s="66"/>
      <c r="P366" s="66"/>
      <c r="Q366" s="668">
        <v>1</v>
      </c>
      <c r="R366" s="997">
        <v>40753</v>
      </c>
    </row>
    <row r="367" spans="1:18" ht="15" customHeight="1" x14ac:dyDescent="0.3">
      <c r="A367" s="99">
        <v>700</v>
      </c>
      <c r="B367" s="536"/>
      <c r="C367" s="531" t="s">
        <v>246</v>
      </c>
      <c r="D367" s="73">
        <v>44041</v>
      </c>
      <c r="E367" s="801">
        <v>0</v>
      </c>
      <c r="F367" s="1050">
        <v>5</v>
      </c>
      <c r="G367" s="1041">
        <v>5</v>
      </c>
      <c r="H367" s="1036">
        <v>44041</v>
      </c>
      <c r="I367" s="73"/>
      <c r="J367" s="72"/>
      <c r="K367" s="73"/>
      <c r="L367" s="72"/>
      <c r="M367" s="73"/>
      <c r="N367" s="66"/>
      <c r="O367" s="66"/>
      <c r="P367" s="66"/>
      <c r="Q367" s="668">
        <v>5</v>
      </c>
      <c r="R367" s="997">
        <v>44041</v>
      </c>
    </row>
    <row r="368" spans="1:18" ht="15" customHeight="1" x14ac:dyDescent="0.3">
      <c r="A368" s="99">
        <v>701</v>
      </c>
      <c r="B368" s="535">
        <v>40939</v>
      </c>
      <c r="C368" s="527" t="s">
        <v>177</v>
      </c>
      <c r="D368" s="76">
        <v>44292</v>
      </c>
      <c r="E368" s="801">
        <v>0</v>
      </c>
      <c r="F368" s="1050">
        <v>1</v>
      </c>
      <c r="G368" s="1041">
        <v>1</v>
      </c>
      <c r="H368" s="1037">
        <v>44292</v>
      </c>
      <c r="I368" s="73"/>
      <c r="J368" s="72"/>
      <c r="K368" s="73"/>
      <c r="L368" s="72"/>
      <c r="M368" s="73"/>
      <c r="N368" s="66"/>
      <c r="O368" s="66"/>
      <c r="P368" s="66"/>
      <c r="Q368" s="668">
        <v>1</v>
      </c>
      <c r="R368" s="998">
        <v>44292</v>
      </c>
    </row>
    <row r="369" spans="1:18" ht="15" customHeight="1" x14ac:dyDescent="0.3">
      <c r="A369" s="99">
        <v>702</v>
      </c>
      <c r="B369" s="535">
        <v>40939</v>
      </c>
      <c r="C369" s="527" t="s">
        <v>177</v>
      </c>
      <c r="D369" s="76">
        <v>45215</v>
      </c>
      <c r="E369" s="801">
        <v>1</v>
      </c>
      <c r="F369" s="1050">
        <v>2</v>
      </c>
      <c r="G369" s="1041">
        <v>1</v>
      </c>
      <c r="H369" s="1037">
        <v>44292</v>
      </c>
      <c r="I369" s="73"/>
      <c r="J369" s="72"/>
      <c r="K369" s="73"/>
      <c r="L369" s="72"/>
      <c r="M369" s="73"/>
      <c r="N369" s="66"/>
      <c r="O369" s="66"/>
      <c r="P369" s="66"/>
      <c r="Q369" s="668">
        <v>1</v>
      </c>
      <c r="R369" s="998">
        <v>44292</v>
      </c>
    </row>
    <row r="370" spans="1:18" ht="15" customHeight="1" x14ac:dyDescent="0.3">
      <c r="A370" s="99">
        <v>703</v>
      </c>
      <c r="B370" s="535">
        <v>40939</v>
      </c>
      <c r="C370" s="527" t="s">
        <v>177</v>
      </c>
      <c r="D370" s="73">
        <v>42739</v>
      </c>
      <c r="E370" s="801">
        <v>0</v>
      </c>
      <c r="F370" s="1050">
        <v>2</v>
      </c>
      <c r="G370" s="1041">
        <v>2</v>
      </c>
      <c r="H370" s="1036">
        <v>42739</v>
      </c>
      <c r="I370" s="73"/>
      <c r="J370" s="72"/>
      <c r="K370" s="73"/>
      <c r="L370" s="72"/>
      <c r="M370" s="73"/>
      <c r="N370" s="66"/>
      <c r="O370" s="66"/>
      <c r="P370" s="66"/>
      <c r="Q370" s="668">
        <v>2</v>
      </c>
      <c r="R370" s="997">
        <v>42739</v>
      </c>
    </row>
    <row r="371" spans="1:18" ht="15" customHeight="1" x14ac:dyDescent="0.3">
      <c r="A371" s="99">
        <v>704</v>
      </c>
      <c r="B371" s="535">
        <v>40939</v>
      </c>
      <c r="C371" s="527" t="s">
        <v>177</v>
      </c>
      <c r="D371" s="76">
        <v>45215</v>
      </c>
      <c r="E371" s="801">
        <v>1</v>
      </c>
      <c r="F371" s="1050">
        <v>1</v>
      </c>
      <c r="G371" s="1041">
        <v>0</v>
      </c>
      <c r="H371" s="1037" t="s">
        <v>16</v>
      </c>
      <c r="I371" s="73"/>
      <c r="J371" s="72"/>
      <c r="K371" s="73"/>
      <c r="L371" s="72"/>
      <c r="M371" s="73"/>
      <c r="N371" s="66"/>
      <c r="O371" s="66"/>
      <c r="P371" s="66"/>
      <c r="Q371" s="668">
        <v>0</v>
      </c>
      <c r="R371" s="998" t="s">
        <v>16</v>
      </c>
    </row>
    <row r="372" spans="1:18" ht="15" customHeight="1" x14ac:dyDescent="0.3">
      <c r="A372" s="97">
        <v>705</v>
      </c>
      <c r="B372" s="537">
        <v>40836</v>
      </c>
      <c r="C372" s="533" t="s">
        <v>247</v>
      </c>
      <c r="D372" s="81">
        <v>40583</v>
      </c>
      <c r="E372" s="801">
        <v>0</v>
      </c>
      <c r="F372" s="1053">
        <v>1</v>
      </c>
      <c r="G372" s="17">
        <v>1</v>
      </c>
      <c r="H372" s="1039">
        <v>40583</v>
      </c>
      <c r="I372" s="73"/>
      <c r="J372" s="72"/>
      <c r="K372" s="73"/>
      <c r="L372" s="72"/>
      <c r="M372" s="73"/>
      <c r="N372" s="66"/>
      <c r="O372" s="66"/>
      <c r="P372" s="66"/>
      <c r="Q372" s="22">
        <v>1</v>
      </c>
      <c r="R372" s="30">
        <v>40583</v>
      </c>
    </row>
    <row r="373" spans="1:18" ht="15" customHeight="1" x14ac:dyDescent="0.3">
      <c r="A373" s="96">
        <v>706</v>
      </c>
      <c r="B373" s="526">
        <v>41275</v>
      </c>
      <c r="C373" s="527" t="s">
        <v>248</v>
      </c>
      <c r="D373" s="73">
        <v>41792</v>
      </c>
      <c r="E373" s="801">
        <v>0</v>
      </c>
      <c r="F373" s="1050">
        <v>3</v>
      </c>
      <c r="G373" s="1041">
        <v>3</v>
      </c>
      <c r="H373" s="1036">
        <v>41792</v>
      </c>
      <c r="I373" s="76"/>
      <c r="J373" s="72"/>
      <c r="K373" s="76"/>
      <c r="L373" s="72"/>
      <c r="M373" s="76"/>
      <c r="N373" s="66"/>
      <c r="O373" s="66"/>
      <c r="P373" s="66"/>
      <c r="Q373" s="668">
        <v>3</v>
      </c>
      <c r="R373" s="997">
        <v>41792</v>
      </c>
    </row>
    <row r="374" spans="1:18" ht="15" customHeight="1" x14ac:dyDescent="0.3">
      <c r="A374" s="96">
        <v>707</v>
      </c>
      <c r="B374" s="526">
        <v>41275</v>
      </c>
      <c r="C374" s="527" t="s">
        <v>249</v>
      </c>
      <c r="D374" s="76" t="s">
        <v>16</v>
      </c>
      <c r="E374" s="801">
        <v>0</v>
      </c>
      <c r="F374" s="1050">
        <v>0</v>
      </c>
      <c r="G374" s="1041">
        <v>0</v>
      </c>
      <c r="H374" s="1037" t="s">
        <v>16</v>
      </c>
      <c r="I374" s="76"/>
      <c r="J374" s="72"/>
      <c r="K374" s="76"/>
      <c r="L374" s="72"/>
      <c r="M374" s="76"/>
      <c r="N374" s="66"/>
      <c r="O374" s="66"/>
      <c r="P374" s="66"/>
      <c r="Q374" s="668">
        <v>0</v>
      </c>
      <c r="R374" s="998" t="s">
        <v>16</v>
      </c>
    </row>
    <row r="375" spans="1:18" ht="15" customHeight="1" x14ac:dyDescent="0.3">
      <c r="A375" s="96">
        <v>708</v>
      </c>
      <c r="B375" s="526">
        <v>41275</v>
      </c>
      <c r="C375" s="527" t="s">
        <v>52</v>
      </c>
      <c r="D375" s="73">
        <v>44831</v>
      </c>
      <c r="E375" s="801">
        <v>0</v>
      </c>
      <c r="F375" s="1050">
        <v>3</v>
      </c>
      <c r="G375" s="1041">
        <v>3</v>
      </c>
      <c r="H375" s="1036">
        <v>44831</v>
      </c>
      <c r="I375" s="73"/>
      <c r="J375" s="72"/>
      <c r="K375" s="73"/>
      <c r="L375" s="72"/>
      <c r="M375" s="73"/>
      <c r="N375" s="66"/>
      <c r="O375" s="66"/>
      <c r="P375" s="66"/>
      <c r="Q375" s="668">
        <v>3</v>
      </c>
      <c r="R375" s="997">
        <v>44831</v>
      </c>
    </row>
    <row r="376" spans="1:18" ht="15" customHeight="1" x14ac:dyDescent="0.3">
      <c r="A376" s="96">
        <v>709</v>
      </c>
      <c r="B376" s="526">
        <v>41275</v>
      </c>
      <c r="C376" s="527" t="s">
        <v>52</v>
      </c>
      <c r="D376" s="76">
        <v>42971</v>
      </c>
      <c r="E376" s="801">
        <v>0</v>
      </c>
      <c r="F376" s="1050">
        <v>1</v>
      </c>
      <c r="G376" s="1041">
        <v>1</v>
      </c>
      <c r="H376" s="1037">
        <v>42971</v>
      </c>
      <c r="I376" s="76"/>
      <c r="J376" s="72"/>
      <c r="K376" s="76"/>
      <c r="L376" s="72"/>
      <c r="M376" s="76"/>
      <c r="N376" s="66"/>
      <c r="O376" s="66"/>
      <c r="P376" s="66"/>
      <c r="Q376" s="668">
        <v>1</v>
      </c>
      <c r="R376" s="998">
        <v>42971</v>
      </c>
    </row>
    <row r="377" spans="1:18" ht="15" customHeight="1" x14ac:dyDescent="0.3">
      <c r="A377" s="96">
        <v>710</v>
      </c>
      <c r="B377" s="526">
        <v>40780</v>
      </c>
      <c r="C377" s="527" t="s">
        <v>135</v>
      </c>
      <c r="D377" s="73">
        <v>45029</v>
      </c>
      <c r="E377" s="801">
        <v>1</v>
      </c>
      <c r="F377" s="1050">
        <v>14</v>
      </c>
      <c r="G377" s="1041">
        <v>13</v>
      </c>
      <c r="H377" s="1036">
        <v>45029</v>
      </c>
      <c r="I377" s="81"/>
      <c r="J377" s="80"/>
      <c r="K377" s="81"/>
      <c r="L377" s="80"/>
      <c r="M377" s="81"/>
      <c r="N377" s="66"/>
      <c r="O377" s="66"/>
      <c r="P377" s="66"/>
      <c r="Q377" s="668">
        <v>14</v>
      </c>
      <c r="R377" s="997">
        <v>45029</v>
      </c>
    </row>
    <row r="378" spans="1:18" ht="15" customHeight="1" x14ac:dyDescent="0.3">
      <c r="A378" s="96">
        <v>711</v>
      </c>
      <c r="B378" s="526">
        <v>40780</v>
      </c>
      <c r="C378" s="527" t="s">
        <v>133</v>
      </c>
      <c r="D378" s="73">
        <v>44229</v>
      </c>
      <c r="E378" s="801">
        <v>0</v>
      </c>
      <c r="F378" s="1050">
        <v>6</v>
      </c>
      <c r="G378" s="1041">
        <v>6</v>
      </c>
      <c r="H378" s="1036">
        <v>44229</v>
      </c>
      <c r="I378" s="73"/>
      <c r="J378" s="72"/>
      <c r="K378" s="73"/>
      <c r="L378" s="72"/>
      <c r="M378" s="73"/>
      <c r="N378" s="66"/>
      <c r="O378" s="66"/>
      <c r="P378" s="66"/>
      <c r="Q378" s="668">
        <v>6</v>
      </c>
      <c r="R378" s="997">
        <v>44229</v>
      </c>
    </row>
    <row r="379" spans="1:18" ht="15" customHeight="1" x14ac:dyDescent="0.3">
      <c r="A379" s="96">
        <v>712</v>
      </c>
      <c r="B379" s="526">
        <v>40780</v>
      </c>
      <c r="C379" s="527" t="s">
        <v>250</v>
      </c>
      <c r="D379" s="73">
        <v>45111</v>
      </c>
      <c r="E379" s="801">
        <v>1</v>
      </c>
      <c r="F379" s="1050">
        <v>14</v>
      </c>
      <c r="G379" s="1041">
        <v>13</v>
      </c>
      <c r="H379" s="1036">
        <v>44735</v>
      </c>
      <c r="I379" s="76"/>
      <c r="J379" s="72"/>
      <c r="K379" s="76"/>
      <c r="L379" s="72"/>
      <c r="M379" s="76"/>
      <c r="N379" s="66"/>
      <c r="O379" s="66"/>
      <c r="P379" s="66"/>
      <c r="Q379" s="668">
        <v>13</v>
      </c>
      <c r="R379" s="997">
        <v>44735</v>
      </c>
    </row>
    <row r="380" spans="1:18" ht="15" customHeight="1" x14ac:dyDescent="0.3">
      <c r="A380" s="96">
        <v>714</v>
      </c>
      <c r="B380" s="526">
        <v>42684</v>
      </c>
      <c r="C380" s="527" t="s">
        <v>251</v>
      </c>
      <c r="D380" s="73">
        <v>45364</v>
      </c>
      <c r="E380" s="801">
        <v>3</v>
      </c>
      <c r="F380" s="1050">
        <v>22</v>
      </c>
      <c r="G380" s="1041">
        <v>19</v>
      </c>
      <c r="H380" s="1036">
        <v>45021</v>
      </c>
      <c r="I380" s="73"/>
      <c r="J380" s="72"/>
      <c r="K380" s="73"/>
      <c r="L380" s="72"/>
      <c r="M380" s="73"/>
      <c r="N380" s="66"/>
      <c r="O380" s="66"/>
      <c r="P380" s="66"/>
      <c r="Q380" s="668">
        <v>20</v>
      </c>
      <c r="R380" s="997">
        <v>45021</v>
      </c>
    </row>
    <row r="381" spans="1:18" ht="15" customHeight="1" x14ac:dyDescent="0.3">
      <c r="A381" s="96">
        <v>715</v>
      </c>
      <c r="B381" s="526">
        <v>42684</v>
      </c>
      <c r="C381" s="527" t="s">
        <v>252</v>
      </c>
      <c r="D381" s="73">
        <v>45407</v>
      </c>
      <c r="E381" s="801">
        <v>11</v>
      </c>
      <c r="F381" s="1050">
        <v>43</v>
      </c>
      <c r="G381" s="1041">
        <v>32</v>
      </c>
      <c r="H381" s="1036">
        <v>45021</v>
      </c>
      <c r="I381" s="76"/>
      <c r="J381" s="72"/>
      <c r="K381" s="76"/>
      <c r="L381" s="72"/>
      <c r="M381" s="76"/>
      <c r="N381" s="66"/>
      <c r="O381" s="66"/>
      <c r="P381" s="66"/>
      <c r="Q381" s="668">
        <v>34</v>
      </c>
      <c r="R381" s="997">
        <v>45021</v>
      </c>
    </row>
    <row r="382" spans="1:18" ht="15" customHeight="1" x14ac:dyDescent="0.3">
      <c r="A382" s="96">
        <v>716</v>
      </c>
      <c r="B382" s="526">
        <v>44460</v>
      </c>
      <c r="C382" s="527" t="s">
        <v>253</v>
      </c>
      <c r="D382" s="76">
        <v>45397</v>
      </c>
      <c r="E382" s="801">
        <v>1</v>
      </c>
      <c r="F382" s="1050">
        <v>1</v>
      </c>
      <c r="G382" s="1041">
        <v>0</v>
      </c>
      <c r="H382" s="1037" t="s">
        <v>16</v>
      </c>
      <c r="I382" s="73"/>
      <c r="J382" s="72"/>
      <c r="K382" s="73"/>
      <c r="L382" s="72"/>
      <c r="M382" s="73"/>
      <c r="N382" s="66"/>
      <c r="O382" s="66"/>
      <c r="P382" s="66"/>
      <c r="Q382" s="668">
        <v>0</v>
      </c>
      <c r="R382" s="998" t="s">
        <v>16</v>
      </c>
    </row>
    <row r="383" spans="1:18" ht="15" customHeight="1" x14ac:dyDescent="0.3">
      <c r="A383" s="96">
        <v>717</v>
      </c>
      <c r="B383" s="526" t="s">
        <v>254</v>
      </c>
      <c r="C383" s="538" t="s">
        <v>255</v>
      </c>
      <c r="D383" s="76" t="s">
        <v>16</v>
      </c>
      <c r="E383" s="801">
        <v>0</v>
      </c>
      <c r="F383" s="1050">
        <v>0</v>
      </c>
      <c r="G383" s="1041">
        <v>0</v>
      </c>
      <c r="H383" s="1037" t="s">
        <v>16</v>
      </c>
      <c r="I383" s="73"/>
      <c r="J383" s="72"/>
      <c r="K383" s="73"/>
      <c r="L383" s="72"/>
      <c r="M383" s="73"/>
      <c r="N383" s="66"/>
      <c r="O383" s="66"/>
      <c r="P383" s="66"/>
      <c r="Q383" s="668">
        <v>0</v>
      </c>
      <c r="R383" s="998" t="s">
        <v>16</v>
      </c>
    </row>
    <row r="384" spans="1:18" ht="15" customHeight="1" x14ac:dyDescent="0.3">
      <c r="A384" s="97">
        <v>718</v>
      </c>
      <c r="B384" s="526" t="s">
        <v>254</v>
      </c>
      <c r="C384" s="538" t="s">
        <v>256</v>
      </c>
      <c r="D384" s="76" t="s">
        <v>16</v>
      </c>
      <c r="E384" s="801">
        <v>0</v>
      </c>
      <c r="F384" s="1050">
        <v>0</v>
      </c>
      <c r="G384" s="1041">
        <v>0</v>
      </c>
      <c r="H384" s="1037" t="s">
        <v>16</v>
      </c>
      <c r="I384" s="73"/>
      <c r="J384" s="72"/>
      <c r="K384" s="73"/>
      <c r="L384" s="72"/>
      <c r="M384" s="73"/>
      <c r="N384" s="66"/>
      <c r="O384" s="66"/>
      <c r="P384" s="66"/>
      <c r="Q384" s="668">
        <v>0</v>
      </c>
      <c r="R384" s="998" t="s">
        <v>16</v>
      </c>
    </row>
    <row r="385" spans="1:18" ht="15" customHeight="1" x14ac:dyDescent="0.3">
      <c r="A385" s="96">
        <v>719</v>
      </c>
      <c r="B385" s="526" t="s">
        <v>254</v>
      </c>
      <c r="C385" s="538" t="s">
        <v>257</v>
      </c>
      <c r="D385" s="76" t="s">
        <v>16</v>
      </c>
      <c r="E385" s="801">
        <v>0</v>
      </c>
      <c r="F385" s="1050">
        <v>0</v>
      </c>
      <c r="G385" s="1041">
        <v>0</v>
      </c>
      <c r="H385" s="1037" t="s">
        <v>16</v>
      </c>
      <c r="I385" s="73"/>
      <c r="J385" s="72"/>
      <c r="K385" s="73"/>
      <c r="L385" s="72"/>
      <c r="M385" s="73"/>
      <c r="N385" s="66"/>
      <c r="O385" s="66"/>
      <c r="P385" s="66"/>
      <c r="Q385" s="668">
        <v>0</v>
      </c>
      <c r="R385" s="998" t="s">
        <v>16</v>
      </c>
    </row>
    <row r="386" spans="1:18" ht="15" customHeight="1" x14ac:dyDescent="0.3">
      <c r="A386" s="97">
        <v>720</v>
      </c>
      <c r="B386" s="526" t="s">
        <v>254</v>
      </c>
      <c r="C386" s="538" t="s">
        <v>258</v>
      </c>
      <c r="D386" s="76">
        <v>44462</v>
      </c>
      <c r="E386" s="801">
        <v>0</v>
      </c>
      <c r="F386" s="1050">
        <v>1</v>
      </c>
      <c r="G386" s="1041">
        <v>1</v>
      </c>
      <c r="H386" s="1037">
        <v>44462</v>
      </c>
      <c r="I386" s="73"/>
      <c r="J386" s="72"/>
      <c r="K386" s="73"/>
      <c r="L386" s="72"/>
      <c r="M386" s="73"/>
      <c r="N386" s="66"/>
      <c r="O386" s="66"/>
      <c r="P386" s="66"/>
      <c r="Q386" s="668">
        <v>1</v>
      </c>
      <c r="R386" s="998">
        <v>44462</v>
      </c>
    </row>
    <row r="387" spans="1:18" ht="15" customHeight="1" x14ac:dyDescent="0.3">
      <c r="A387" s="96">
        <v>721</v>
      </c>
      <c r="B387" s="526" t="s">
        <v>254</v>
      </c>
      <c r="C387" s="538" t="s">
        <v>259</v>
      </c>
      <c r="D387" s="76">
        <v>45352</v>
      </c>
      <c r="E387" s="801">
        <v>2</v>
      </c>
      <c r="F387" s="1050">
        <v>2</v>
      </c>
      <c r="G387" s="1041">
        <v>0</v>
      </c>
      <c r="H387" s="1037" t="s">
        <v>16</v>
      </c>
      <c r="I387" s="76"/>
      <c r="J387" s="72"/>
      <c r="K387" s="76"/>
      <c r="L387" s="72"/>
      <c r="M387" s="76"/>
      <c r="N387" s="66"/>
      <c r="O387" s="66"/>
      <c r="P387" s="66"/>
      <c r="Q387" s="668">
        <v>0</v>
      </c>
      <c r="R387" s="998" t="s">
        <v>16</v>
      </c>
    </row>
    <row r="388" spans="1:18" ht="15" customHeight="1" x14ac:dyDescent="0.3">
      <c r="A388" s="97">
        <v>722</v>
      </c>
      <c r="B388" s="526" t="s">
        <v>254</v>
      </c>
      <c r="C388" s="538" t="s">
        <v>260</v>
      </c>
      <c r="D388" s="76" t="s">
        <v>16</v>
      </c>
      <c r="E388" s="801">
        <v>0</v>
      </c>
      <c r="F388" s="1050">
        <v>0</v>
      </c>
      <c r="G388" s="1041">
        <v>0</v>
      </c>
      <c r="H388" s="1037" t="s">
        <v>16</v>
      </c>
      <c r="I388" s="76"/>
      <c r="J388" s="72"/>
      <c r="K388" s="76"/>
      <c r="L388" s="72"/>
      <c r="M388" s="76"/>
      <c r="N388" s="66"/>
      <c r="O388" s="66"/>
      <c r="P388" s="66"/>
      <c r="Q388" s="668">
        <v>0</v>
      </c>
      <c r="R388" s="998" t="s">
        <v>16</v>
      </c>
    </row>
    <row r="389" spans="1:18" ht="15" customHeight="1" x14ac:dyDescent="0.3">
      <c r="A389" s="96">
        <v>723</v>
      </c>
      <c r="B389" s="526" t="s">
        <v>254</v>
      </c>
      <c r="C389" s="538" t="s">
        <v>261</v>
      </c>
      <c r="D389" s="76" t="s">
        <v>16</v>
      </c>
      <c r="E389" s="801">
        <v>0</v>
      </c>
      <c r="F389" s="1050">
        <v>0</v>
      </c>
      <c r="G389" s="1041">
        <v>0</v>
      </c>
      <c r="H389" s="1037" t="s">
        <v>16</v>
      </c>
      <c r="I389" s="76"/>
      <c r="J389" s="72"/>
      <c r="K389" s="76"/>
      <c r="L389" s="72"/>
      <c r="M389" s="76"/>
      <c r="N389" s="66"/>
      <c r="O389" s="66"/>
      <c r="P389" s="66"/>
      <c r="Q389" s="668">
        <v>0</v>
      </c>
      <c r="R389" s="998" t="s">
        <v>16</v>
      </c>
    </row>
    <row r="390" spans="1:18" ht="15" customHeight="1" x14ac:dyDescent="0.3">
      <c r="A390" s="97">
        <v>724</v>
      </c>
      <c r="B390" s="526" t="s">
        <v>254</v>
      </c>
      <c r="C390" s="538" t="s">
        <v>262</v>
      </c>
      <c r="D390" s="76" t="s">
        <v>16</v>
      </c>
      <c r="E390" s="801">
        <v>0</v>
      </c>
      <c r="F390" s="1050">
        <v>0</v>
      </c>
      <c r="G390" s="1041">
        <v>0</v>
      </c>
      <c r="H390" s="1037" t="s">
        <v>16</v>
      </c>
      <c r="I390" s="76"/>
      <c r="J390" s="72"/>
      <c r="K390" s="76"/>
      <c r="L390" s="72"/>
      <c r="M390" s="76"/>
      <c r="N390" s="66"/>
      <c r="O390" s="66"/>
      <c r="P390" s="66"/>
      <c r="Q390" s="668">
        <v>0</v>
      </c>
      <c r="R390" s="998" t="s">
        <v>16</v>
      </c>
    </row>
    <row r="391" spans="1:18" ht="15" customHeight="1" x14ac:dyDescent="0.3">
      <c r="A391" s="97">
        <v>725</v>
      </c>
      <c r="B391" s="526" t="s">
        <v>254</v>
      </c>
      <c r="C391" s="538" t="s">
        <v>263</v>
      </c>
      <c r="D391" s="76" t="s">
        <v>16</v>
      </c>
      <c r="E391" s="801">
        <v>0</v>
      </c>
      <c r="F391" s="1050">
        <v>0</v>
      </c>
      <c r="G391" s="1041">
        <v>0</v>
      </c>
      <c r="H391" s="1037" t="s">
        <v>16</v>
      </c>
      <c r="I391" s="76"/>
      <c r="J391" s="72"/>
      <c r="K391" s="76"/>
      <c r="L391" s="72"/>
      <c r="M391" s="76"/>
      <c r="N391" s="66"/>
      <c r="O391" s="66"/>
      <c r="P391" s="66"/>
      <c r="Q391" s="668">
        <v>0</v>
      </c>
      <c r="R391" s="998" t="s">
        <v>16</v>
      </c>
    </row>
    <row r="392" spans="1:18" ht="15" customHeight="1" x14ac:dyDescent="0.3">
      <c r="A392" s="97">
        <v>726</v>
      </c>
      <c r="B392" s="526" t="s">
        <v>254</v>
      </c>
      <c r="C392" s="538" t="s">
        <v>264</v>
      </c>
      <c r="D392" s="76" t="s">
        <v>16</v>
      </c>
      <c r="E392" s="801">
        <v>0</v>
      </c>
      <c r="F392" s="1050">
        <v>0</v>
      </c>
      <c r="G392" s="1041">
        <v>0</v>
      </c>
      <c r="H392" s="1037" t="s">
        <v>16</v>
      </c>
      <c r="I392" s="76"/>
      <c r="J392" s="72"/>
      <c r="K392" s="76"/>
      <c r="L392" s="72"/>
      <c r="M392" s="76"/>
      <c r="N392" s="66"/>
      <c r="O392" s="66"/>
      <c r="P392" s="66"/>
      <c r="Q392" s="668">
        <v>0</v>
      </c>
      <c r="R392" s="998" t="s">
        <v>16</v>
      </c>
    </row>
    <row r="393" spans="1:18" ht="15" customHeight="1" x14ac:dyDescent="0.3">
      <c r="A393" s="97">
        <v>727</v>
      </c>
      <c r="B393" s="526" t="s">
        <v>254</v>
      </c>
      <c r="C393" s="538" t="s">
        <v>265</v>
      </c>
      <c r="D393" s="76" t="s">
        <v>16</v>
      </c>
      <c r="E393" s="801">
        <v>0</v>
      </c>
      <c r="F393" s="1050">
        <v>0</v>
      </c>
      <c r="G393" s="1041">
        <v>0</v>
      </c>
      <c r="H393" s="1037" t="s">
        <v>16</v>
      </c>
      <c r="I393" s="76"/>
      <c r="J393" s="72"/>
      <c r="K393" s="76"/>
      <c r="L393" s="72"/>
      <c r="M393" s="76"/>
      <c r="N393" s="66"/>
      <c r="O393" s="66"/>
      <c r="P393" s="66"/>
      <c r="Q393" s="668">
        <v>0</v>
      </c>
      <c r="R393" s="998" t="s">
        <v>16</v>
      </c>
    </row>
    <row r="394" spans="1:18" ht="15" customHeight="1" x14ac:dyDescent="0.3">
      <c r="A394" s="97">
        <v>728</v>
      </c>
      <c r="B394" s="526" t="s">
        <v>254</v>
      </c>
      <c r="C394" s="538" t="s">
        <v>266</v>
      </c>
      <c r="D394" s="76" t="s">
        <v>16</v>
      </c>
      <c r="E394" s="801">
        <v>0</v>
      </c>
      <c r="F394" s="1050">
        <v>0</v>
      </c>
      <c r="G394" s="1041">
        <v>0</v>
      </c>
      <c r="H394" s="1037" t="s">
        <v>16</v>
      </c>
      <c r="I394" s="76"/>
      <c r="J394" s="72"/>
      <c r="K394" s="76"/>
      <c r="L394" s="72"/>
      <c r="M394" s="76"/>
      <c r="N394" s="66"/>
      <c r="O394" s="66"/>
      <c r="P394" s="66"/>
      <c r="Q394" s="668">
        <v>0</v>
      </c>
      <c r="R394" s="998" t="s">
        <v>16</v>
      </c>
    </row>
    <row r="395" spans="1:18" ht="15" customHeight="1" x14ac:dyDescent="0.3">
      <c r="A395" s="97">
        <v>729</v>
      </c>
      <c r="B395" s="526" t="s">
        <v>254</v>
      </c>
      <c r="C395" s="538" t="s">
        <v>267</v>
      </c>
      <c r="D395" s="76" t="s">
        <v>16</v>
      </c>
      <c r="E395" s="801">
        <v>0</v>
      </c>
      <c r="F395" s="1050">
        <v>0</v>
      </c>
      <c r="G395" s="1041">
        <v>0</v>
      </c>
      <c r="H395" s="1037" t="s">
        <v>16</v>
      </c>
      <c r="I395" s="76"/>
      <c r="J395" s="72"/>
      <c r="K395" s="76"/>
      <c r="L395" s="72"/>
      <c r="M395" s="76"/>
      <c r="N395" s="66"/>
      <c r="O395" s="66"/>
      <c r="P395" s="66"/>
      <c r="Q395" s="668">
        <v>0</v>
      </c>
      <c r="R395" s="998" t="s">
        <v>16</v>
      </c>
    </row>
    <row r="396" spans="1:18" ht="15" customHeight="1" x14ac:dyDescent="0.3">
      <c r="A396" s="97">
        <v>730</v>
      </c>
      <c r="B396" s="526" t="s">
        <v>254</v>
      </c>
      <c r="C396" s="538" t="s">
        <v>268</v>
      </c>
      <c r="D396" s="76">
        <v>44700</v>
      </c>
      <c r="E396" s="801">
        <v>0</v>
      </c>
      <c r="F396" s="1050">
        <v>1</v>
      </c>
      <c r="G396" s="1041">
        <v>1</v>
      </c>
      <c r="H396" s="1037">
        <v>44700</v>
      </c>
      <c r="I396" s="76"/>
      <c r="J396" s="72"/>
      <c r="K396" s="76"/>
      <c r="L396" s="72"/>
      <c r="M396" s="76"/>
      <c r="N396" s="66"/>
      <c r="O396" s="66"/>
      <c r="P396" s="66"/>
      <c r="Q396" s="668">
        <v>1</v>
      </c>
      <c r="R396" s="998">
        <v>44700</v>
      </c>
    </row>
    <row r="397" spans="1:18" ht="15" customHeight="1" x14ac:dyDescent="0.3">
      <c r="A397" s="97">
        <v>731</v>
      </c>
      <c r="B397" s="526" t="s">
        <v>254</v>
      </c>
      <c r="C397" s="538" t="s">
        <v>269</v>
      </c>
      <c r="D397" s="76">
        <v>44462</v>
      </c>
      <c r="E397" s="801">
        <v>0</v>
      </c>
      <c r="F397" s="1050">
        <v>1</v>
      </c>
      <c r="G397" s="1041">
        <v>1</v>
      </c>
      <c r="H397" s="1037">
        <v>44462</v>
      </c>
      <c r="I397" s="76"/>
      <c r="J397" s="72"/>
      <c r="K397" s="76"/>
      <c r="L397" s="72"/>
      <c r="M397" s="76"/>
      <c r="N397" s="66"/>
      <c r="O397" s="66"/>
      <c r="P397" s="66"/>
      <c r="Q397" s="668">
        <v>1</v>
      </c>
      <c r="R397" s="998">
        <v>44462</v>
      </c>
    </row>
    <row r="398" spans="1:18" ht="15" customHeight="1" x14ac:dyDescent="0.3">
      <c r="A398" s="97">
        <v>732</v>
      </c>
      <c r="B398" s="526" t="s">
        <v>254</v>
      </c>
      <c r="C398" s="538" t="s">
        <v>270</v>
      </c>
      <c r="D398" s="76">
        <v>44700</v>
      </c>
      <c r="E398" s="801">
        <v>0</v>
      </c>
      <c r="F398" s="1050">
        <v>2</v>
      </c>
      <c r="G398" s="1041">
        <v>2</v>
      </c>
      <c r="H398" s="1037">
        <v>44700</v>
      </c>
      <c r="I398" s="76"/>
      <c r="J398" s="72"/>
      <c r="K398" s="76"/>
      <c r="L398" s="72"/>
      <c r="M398" s="76"/>
      <c r="N398" s="66"/>
      <c r="O398" s="66"/>
      <c r="P398" s="66"/>
      <c r="Q398" s="668">
        <v>2</v>
      </c>
      <c r="R398" s="998">
        <v>44700</v>
      </c>
    </row>
    <row r="399" spans="1:18" ht="15" customHeight="1" x14ac:dyDescent="0.3">
      <c r="A399" s="97">
        <v>733</v>
      </c>
      <c r="B399" s="526" t="s">
        <v>254</v>
      </c>
      <c r="C399" s="538" t="s">
        <v>271</v>
      </c>
      <c r="D399" s="76">
        <v>44462</v>
      </c>
      <c r="E399" s="801">
        <v>0</v>
      </c>
      <c r="F399" s="1050">
        <v>1</v>
      </c>
      <c r="G399" s="1041">
        <v>1</v>
      </c>
      <c r="H399" s="1037">
        <v>44462</v>
      </c>
      <c r="I399" s="76"/>
      <c r="J399" s="72"/>
      <c r="K399" s="76"/>
      <c r="L399" s="72"/>
      <c r="M399" s="76"/>
      <c r="N399" s="66"/>
      <c r="O399" s="66"/>
      <c r="P399" s="66"/>
      <c r="Q399" s="668">
        <v>1</v>
      </c>
      <c r="R399" s="998">
        <v>44462</v>
      </c>
    </row>
    <row r="400" spans="1:18" ht="15" customHeight="1" x14ac:dyDescent="0.3">
      <c r="A400" s="97">
        <v>734</v>
      </c>
      <c r="B400" s="526" t="s">
        <v>254</v>
      </c>
      <c r="C400" s="538" t="s">
        <v>272</v>
      </c>
      <c r="D400" s="76">
        <v>44700</v>
      </c>
      <c r="E400" s="801">
        <v>0</v>
      </c>
      <c r="F400" s="1050">
        <v>1</v>
      </c>
      <c r="G400" s="1041">
        <v>1</v>
      </c>
      <c r="H400" s="1037">
        <v>44700</v>
      </c>
      <c r="I400" s="76"/>
      <c r="J400" s="72"/>
      <c r="K400" s="76"/>
      <c r="L400" s="72"/>
      <c r="M400" s="76"/>
      <c r="N400" s="66"/>
      <c r="O400" s="66"/>
      <c r="P400" s="66"/>
      <c r="Q400" s="668">
        <v>1</v>
      </c>
      <c r="R400" s="998">
        <v>44700</v>
      </c>
    </row>
    <row r="401" spans="1:18" ht="15" customHeight="1" x14ac:dyDescent="0.3">
      <c r="A401" s="97">
        <v>735</v>
      </c>
      <c r="B401" s="526" t="s">
        <v>254</v>
      </c>
      <c r="C401" s="538" t="s">
        <v>273</v>
      </c>
      <c r="D401" s="76">
        <v>44700</v>
      </c>
      <c r="E401" s="801">
        <v>0</v>
      </c>
      <c r="F401" s="1050">
        <v>2</v>
      </c>
      <c r="G401" s="1041">
        <v>2</v>
      </c>
      <c r="H401" s="1037">
        <v>44700</v>
      </c>
      <c r="I401" s="76"/>
      <c r="J401" s="72"/>
      <c r="K401" s="76"/>
      <c r="L401" s="72"/>
      <c r="M401" s="76"/>
      <c r="N401" s="66"/>
      <c r="O401" s="66"/>
      <c r="P401" s="66"/>
      <c r="Q401" s="668">
        <v>2</v>
      </c>
      <c r="R401" s="998">
        <v>44700</v>
      </c>
    </row>
    <row r="402" spans="1:18" ht="15" customHeight="1" x14ac:dyDescent="0.3">
      <c r="A402" s="97">
        <v>736</v>
      </c>
      <c r="B402" s="526" t="s">
        <v>254</v>
      </c>
      <c r="C402" s="538" t="s">
        <v>274</v>
      </c>
      <c r="D402" s="76">
        <v>45215</v>
      </c>
      <c r="E402" s="801">
        <v>1</v>
      </c>
      <c r="F402" s="1050">
        <v>2</v>
      </c>
      <c r="G402" s="1041">
        <v>1</v>
      </c>
      <c r="H402" s="1037">
        <v>44700</v>
      </c>
      <c r="I402" s="76"/>
      <c r="J402" s="72"/>
      <c r="K402" s="76"/>
      <c r="L402" s="72"/>
      <c r="M402" s="76"/>
      <c r="N402" s="66"/>
      <c r="O402" s="66"/>
      <c r="P402" s="66"/>
      <c r="Q402" s="668">
        <v>1</v>
      </c>
      <c r="R402" s="998">
        <v>44700</v>
      </c>
    </row>
    <row r="403" spans="1:18" ht="15" customHeight="1" x14ac:dyDescent="0.3">
      <c r="A403" s="97">
        <v>737</v>
      </c>
      <c r="B403" s="526" t="s">
        <v>254</v>
      </c>
      <c r="C403" s="538" t="s">
        <v>275</v>
      </c>
      <c r="D403" s="76" t="s">
        <v>16</v>
      </c>
      <c r="E403" s="801">
        <v>0</v>
      </c>
      <c r="F403" s="1050">
        <v>0</v>
      </c>
      <c r="G403" s="1041">
        <v>0</v>
      </c>
      <c r="H403" s="1037" t="s">
        <v>16</v>
      </c>
      <c r="I403" s="76"/>
      <c r="J403" s="72"/>
      <c r="K403" s="76"/>
      <c r="L403" s="72"/>
      <c r="M403" s="76"/>
      <c r="N403" s="66"/>
      <c r="O403" s="66"/>
      <c r="P403" s="66"/>
      <c r="Q403" s="668">
        <v>0</v>
      </c>
      <c r="R403" s="998" t="s">
        <v>16</v>
      </c>
    </row>
    <row r="404" spans="1:18" ht="15" customHeight="1" x14ac:dyDescent="0.3">
      <c r="A404" s="97">
        <v>738</v>
      </c>
      <c r="B404" s="535" t="s">
        <v>276</v>
      </c>
      <c r="C404" s="527" t="s">
        <v>277</v>
      </c>
      <c r="D404" s="76" t="s">
        <v>16</v>
      </c>
      <c r="E404" s="801">
        <v>0</v>
      </c>
      <c r="F404" s="1050">
        <v>0</v>
      </c>
      <c r="G404" s="1041">
        <v>0</v>
      </c>
      <c r="H404" s="1037" t="s">
        <v>16</v>
      </c>
      <c r="I404" s="76"/>
      <c r="J404" s="72"/>
      <c r="K404" s="76"/>
      <c r="L404" s="72"/>
      <c r="M404" s="76"/>
      <c r="N404" s="66"/>
      <c r="O404" s="66"/>
      <c r="P404" s="66"/>
      <c r="Q404" s="668">
        <v>0</v>
      </c>
      <c r="R404" s="998" t="s">
        <v>16</v>
      </c>
    </row>
    <row r="405" spans="1:18" ht="15" customHeight="1" x14ac:dyDescent="0.3">
      <c r="A405" s="97">
        <v>739</v>
      </c>
      <c r="B405" s="535" t="s">
        <v>276</v>
      </c>
      <c r="C405" s="527" t="s">
        <v>278</v>
      </c>
      <c r="D405" s="76" t="s">
        <v>16</v>
      </c>
      <c r="E405" s="801">
        <v>0</v>
      </c>
      <c r="F405" s="1050">
        <v>0</v>
      </c>
      <c r="G405" s="1041">
        <v>0</v>
      </c>
      <c r="H405" s="1037" t="s">
        <v>16</v>
      </c>
      <c r="I405" s="76"/>
      <c r="J405" s="72"/>
      <c r="K405" s="76"/>
      <c r="L405" s="72"/>
      <c r="M405" s="76"/>
      <c r="N405" s="66"/>
      <c r="O405" s="66"/>
      <c r="P405" s="66"/>
      <c r="Q405" s="668">
        <v>0</v>
      </c>
      <c r="R405" s="998" t="s">
        <v>16</v>
      </c>
    </row>
    <row r="406" spans="1:18" ht="15" customHeight="1" x14ac:dyDescent="0.3">
      <c r="A406" s="97">
        <v>740</v>
      </c>
      <c r="B406" s="535" t="s">
        <v>276</v>
      </c>
      <c r="C406" s="527" t="s">
        <v>279</v>
      </c>
      <c r="D406" s="76" t="s">
        <v>16</v>
      </c>
      <c r="E406" s="801">
        <v>0</v>
      </c>
      <c r="F406" s="1050">
        <v>0</v>
      </c>
      <c r="G406" s="1041">
        <v>0</v>
      </c>
      <c r="H406" s="1037" t="s">
        <v>16</v>
      </c>
      <c r="I406" s="76"/>
      <c r="J406" s="72"/>
      <c r="K406" s="76"/>
      <c r="L406" s="72"/>
      <c r="M406" s="76"/>
      <c r="N406" s="66"/>
      <c r="O406" s="66"/>
      <c r="P406" s="66"/>
      <c r="Q406" s="668">
        <v>0</v>
      </c>
      <c r="R406" s="998" t="s">
        <v>16</v>
      </c>
    </row>
    <row r="407" spans="1:18" ht="15" customHeight="1" x14ac:dyDescent="0.3">
      <c r="A407" s="97">
        <v>741</v>
      </c>
      <c r="B407" s="526" t="s">
        <v>280</v>
      </c>
      <c r="C407" s="539" t="s">
        <v>281</v>
      </c>
      <c r="D407" s="76" t="s">
        <v>16</v>
      </c>
      <c r="E407" s="801">
        <v>0</v>
      </c>
      <c r="F407" s="1050">
        <v>0</v>
      </c>
      <c r="G407" s="1041">
        <v>0</v>
      </c>
      <c r="H407" s="1037" t="s">
        <v>16</v>
      </c>
      <c r="I407" s="76"/>
      <c r="J407" s="72"/>
      <c r="K407" s="76"/>
      <c r="L407" s="72"/>
      <c r="M407" s="76"/>
      <c r="N407" s="66"/>
      <c r="O407" s="66"/>
      <c r="P407" s="66"/>
      <c r="Q407" s="668">
        <v>0</v>
      </c>
      <c r="R407" s="998" t="s">
        <v>16</v>
      </c>
    </row>
    <row r="408" spans="1:18" ht="15" customHeight="1" x14ac:dyDescent="0.3">
      <c r="A408" s="97">
        <v>742</v>
      </c>
      <c r="B408" s="526" t="s">
        <v>280</v>
      </c>
      <c r="C408" s="539" t="s">
        <v>282</v>
      </c>
      <c r="D408" s="76" t="s">
        <v>16</v>
      </c>
      <c r="E408" s="801">
        <v>0</v>
      </c>
      <c r="F408" s="1050">
        <v>0</v>
      </c>
      <c r="G408" s="1041">
        <v>0</v>
      </c>
      <c r="H408" s="1037" t="s">
        <v>16</v>
      </c>
      <c r="I408" s="76"/>
      <c r="J408" s="72"/>
      <c r="K408" s="76"/>
      <c r="L408" s="72"/>
      <c r="M408" s="76"/>
      <c r="N408" s="66"/>
      <c r="O408" s="66"/>
      <c r="P408" s="66"/>
      <c r="Q408" s="668">
        <v>0</v>
      </c>
      <c r="R408" s="998" t="s">
        <v>16</v>
      </c>
    </row>
    <row r="409" spans="1:18" ht="15" customHeight="1" x14ac:dyDescent="0.3">
      <c r="A409" s="97">
        <v>743</v>
      </c>
      <c r="B409" s="526" t="s">
        <v>280</v>
      </c>
      <c r="C409" s="539" t="s">
        <v>283</v>
      </c>
      <c r="D409" s="76">
        <v>44700</v>
      </c>
      <c r="E409" s="801">
        <v>0</v>
      </c>
      <c r="F409" s="1050">
        <v>1</v>
      </c>
      <c r="G409" s="1041">
        <v>1</v>
      </c>
      <c r="H409" s="1037">
        <v>44700</v>
      </c>
      <c r="I409" s="76"/>
      <c r="J409" s="72"/>
      <c r="K409" s="76"/>
      <c r="L409" s="72"/>
      <c r="M409" s="76"/>
      <c r="N409" s="66"/>
      <c r="O409" s="66"/>
      <c r="P409" s="66"/>
      <c r="Q409" s="668">
        <v>1</v>
      </c>
      <c r="R409" s="998">
        <v>44700</v>
      </c>
    </row>
    <row r="410" spans="1:18" ht="15" customHeight="1" x14ac:dyDescent="0.3">
      <c r="A410" s="97">
        <v>744</v>
      </c>
      <c r="B410" s="526" t="s">
        <v>280</v>
      </c>
      <c r="C410" s="539" t="s">
        <v>284</v>
      </c>
      <c r="D410" s="76">
        <v>45352</v>
      </c>
      <c r="E410" s="801">
        <v>1</v>
      </c>
      <c r="F410" s="1050">
        <v>2</v>
      </c>
      <c r="G410" s="1041">
        <v>1</v>
      </c>
      <c r="H410" s="1037">
        <v>44700</v>
      </c>
      <c r="I410" s="76"/>
      <c r="J410" s="72"/>
      <c r="K410" s="76"/>
      <c r="L410" s="72"/>
      <c r="M410" s="76"/>
      <c r="N410" s="66"/>
      <c r="O410" s="66"/>
      <c r="P410" s="66"/>
      <c r="Q410" s="668">
        <v>1</v>
      </c>
      <c r="R410" s="998">
        <v>44700</v>
      </c>
    </row>
    <row r="411" spans="1:18" ht="15" customHeight="1" x14ac:dyDescent="0.3">
      <c r="A411" s="97">
        <v>745</v>
      </c>
      <c r="B411" s="526" t="s">
        <v>280</v>
      </c>
      <c r="C411" s="539" t="s">
        <v>285</v>
      </c>
      <c r="D411" s="76">
        <v>44700</v>
      </c>
      <c r="E411" s="801">
        <v>0</v>
      </c>
      <c r="F411" s="1050">
        <v>1</v>
      </c>
      <c r="G411" s="1041">
        <v>1</v>
      </c>
      <c r="H411" s="1037">
        <v>44700</v>
      </c>
      <c r="I411" s="76"/>
      <c r="J411" s="72"/>
      <c r="K411" s="76"/>
      <c r="L411" s="72"/>
      <c r="M411" s="76"/>
      <c r="N411" s="66"/>
      <c r="O411" s="66"/>
      <c r="P411" s="66"/>
      <c r="Q411" s="668">
        <v>1</v>
      </c>
      <c r="R411" s="998">
        <v>44700</v>
      </c>
    </row>
    <row r="412" spans="1:18" ht="15" customHeight="1" thickBot="1" x14ac:dyDescent="0.35">
      <c r="A412" s="789">
        <v>746</v>
      </c>
      <c r="B412" s="790">
        <v>44930</v>
      </c>
      <c r="C412" s="791" t="s">
        <v>286</v>
      </c>
      <c r="D412" s="901">
        <v>45215</v>
      </c>
      <c r="E412" s="804">
        <v>1</v>
      </c>
      <c r="F412" s="1054">
        <v>1</v>
      </c>
      <c r="G412" s="1044">
        <v>0</v>
      </c>
      <c r="H412" s="1055" t="s">
        <v>16</v>
      </c>
      <c r="I412" s="76"/>
      <c r="J412" s="72"/>
      <c r="K412" s="76"/>
      <c r="L412" s="72"/>
      <c r="M412" s="76"/>
      <c r="N412" s="66"/>
      <c r="O412" s="66"/>
      <c r="P412" s="66"/>
      <c r="Q412" s="668">
        <v>0</v>
      </c>
      <c r="R412" s="1000" t="s">
        <v>16</v>
      </c>
    </row>
    <row r="413" spans="1:18" ht="15" customHeight="1" x14ac:dyDescent="0.3">
      <c r="A413" s="66"/>
      <c r="B413" s="66"/>
      <c r="C413" s="66"/>
      <c r="D413" s="67"/>
      <c r="E413" s="68"/>
      <c r="F413" s="72"/>
      <c r="G413" s="72"/>
      <c r="I413" s="76"/>
      <c r="J413" s="72"/>
      <c r="K413" s="76"/>
      <c r="L413" s="72"/>
      <c r="M413" s="76"/>
      <c r="N413" s="66"/>
      <c r="O413" s="66"/>
      <c r="P413" s="66"/>
      <c r="Q413" s="72"/>
    </row>
    <row r="414" spans="1:18" x14ac:dyDescent="0.3">
      <c r="A414" s="66"/>
      <c r="B414" s="66"/>
      <c r="C414" s="66"/>
      <c r="D414" s="67"/>
      <c r="E414" s="68"/>
      <c r="F414" s="65"/>
      <c r="G414" s="65"/>
      <c r="I414" s="66"/>
      <c r="J414" s="66"/>
      <c r="K414" s="66"/>
      <c r="L414" s="66"/>
      <c r="M414" s="66"/>
      <c r="N414" s="66"/>
      <c r="O414" s="66"/>
      <c r="P414" s="66"/>
      <c r="Q414" s="65"/>
    </row>
    <row r="415" spans="1:18" x14ac:dyDescent="0.3">
      <c r="A415" s="66"/>
      <c r="B415" s="66"/>
      <c r="C415" s="66"/>
      <c r="D415" s="67"/>
      <c r="E415" s="68"/>
      <c r="F415" s="65"/>
      <c r="G415" s="65"/>
      <c r="I415" s="66"/>
      <c r="J415" s="66"/>
      <c r="K415" s="66"/>
      <c r="L415" s="66"/>
      <c r="M415" s="66"/>
      <c r="N415" s="66"/>
      <c r="O415" s="66"/>
      <c r="P415" s="66"/>
      <c r="Q415" s="65"/>
    </row>
    <row r="416" spans="1:18" x14ac:dyDescent="0.3">
      <c r="A416" s="66"/>
      <c r="B416" s="66"/>
      <c r="C416" s="66"/>
      <c r="D416" s="67"/>
      <c r="E416" s="68"/>
      <c r="F416" s="65"/>
      <c r="G416" s="65"/>
      <c r="I416" s="66"/>
      <c r="J416" s="66"/>
      <c r="K416" s="66"/>
      <c r="L416" s="66"/>
      <c r="M416" s="66"/>
      <c r="N416" s="66"/>
      <c r="O416" s="66"/>
      <c r="P416" s="66"/>
      <c r="Q416" s="65"/>
    </row>
    <row r="417" spans="1:17" x14ac:dyDescent="0.3">
      <c r="A417" s="66"/>
      <c r="B417" s="66"/>
      <c r="C417" s="66"/>
      <c r="D417" s="67"/>
      <c r="E417" s="68"/>
      <c r="F417" s="65"/>
      <c r="G417" s="65"/>
      <c r="I417" s="66"/>
      <c r="J417" s="66"/>
      <c r="K417" s="66"/>
      <c r="L417" s="66"/>
      <c r="M417" s="66"/>
      <c r="N417" s="66"/>
      <c r="O417" s="66"/>
      <c r="P417" s="66"/>
      <c r="Q417" s="65"/>
    </row>
    <row r="418" spans="1:17" x14ac:dyDescent="0.3">
      <c r="A418" s="66"/>
      <c r="B418" s="66"/>
      <c r="C418" s="66"/>
      <c r="D418" s="67"/>
      <c r="E418" s="68"/>
      <c r="F418" s="65"/>
      <c r="G418" s="65"/>
      <c r="I418" s="66"/>
      <c r="J418" s="66"/>
      <c r="K418" s="66"/>
      <c r="L418" s="66"/>
      <c r="M418" s="66"/>
      <c r="N418" s="66"/>
      <c r="O418" s="66"/>
      <c r="P418" s="66"/>
      <c r="Q418" s="65"/>
    </row>
    <row r="419" spans="1:17" x14ac:dyDescent="0.3">
      <c r="A419" s="66"/>
      <c r="B419" s="66"/>
      <c r="C419" s="66"/>
      <c r="D419" s="67"/>
      <c r="E419" s="68"/>
      <c r="F419" s="65"/>
      <c r="G419" s="65"/>
      <c r="I419" s="66"/>
      <c r="J419" s="66"/>
      <c r="K419" s="66"/>
      <c r="L419" s="66"/>
      <c r="M419" s="66"/>
      <c r="N419" s="66"/>
      <c r="O419" s="66"/>
      <c r="P419" s="66"/>
      <c r="Q419" s="65"/>
    </row>
    <row r="420" spans="1:17" x14ac:dyDescent="0.3">
      <c r="A420" s="65"/>
      <c r="B420" s="66"/>
      <c r="C420" s="66"/>
      <c r="D420" s="67"/>
      <c r="E420" s="68"/>
      <c r="F420" s="65"/>
      <c r="G420" s="65"/>
      <c r="I420" s="66"/>
      <c r="J420" s="66"/>
      <c r="K420" s="66"/>
      <c r="L420" s="66"/>
      <c r="M420" s="66"/>
      <c r="N420" s="66"/>
      <c r="O420" s="66"/>
      <c r="P420" s="66"/>
      <c r="Q420" s="65"/>
    </row>
    <row r="421" spans="1:17" x14ac:dyDescent="0.3">
      <c r="A421" s="72"/>
      <c r="B421" s="73"/>
      <c r="C421" s="74"/>
      <c r="D421" s="64"/>
      <c r="E421" s="75"/>
      <c r="F421" s="72"/>
      <c r="G421" s="72"/>
      <c r="I421" s="73"/>
      <c r="J421" s="72"/>
      <c r="K421" s="73"/>
      <c r="L421" s="72"/>
      <c r="M421" s="73"/>
      <c r="N421" s="66"/>
      <c r="O421" s="66"/>
      <c r="P421" s="66"/>
      <c r="Q421" s="72"/>
    </row>
    <row r="422" spans="1:17" x14ac:dyDescent="0.3">
      <c r="A422" s="66"/>
      <c r="B422" s="66"/>
      <c r="C422" s="66"/>
      <c r="D422" s="67"/>
      <c r="E422" s="68"/>
      <c r="F422" s="65"/>
      <c r="G422" s="65"/>
      <c r="I422" s="66"/>
      <c r="J422" s="66"/>
      <c r="K422" s="66"/>
      <c r="L422" s="66"/>
      <c r="M422" s="66"/>
      <c r="N422" s="66"/>
      <c r="O422" s="66"/>
      <c r="P422" s="66"/>
      <c r="Q422" s="65"/>
    </row>
    <row r="423" spans="1:17" x14ac:dyDescent="0.3">
      <c r="A423" s="66"/>
      <c r="B423" s="66"/>
      <c r="C423" s="66"/>
      <c r="D423" s="67"/>
      <c r="E423" s="68"/>
      <c r="F423" s="65"/>
      <c r="G423" s="65"/>
      <c r="I423" s="66"/>
      <c r="J423" s="66"/>
      <c r="K423" s="66"/>
      <c r="L423" s="66"/>
      <c r="M423" s="66"/>
      <c r="N423" s="66"/>
      <c r="O423" s="66"/>
      <c r="P423" s="66"/>
      <c r="Q423" s="65"/>
    </row>
    <row r="424" spans="1:17" x14ac:dyDescent="0.3">
      <c r="A424" s="66"/>
      <c r="B424" s="66"/>
      <c r="C424" s="66"/>
      <c r="D424" s="67"/>
      <c r="E424" s="68"/>
      <c r="F424" s="65"/>
      <c r="G424" s="65"/>
      <c r="I424" s="66"/>
      <c r="J424" s="66"/>
      <c r="K424" s="66"/>
      <c r="L424" s="66"/>
      <c r="M424" s="66"/>
      <c r="N424" s="66"/>
      <c r="O424" s="66"/>
      <c r="P424" s="66"/>
      <c r="Q424" s="65"/>
    </row>
    <row r="425" spans="1:17" x14ac:dyDescent="0.3">
      <c r="A425" s="66"/>
      <c r="B425" s="66"/>
      <c r="C425" s="66"/>
      <c r="D425" s="67"/>
      <c r="E425" s="68"/>
      <c r="F425" s="65"/>
      <c r="G425" s="65"/>
      <c r="I425" s="66"/>
      <c r="J425" s="66"/>
      <c r="K425" s="66"/>
      <c r="L425" s="66"/>
      <c r="M425" s="66"/>
      <c r="N425" s="66"/>
      <c r="O425" s="66"/>
      <c r="P425" s="66"/>
      <c r="Q425" s="65"/>
    </row>
    <row r="426" spans="1:17" x14ac:dyDescent="0.3">
      <c r="A426" s="66"/>
      <c r="B426" s="66"/>
      <c r="C426" s="66"/>
      <c r="D426" s="67"/>
      <c r="E426" s="68"/>
      <c r="F426" s="65"/>
      <c r="G426" s="65"/>
      <c r="I426" s="66"/>
      <c r="J426" s="66"/>
      <c r="K426" s="66"/>
      <c r="L426" s="66"/>
      <c r="M426" s="66"/>
      <c r="N426" s="66"/>
      <c r="O426" s="66"/>
      <c r="P426" s="66"/>
      <c r="Q426" s="65"/>
    </row>
    <row r="427" spans="1:17" x14ac:dyDescent="0.3">
      <c r="A427" s="66"/>
      <c r="B427" s="66"/>
      <c r="C427" s="66"/>
      <c r="D427" s="67"/>
      <c r="E427" s="68"/>
      <c r="F427" s="65"/>
      <c r="G427" s="65"/>
      <c r="I427" s="66"/>
      <c r="J427" s="66"/>
      <c r="K427" s="66"/>
      <c r="L427" s="66"/>
      <c r="M427" s="66"/>
      <c r="N427" s="66"/>
      <c r="O427" s="66"/>
      <c r="P427" s="66"/>
      <c r="Q427" s="65"/>
    </row>
    <row r="428" spans="1:17" x14ac:dyDescent="0.3">
      <c r="A428" s="66"/>
      <c r="B428" s="66"/>
      <c r="C428" s="66"/>
      <c r="D428" s="67"/>
      <c r="E428" s="68"/>
      <c r="F428" s="65"/>
      <c r="G428" s="65"/>
      <c r="I428" s="66"/>
      <c r="J428" s="66"/>
      <c r="K428" s="66"/>
      <c r="L428" s="66"/>
      <c r="M428" s="66"/>
      <c r="N428" s="66"/>
      <c r="O428" s="66"/>
      <c r="P428" s="66"/>
      <c r="Q428" s="65"/>
    </row>
    <row r="429" spans="1:17" x14ac:dyDescent="0.3">
      <c r="A429" s="66"/>
      <c r="B429" s="66"/>
      <c r="C429" s="66"/>
      <c r="D429" s="67"/>
      <c r="E429" s="68"/>
      <c r="F429" s="65"/>
      <c r="G429" s="65"/>
      <c r="I429" s="66"/>
      <c r="J429" s="66"/>
      <c r="K429" s="66"/>
      <c r="L429" s="66"/>
      <c r="M429" s="66"/>
      <c r="N429" s="66"/>
      <c r="O429" s="66"/>
      <c r="P429" s="66"/>
      <c r="Q429" s="65"/>
    </row>
    <row r="430" spans="1:17" x14ac:dyDescent="0.3">
      <c r="A430" s="66"/>
      <c r="B430" s="66"/>
      <c r="C430" s="66"/>
      <c r="D430" s="67"/>
      <c r="E430" s="68"/>
      <c r="F430" s="65"/>
      <c r="G430" s="65"/>
      <c r="I430" s="66"/>
      <c r="J430" s="66"/>
      <c r="K430" s="66"/>
      <c r="L430" s="66"/>
      <c r="M430" s="66"/>
      <c r="N430" s="66"/>
      <c r="O430" s="66"/>
      <c r="P430" s="66"/>
      <c r="Q430" s="65"/>
    </row>
    <row r="431" spans="1:17" x14ac:dyDescent="0.3">
      <c r="A431" s="66"/>
      <c r="B431" s="66"/>
      <c r="C431" s="66"/>
      <c r="D431" s="67"/>
      <c r="E431" s="68"/>
      <c r="F431" s="65"/>
      <c r="G431" s="65"/>
      <c r="I431" s="66"/>
      <c r="J431" s="66"/>
      <c r="K431" s="66"/>
      <c r="L431" s="66"/>
      <c r="M431" s="66"/>
      <c r="N431" s="66"/>
      <c r="O431" s="66"/>
      <c r="P431" s="66"/>
      <c r="Q431" s="65"/>
    </row>
    <row r="432" spans="1:17" x14ac:dyDescent="0.3">
      <c r="A432" s="66"/>
      <c r="B432" s="66"/>
      <c r="C432" s="66"/>
      <c r="D432" s="67"/>
      <c r="E432" s="68"/>
      <c r="F432" s="65"/>
      <c r="G432" s="65"/>
      <c r="I432" s="66"/>
      <c r="J432" s="66"/>
      <c r="K432" s="66"/>
      <c r="L432" s="66"/>
      <c r="M432" s="66"/>
      <c r="N432" s="66"/>
      <c r="O432" s="66"/>
      <c r="P432" s="66"/>
      <c r="Q432" s="65"/>
    </row>
    <row r="433" spans="1:17" x14ac:dyDescent="0.3">
      <c r="A433" s="66"/>
      <c r="B433" s="66"/>
      <c r="C433" s="66"/>
      <c r="D433" s="67"/>
      <c r="E433" s="68"/>
      <c r="F433" s="65"/>
      <c r="G433" s="65"/>
      <c r="I433" s="66"/>
      <c r="J433" s="66"/>
      <c r="K433" s="66"/>
      <c r="L433" s="66"/>
      <c r="M433" s="66"/>
      <c r="N433" s="66"/>
      <c r="O433" s="66"/>
      <c r="P433" s="66"/>
      <c r="Q433" s="65"/>
    </row>
    <row r="434" spans="1:17" x14ac:dyDescent="0.3">
      <c r="A434" s="66"/>
      <c r="B434" s="66"/>
      <c r="C434" s="66"/>
      <c r="D434" s="67"/>
      <c r="E434" s="68"/>
      <c r="F434" s="65"/>
      <c r="G434" s="65"/>
      <c r="I434" s="66"/>
      <c r="J434" s="66"/>
      <c r="K434" s="66"/>
      <c r="L434" s="66"/>
      <c r="M434" s="66"/>
      <c r="N434" s="66"/>
      <c r="O434" s="66"/>
      <c r="P434" s="66"/>
      <c r="Q434" s="65"/>
    </row>
    <row r="435" spans="1:17" x14ac:dyDescent="0.3">
      <c r="A435" s="66"/>
      <c r="B435" s="66"/>
      <c r="C435" s="66"/>
      <c r="D435" s="67"/>
      <c r="E435" s="68"/>
      <c r="F435" s="65"/>
      <c r="G435" s="65"/>
      <c r="I435" s="66"/>
      <c r="J435" s="66"/>
      <c r="K435" s="66"/>
      <c r="L435" s="66"/>
      <c r="M435" s="66"/>
      <c r="N435" s="66"/>
      <c r="O435" s="66"/>
      <c r="P435" s="66"/>
      <c r="Q435" s="65"/>
    </row>
    <row r="436" spans="1:17" x14ac:dyDescent="0.3">
      <c r="A436" s="66"/>
      <c r="B436" s="66"/>
      <c r="C436" s="66"/>
      <c r="D436" s="67"/>
      <c r="E436" s="68"/>
      <c r="F436" s="65"/>
      <c r="G436" s="65"/>
      <c r="I436" s="66"/>
      <c r="J436" s="66"/>
      <c r="K436" s="66"/>
      <c r="L436" s="66"/>
      <c r="M436" s="66"/>
      <c r="N436" s="66"/>
      <c r="O436" s="66"/>
      <c r="P436" s="66"/>
      <c r="Q436" s="65"/>
    </row>
    <row r="437" spans="1:17" x14ac:dyDescent="0.3">
      <c r="A437" s="66"/>
      <c r="B437" s="66"/>
      <c r="C437" s="66"/>
      <c r="D437" s="67"/>
      <c r="E437" s="68"/>
      <c r="F437" s="65"/>
      <c r="G437" s="65"/>
      <c r="I437" s="66"/>
      <c r="J437" s="66"/>
      <c r="K437" s="66"/>
      <c r="L437" s="66"/>
      <c r="M437" s="66"/>
      <c r="N437" s="66"/>
      <c r="O437" s="66"/>
      <c r="P437" s="66"/>
      <c r="Q437" s="65"/>
    </row>
    <row r="438" spans="1:17" x14ac:dyDescent="0.3">
      <c r="A438" s="66"/>
      <c r="B438" s="66"/>
      <c r="C438" s="66"/>
      <c r="D438" s="67"/>
      <c r="E438" s="68"/>
      <c r="F438" s="65"/>
      <c r="G438" s="65"/>
      <c r="I438" s="66"/>
      <c r="J438" s="66"/>
      <c r="K438" s="66"/>
      <c r="L438" s="66"/>
      <c r="M438" s="66"/>
      <c r="N438" s="66"/>
      <c r="O438" s="66"/>
      <c r="P438" s="66"/>
      <c r="Q438" s="65"/>
    </row>
    <row r="439" spans="1:17" x14ac:dyDescent="0.3">
      <c r="A439" s="66"/>
      <c r="B439" s="66"/>
      <c r="C439" s="66"/>
      <c r="D439" s="67"/>
      <c r="E439" s="68"/>
      <c r="F439" s="65"/>
      <c r="G439" s="65"/>
      <c r="I439" s="66"/>
      <c r="J439" s="66"/>
      <c r="K439" s="66"/>
      <c r="L439" s="66"/>
      <c r="M439" s="66"/>
      <c r="N439" s="66"/>
      <c r="O439" s="66"/>
      <c r="P439" s="66"/>
      <c r="Q439" s="65"/>
    </row>
    <row r="440" spans="1:17" x14ac:dyDescent="0.3">
      <c r="A440" s="66"/>
      <c r="B440" s="66"/>
      <c r="C440" s="66"/>
      <c r="D440" s="67"/>
      <c r="E440" s="68"/>
      <c r="F440" s="65"/>
      <c r="G440" s="65"/>
      <c r="I440" s="66"/>
      <c r="J440" s="66"/>
      <c r="K440" s="66"/>
      <c r="L440" s="66"/>
      <c r="M440" s="66"/>
      <c r="N440" s="66"/>
      <c r="O440" s="66"/>
      <c r="P440" s="66"/>
      <c r="Q440" s="65"/>
    </row>
    <row r="441" spans="1:17" x14ac:dyDescent="0.3">
      <c r="A441" s="66"/>
      <c r="B441" s="66"/>
      <c r="C441" s="66"/>
      <c r="D441" s="67"/>
      <c r="E441" s="68"/>
      <c r="F441" s="65"/>
      <c r="G441" s="65"/>
      <c r="I441" s="66"/>
      <c r="J441" s="66"/>
      <c r="K441" s="66"/>
      <c r="L441" s="66"/>
      <c r="M441" s="66"/>
      <c r="N441" s="66"/>
      <c r="O441" s="66"/>
      <c r="P441" s="66"/>
      <c r="Q441" s="65"/>
    </row>
    <row r="442" spans="1:17" x14ac:dyDescent="0.3">
      <c r="A442" s="66"/>
      <c r="B442" s="66"/>
      <c r="C442" s="66"/>
      <c r="D442" s="67"/>
      <c r="E442" s="68"/>
      <c r="F442" s="65"/>
      <c r="G442" s="65"/>
      <c r="I442" s="66"/>
      <c r="J442" s="66"/>
      <c r="K442" s="66"/>
      <c r="L442" s="66"/>
      <c r="M442" s="66"/>
      <c r="N442" s="66"/>
      <c r="O442" s="66"/>
      <c r="P442" s="66"/>
      <c r="Q442" s="65"/>
    </row>
    <row r="443" spans="1:17" x14ac:dyDescent="0.3">
      <c r="A443" s="66"/>
      <c r="B443" s="66"/>
      <c r="C443" s="66"/>
      <c r="D443" s="67"/>
      <c r="E443" s="68"/>
      <c r="F443" s="65"/>
      <c r="G443" s="65"/>
      <c r="I443" s="66"/>
      <c r="J443" s="66"/>
      <c r="K443" s="66"/>
      <c r="L443" s="66"/>
      <c r="M443" s="66"/>
      <c r="N443" s="66"/>
      <c r="O443" s="66"/>
      <c r="P443" s="66"/>
      <c r="Q443" s="65"/>
    </row>
    <row r="444" spans="1:17" x14ac:dyDescent="0.3">
      <c r="A444" s="66"/>
      <c r="B444" s="66"/>
      <c r="C444" s="66"/>
      <c r="D444" s="67"/>
      <c r="E444" s="68"/>
      <c r="F444" s="65"/>
      <c r="G444" s="65"/>
      <c r="I444" s="66"/>
      <c r="J444" s="66"/>
      <c r="K444" s="66"/>
      <c r="L444" s="66"/>
      <c r="M444" s="66"/>
      <c r="N444" s="66"/>
      <c r="O444" s="66"/>
      <c r="P444" s="66"/>
      <c r="Q444" s="65"/>
    </row>
    <row r="445" spans="1:17" x14ac:dyDescent="0.3">
      <c r="A445" s="66"/>
      <c r="B445" s="66"/>
      <c r="C445" s="66"/>
      <c r="D445" s="67"/>
      <c r="E445" s="68"/>
      <c r="F445" s="65"/>
      <c r="G445" s="65"/>
      <c r="I445" s="66"/>
      <c r="J445" s="66"/>
      <c r="K445" s="66"/>
      <c r="L445" s="66"/>
      <c r="M445" s="66"/>
      <c r="N445" s="66"/>
      <c r="O445" s="66"/>
      <c r="P445" s="66"/>
      <c r="Q445" s="65"/>
    </row>
    <row r="446" spans="1:17" x14ac:dyDescent="0.3">
      <c r="A446" s="66"/>
      <c r="B446" s="66"/>
      <c r="C446" s="66"/>
      <c r="D446" s="67"/>
      <c r="E446" s="68"/>
      <c r="F446" s="65"/>
      <c r="G446" s="65"/>
      <c r="I446" s="66"/>
      <c r="J446" s="66"/>
      <c r="K446" s="66"/>
      <c r="L446" s="66"/>
      <c r="M446" s="66"/>
      <c r="N446" s="66"/>
      <c r="O446" s="66"/>
      <c r="P446" s="66"/>
      <c r="Q446" s="65"/>
    </row>
    <row r="447" spans="1:17" x14ac:dyDescent="0.3">
      <c r="A447" s="66"/>
      <c r="B447" s="66"/>
      <c r="C447" s="66"/>
      <c r="D447" s="67"/>
      <c r="E447" s="68"/>
      <c r="F447" s="65"/>
      <c r="G447" s="65"/>
      <c r="I447" s="66"/>
      <c r="J447" s="66"/>
      <c r="K447" s="66"/>
      <c r="L447" s="66"/>
      <c r="M447" s="66"/>
      <c r="N447" s="66"/>
      <c r="O447" s="66"/>
      <c r="P447" s="66"/>
      <c r="Q447" s="65"/>
    </row>
    <row r="448" spans="1:17" x14ac:dyDescent="0.3">
      <c r="A448" s="66"/>
      <c r="B448" s="66"/>
      <c r="C448" s="66"/>
      <c r="D448" s="67"/>
      <c r="E448" s="68"/>
      <c r="F448" s="65"/>
      <c r="G448" s="65"/>
      <c r="I448" s="66"/>
      <c r="J448" s="66"/>
      <c r="K448" s="66"/>
      <c r="L448" s="66"/>
      <c r="M448" s="66"/>
      <c r="N448" s="66"/>
      <c r="O448" s="66"/>
      <c r="P448" s="66"/>
      <c r="Q448" s="65"/>
    </row>
    <row r="449" spans="1:17" x14ac:dyDescent="0.3">
      <c r="A449" s="66"/>
      <c r="B449" s="66"/>
      <c r="C449" s="66"/>
      <c r="D449" s="67"/>
      <c r="E449" s="68"/>
      <c r="F449" s="65"/>
      <c r="G449" s="65"/>
      <c r="I449" s="66"/>
      <c r="J449" s="66"/>
      <c r="K449" s="66"/>
      <c r="L449" s="66"/>
      <c r="M449" s="66"/>
      <c r="N449" s="66"/>
      <c r="O449" s="66"/>
      <c r="P449" s="66"/>
      <c r="Q449" s="65"/>
    </row>
    <row r="450" spans="1:17" x14ac:dyDescent="0.3">
      <c r="A450" s="66"/>
      <c r="B450" s="66"/>
      <c r="C450" s="66"/>
      <c r="D450" s="67"/>
      <c r="E450" s="68"/>
      <c r="F450" s="65"/>
      <c r="G450" s="65"/>
      <c r="I450" s="66"/>
      <c r="J450" s="66"/>
      <c r="K450" s="66"/>
      <c r="L450" s="66"/>
      <c r="M450" s="66"/>
      <c r="N450" s="66"/>
      <c r="O450" s="66"/>
      <c r="P450" s="66"/>
      <c r="Q450" s="65"/>
    </row>
    <row r="451" spans="1:17" x14ac:dyDescent="0.3">
      <c r="A451" s="66"/>
      <c r="B451" s="66"/>
      <c r="C451" s="66"/>
      <c r="D451" s="67"/>
      <c r="E451" s="68"/>
      <c r="F451" s="65"/>
      <c r="G451" s="65"/>
      <c r="I451" s="66"/>
      <c r="J451" s="66"/>
      <c r="K451" s="66"/>
      <c r="L451" s="66"/>
      <c r="M451" s="66"/>
      <c r="N451" s="66"/>
      <c r="O451" s="66"/>
      <c r="P451" s="66"/>
      <c r="Q451" s="65"/>
    </row>
    <row r="452" spans="1:17" x14ac:dyDescent="0.3">
      <c r="A452" s="66"/>
      <c r="B452" s="66"/>
      <c r="C452" s="66"/>
      <c r="D452" s="67"/>
      <c r="E452" s="68"/>
      <c r="F452" s="65"/>
      <c r="G452" s="65"/>
      <c r="I452" s="66"/>
      <c r="J452" s="66"/>
      <c r="K452" s="66"/>
      <c r="L452" s="66"/>
      <c r="M452" s="66"/>
      <c r="N452" s="66"/>
      <c r="O452" s="66"/>
      <c r="P452" s="66"/>
      <c r="Q452" s="65"/>
    </row>
    <row r="453" spans="1:17" x14ac:dyDescent="0.3">
      <c r="A453" s="66"/>
      <c r="B453" s="66"/>
      <c r="C453" s="66"/>
      <c r="D453" s="67"/>
      <c r="E453" s="68"/>
      <c r="F453" s="65"/>
      <c r="G453" s="65"/>
      <c r="I453" s="66"/>
      <c r="J453" s="66"/>
      <c r="K453" s="66"/>
      <c r="L453" s="66"/>
      <c r="M453" s="66"/>
      <c r="N453" s="66"/>
      <c r="O453" s="66"/>
      <c r="P453" s="66"/>
      <c r="Q453" s="65"/>
    </row>
    <row r="454" spans="1:17" x14ac:dyDescent="0.3">
      <c r="A454" s="66"/>
      <c r="B454" s="66"/>
      <c r="C454" s="66"/>
      <c r="D454" s="67"/>
      <c r="E454" s="68"/>
      <c r="F454" s="65"/>
      <c r="G454" s="65"/>
      <c r="I454" s="66"/>
      <c r="J454" s="66"/>
      <c r="K454" s="66"/>
      <c r="L454" s="66"/>
      <c r="M454" s="66"/>
      <c r="N454" s="66"/>
      <c r="O454" s="66"/>
      <c r="P454" s="66"/>
      <c r="Q454" s="65"/>
    </row>
    <row r="455" spans="1:17" x14ac:dyDescent="0.3">
      <c r="A455" s="66"/>
      <c r="B455" s="66"/>
      <c r="C455" s="66"/>
      <c r="D455" s="67"/>
      <c r="E455" s="68"/>
      <c r="F455" s="65"/>
      <c r="G455" s="65"/>
      <c r="I455" s="66"/>
      <c r="J455" s="66"/>
      <c r="K455" s="66"/>
      <c r="L455" s="66"/>
      <c r="M455" s="66"/>
      <c r="N455" s="66"/>
      <c r="O455" s="66"/>
      <c r="P455" s="66"/>
      <c r="Q455" s="65"/>
    </row>
    <row r="456" spans="1:17" x14ac:dyDescent="0.3">
      <c r="A456" s="66"/>
      <c r="B456" s="66"/>
      <c r="C456" s="66"/>
      <c r="D456" s="67"/>
      <c r="E456" s="68"/>
      <c r="F456" s="65"/>
      <c r="G456" s="65"/>
      <c r="I456" s="66"/>
      <c r="J456" s="66"/>
      <c r="K456" s="66"/>
      <c r="L456" s="66"/>
      <c r="M456" s="66"/>
      <c r="N456" s="66"/>
      <c r="O456" s="66"/>
      <c r="P456" s="66"/>
      <c r="Q456" s="65"/>
    </row>
    <row r="457" spans="1:17" x14ac:dyDescent="0.3">
      <c r="A457" s="66"/>
      <c r="B457" s="66"/>
      <c r="C457" s="66"/>
      <c r="D457" s="67"/>
      <c r="E457" s="68"/>
      <c r="F457" s="65"/>
      <c r="G457" s="65"/>
      <c r="I457" s="66"/>
      <c r="J457" s="66"/>
      <c r="K457" s="66"/>
      <c r="L457" s="66"/>
      <c r="M457" s="66"/>
      <c r="N457" s="66"/>
      <c r="O457" s="66"/>
      <c r="P457" s="66"/>
      <c r="Q457" s="65"/>
    </row>
    <row r="458" spans="1:17" x14ac:dyDescent="0.3">
      <c r="A458" s="66"/>
      <c r="B458" s="66"/>
      <c r="C458" s="66"/>
      <c r="D458" s="67"/>
      <c r="E458" s="68"/>
      <c r="F458" s="65"/>
      <c r="G458" s="65"/>
      <c r="I458" s="66"/>
      <c r="J458" s="66"/>
      <c r="K458" s="66"/>
      <c r="L458" s="66"/>
      <c r="M458" s="66"/>
      <c r="N458" s="66"/>
      <c r="O458" s="66"/>
      <c r="P458" s="66"/>
      <c r="Q458" s="65"/>
    </row>
    <row r="459" spans="1:17" x14ac:dyDescent="0.3">
      <c r="A459" s="66"/>
      <c r="B459" s="66"/>
      <c r="C459" s="66"/>
      <c r="D459" s="67"/>
      <c r="E459" s="68"/>
      <c r="F459" s="65"/>
      <c r="G459" s="65"/>
      <c r="I459" s="66"/>
      <c r="J459" s="66"/>
      <c r="K459" s="66"/>
      <c r="L459" s="66"/>
      <c r="M459" s="66"/>
      <c r="N459" s="66"/>
      <c r="O459" s="66"/>
      <c r="P459" s="66"/>
      <c r="Q459" s="65"/>
    </row>
    <row r="460" spans="1:17" x14ac:dyDescent="0.3">
      <c r="A460" s="66"/>
      <c r="B460" s="66"/>
      <c r="C460" s="66"/>
      <c r="D460" s="67"/>
      <c r="E460" s="68"/>
      <c r="F460" s="65"/>
      <c r="G460" s="65"/>
      <c r="I460" s="66"/>
      <c r="J460" s="66"/>
      <c r="K460" s="66"/>
      <c r="L460" s="66"/>
      <c r="M460" s="66"/>
      <c r="N460" s="66"/>
      <c r="O460" s="66"/>
      <c r="P460" s="66"/>
      <c r="Q460" s="65"/>
    </row>
    <row r="461" spans="1:17" x14ac:dyDescent="0.3">
      <c r="A461" s="66"/>
      <c r="B461" s="66"/>
      <c r="C461" s="66"/>
      <c r="D461" s="67"/>
      <c r="E461" s="68"/>
      <c r="F461" s="65"/>
      <c r="G461" s="65"/>
      <c r="I461" s="66"/>
      <c r="J461" s="66"/>
      <c r="K461" s="66"/>
      <c r="L461" s="66"/>
      <c r="M461" s="66"/>
      <c r="N461" s="66"/>
      <c r="O461" s="66"/>
      <c r="P461" s="66"/>
      <c r="Q461" s="65"/>
    </row>
    <row r="462" spans="1:17" x14ac:dyDescent="0.3">
      <c r="A462" s="66"/>
      <c r="B462" s="66"/>
      <c r="C462" s="66"/>
      <c r="D462" s="67"/>
      <c r="E462" s="68"/>
      <c r="F462" s="65"/>
      <c r="G462" s="65"/>
      <c r="I462" s="66"/>
      <c r="J462" s="66"/>
      <c r="K462" s="66"/>
      <c r="L462" s="66"/>
      <c r="M462" s="66"/>
      <c r="N462" s="66"/>
      <c r="O462" s="66"/>
      <c r="P462" s="66"/>
      <c r="Q462" s="65"/>
    </row>
    <row r="463" spans="1:17" x14ac:dyDescent="0.3">
      <c r="A463" s="66"/>
      <c r="B463" s="66"/>
      <c r="C463" s="66"/>
      <c r="D463" s="67"/>
      <c r="E463" s="68"/>
      <c r="F463" s="65"/>
      <c r="G463" s="65"/>
      <c r="I463" s="66"/>
      <c r="J463" s="66"/>
      <c r="K463" s="66"/>
      <c r="L463" s="66"/>
      <c r="M463" s="66"/>
      <c r="N463" s="66"/>
      <c r="O463" s="66"/>
      <c r="P463" s="66"/>
      <c r="Q463" s="65"/>
    </row>
    <row r="464" spans="1:17" x14ac:dyDescent="0.3">
      <c r="A464" s="66"/>
      <c r="B464" s="66"/>
      <c r="C464" s="66"/>
      <c r="D464" s="67"/>
      <c r="E464" s="68"/>
      <c r="F464" s="65"/>
      <c r="G464" s="65"/>
      <c r="I464" s="66"/>
      <c r="J464" s="66"/>
      <c r="K464" s="66"/>
      <c r="L464" s="66"/>
      <c r="M464" s="66"/>
      <c r="N464" s="66"/>
      <c r="O464" s="66"/>
      <c r="P464" s="66"/>
      <c r="Q464" s="65"/>
    </row>
    <row r="465" spans="1:17" x14ac:dyDescent="0.3">
      <c r="A465" s="66"/>
      <c r="B465" s="66"/>
      <c r="C465" s="66"/>
      <c r="D465" s="67"/>
      <c r="E465" s="68"/>
      <c r="F465" s="65"/>
      <c r="G465" s="65"/>
      <c r="I465" s="66"/>
      <c r="J465" s="66"/>
      <c r="K465" s="66"/>
      <c r="L465" s="66"/>
      <c r="M465" s="66"/>
      <c r="N465" s="66"/>
      <c r="O465" s="66"/>
      <c r="P465" s="66"/>
      <c r="Q465" s="65"/>
    </row>
    <row r="466" spans="1:17" x14ac:dyDescent="0.3">
      <c r="A466" s="66"/>
      <c r="B466" s="66"/>
      <c r="C466" s="66"/>
      <c r="D466" s="67"/>
      <c r="E466" s="68"/>
      <c r="F466" s="65"/>
      <c r="G466" s="65"/>
      <c r="I466" s="66"/>
      <c r="J466" s="66"/>
      <c r="K466" s="66"/>
      <c r="L466" s="66"/>
      <c r="M466" s="66"/>
      <c r="N466" s="66"/>
      <c r="O466" s="66"/>
      <c r="P466" s="66"/>
      <c r="Q466" s="65"/>
    </row>
    <row r="467" spans="1:17" x14ac:dyDescent="0.3">
      <c r="A467" s="66"/>
      <c r="B467" s="66"/>
      <c r="C467" s="66"/>
      <c r="D467" s="67"/>
      <c r="E467" s="68"/>
      <c r="F467" s="65"/>
      <c r="G467" s="65"/>
      <c r="I467" s="66"/>
      <c r="J467" s="66"/>
      <c r="K467" s="66"/>
      <c r="L467" s="66"/>
      <c r="M467" s="66"/>
      <c r="N467" s="66"/>
      <c r="O467" s="66"/>
      <c r="P467" s="66"/>
      <c r="Q467" s="65"/>
    </row>
    <row r="468" spans="1:17" x14ac:dyDescent="0.3">
      <c r="A468" s="66"/>
      <c r="B468" s="66"/>
      <c r="C468" s="66"/>
      <c r="D468" s="67"/>
      <c r="E468" s="68"/>
      <c r="F468" s="65"/>
      <c r="G468" s="65"/>
      <c r="I468" s="66"/>
      <c r="J468" s="66"/>
      <c r="K468" s="66"/>
      <c r="L468" s="66"/>
      <c r="M468" s="66"/>
      <c r="N468" s="66"/>
      <c r="O468" s="66"/>
      <c r="P468" s="66"/>
      <c r="Q468" s="65"/>
    </row>
    <row r="469" spans="1:17" x14ac:dyDescent="0.3">
      <c r="A469" s="66"/>
      <c r="B469" s="66"/>
      <c r="C469" s="66"/>
      <c r="D469" s="67"/>
      <c r="E469" s="68"/>
      <c r="F469" s="65"/>
      <c r="G469" s="65"/>
      <c r="I469" s="66"/>
      <c r="J469" s="66"/>
      <c r="K469" s="66"/>
      <c r="L469" s="66"/>
      <c r="M469" s="66"/>
      <c r="N469" s="66"/>
      <c r="O469" s="66"/>
      <c r="P469" s="66"/>
      <c r="Q469" s="65"/>
    </row>
    <row r="470" spans="1:17" x14ac:dyDescent="0.3">
      <c r="A470" s="66"/>
      <c r="B470" s="66"/>
      <c r="C470" s="66"/>
      <c r="D470" s="67"/>
      <c r="E470" s="68"/>
      <c r="F470" s="65"/>
      <c r="G470" s="65"/>
      <c r="I470" s="66"/>
      <c r="J470" s="66"/>
      <c r="K470" s="66"/>
      <c r="L470" s="66"/>
      <c r="M470" s="66"/>
      <c r="N470" s="66"/>
      <c r="O470" s="66"/>
      <c r="P470" s="66"/>
      <c r="Q470" s="65"/>
    </row>
    <row r="471" spans="1:17" x14ac:dyDescent="0.3">
      <c r="A471" s="66"/>
      <c r="B471" s="66"/>
      <c r="C471" s="66"/>
      <c r="D471" s="67"/>
      <c r="E471" s="68"/>
      <c r="F471" s="65"/>
      <c r="G471" s="65"/>
      <c r="I471" s="66"/>
      <c r="J471" s="66"/>
      <c r="K471" s="66"/>
      <c r="L471" s="66"/>
      <c r="M471" s="66"/>
      <c r="N471" s="66"/>
      <c r="O471" s="66"/>
      <c r="P471" s="66"/>
      <c r="Q471" s="65"/>
    </row>
    <row r="472" spans="1:17" x14ac:dyDescent="0.3">
      <c r="A472" s="66"/>
      <c r="B472" s="66"/>
      <c r="C472" s="66"/>
      <c r="D472" s="67"/>
      <c r="E472" s="68"/>
      <c r="F472" s="65"/>
      <c r="G472" s="65"/>
      <c r="I472" s="66"/>
      <c r="J472" s="66"/>
      <c r="K472" s="66"/>
      <c r="L472" s="66"/>
      <c r="M472" s="66"/>
      <c r="N472" s="66"/>
      <c r="O472" s="66"/>
      <c r="P472" s="66"/>
      <c r="Q472" s="65"/>
    </row>
    <row r="473" spans="1:17" x14ac:dyDescent="0.3">
      <c r="A473" s="66"/>
      <c r="B473" s="66"/>
      <c r="C473" s="66"/>
      <c r="D473" s="67"/>
      <c r="E473" s="68"/>
      <c r="F473" s="65"/>
      <c r="G473" s="65"/>
      <c r="I473" s="66"/>
      <c r="J473" s="66"/>
      <c r="K473" s="66"/>
      <c r="L473" s="66"/>
      <c r="M473" s="66"/>
      <c r="N473" s="66"/>
      <c r="O473" s="66"/>
      <c r="P473" s="66"/>
      <c r="Q473" s="65"/>
    </row>
    <row r="474" spans="1:17" x14ac:dyDescent="0.3">
      <c r="A474" s="66"/>
      <c r="B474" s="66"/>
      <c r="C474" s="66"/>
      <c r="D474" s="67"/>
      <c r="E474" s="68"/>
      <c r="F474" s="65"/>
      <c r="G474" s="65"/>
      <c r="I474" s="66"/>
      <c r="J474" s="66"/>
      <c r="K474" s="66"/>
      <c r="L474" s="66"/>
      <c r="M474" s="66"/>
      <c r="N474" s="66"/>
      <c r="O474" s="66"/>
      <c r="P474" s="66"/>
      <c r="Q474" s="65"/>
    </row>
    <row r="475" spans="1:17" x14ac:dyDescent="0.3">
      <c r="A475" s="66"/>
      <c r="B475" s="66"/>
      <c r="C475" s="66"/>
      <c r="D475" s="67"/>
      <c r="E475" s="68"/>
      <c r="F475" s="65"/>
      <c r="G475" s="65"/>
      <c r="I475" s="66"/>
      <c r="J475" s="66"/>
      <c r="K475" s="66"/>
      <c r="L475" s="66"/>
      <c r="M475" s="66"/>
      <c r="N475" s="66"/>
      <c r="O475" s="66"/>
      <c r="P475" s="66"/>
      <c r="Q475" s="65"/>
    </row>
    <row r="476" spans="1:17" x14ac:dyDescent="0.3">
      <c r="A476" s="66"/>
      <c r="B476" s="66"/>
      <c r="C476" s="66"/>
      <c r="D476" s="67"/>
      <c r="E476" s="68"/>
      <c r="F476" s="65"/>
      <c r="G476" s="65"/>
      <c r="I476" s="66"/>
      <c r="J476" s="66"/>
      <c r="K476" s="66"/>
      <c r="L476" s="66"/>
      <c r="M476" s="66"/>
      <c r="N476" s="66"/>
      <c r="O476" s="66"/>
      <c r="P476" s="66"/>
      <c r="Q476" s="65"/>
    </row>
    <row r="477" spans="1:17" x14ac:dyDescent="0.3">
      <c r="A477" s="66"/>
      <c r="B477" s="66"/>
      <c r="C477" s="66"/>
      <c r="D477" s="67"/>
      <c r="E477" s="68"/>
      <c r="F477" s="65"/>
      <c r="G477" s="65"/>
      <c r="I477" s="66"/>
      <c r="J477" s="66"/>
      <c r="K477" s="66"/>
      <c r="L477" s="66"/>
      <c r="M477" s="66"/>
      <c r="N477" s="66"/>
      <c r="O477" s="66"/>
      <c r="P477" s="66"/>
      <c r="Q477" s="65"/>
    </row>
    <row r="478" spans="1:17" x14ac:dyDescent="0.3">
      <c r="A478" s="66"/>
      <c r="B478" s="66"/>
      <c r="C478" s="66"/>
      <c r="D478" s="67"/>
      <c r="E478" s="68"/>
      <c r="F478" s="65"/>
      <c r="G478" s="65"/>
      <c r="I478" s="66"/>
      <c r="J478" s="66"/>
      <c r="K478" s="66"/>
      <c r="L478" s="66"/>
      <c r="M478" s="66"/>
      <c r="N478" s="66"/>
      <c r="O478" s="66"/>
      <c r="P478" s="66"/>
      <c r="Q478" s="65"/>
    </row>
    <row r="479" spans="1:17" x14ac:dyDescent="0.3">
      <c r="A479" s="66"/>
      <c r="B479" s="66"/>
      <c r="C479" s="66"/>
      <c r="D479" s="67"/>
      <c r="E479" s="68"/>
      <c r="F479" s="65"/>
      <c r="G479" s="65"/>
      <c r="I479" s="66"/>
      <c r="J479" s="66"/>
      <c r="K479" s="66"/>
      <c r="L479" s="66"/>
      <c r="M479" s="66"/>
      <c r="N479" s="66"/>
      <c r="O479" s="66"/>
      <c r="P479" s="66"/>
      <c r="Q479" s="65"/>
    </row>
    <row r="480" spans="1:17" x14ac:dyDescent="0.3">
      <c r="A480" s="66"/>
      <c r="B480" s="66"/>
      <c r="C480" s="66"/>
      <c r="D480" s="67"/>
      <c r="E480" s="68"/>
      <c r="F480" s="65"/>
      <c r="G480" s="65"/>
      <c r="I480" s="66"/>
      <c r="J480" s="66"/>
      <c r="K480" s="66"/>
      <c r="L480" s="66"/>
      <c r="M480" s="66"/>
      <c r="N480" s="66"/>
      <c r="O480" s="66"/>
      <c r="P480" s="66"/>
      <c r="Q480" s="65"/>
    </row>
    <row r="481" spans="1:17" x14ac:dyDescent="0.3">
      <c r="A481" s="66"/>
      <c r="B481" s="66"/>
      <c r="C481" s="66"/>
      <c r="D481" s="67"/>
      <c r="E481" s="68"/>
      <c r="F481" s="65"/>
      <c r="G481" s="65"/>
      <c r="I481" s="66"/>
      <c r="J481" s="66"/>
      <c r="K481" s="66"/>
      <c r="L481" s="66"/>
      <c r="M481" s="66"/>
      <c r="N481" s="66"/>
      <c r="O481" s="66"/>
      <c r="P481" s="66"/>
      <c r="Q481" s="65"/>
    </row>
    <row r="482" spans="1:17" x14ac:dyDescent="0.3">
      <c r="A482" s="66"/>
      <c r="B482" s="66"/>
      <c r="C482" s="66"/>
      <c r="D482" s="67"/>
      <c r="E482" s="68"/>
      <c r="F482" s="65"/>
      <c r="G482" s="65"/>
      <c r="I482" s="66"/>
      <c r="J482" s="66"/>
      <c r="K482" s="66"/>
      <c r="L482" s="66"/>
      <c r="M482" s="66"/>
      <c r="N482" s="66"/>
      <c r="O482" s="66"/>
      <c r="P482" s="66"/>
      <c r="Q482" s="65"/>
    </row>
    <row r="483" spans="1:17" x14ac:dyDescent="0.3">
      <c r="A483" s="66"/>
      <c r="B483" s="66"/>
      <c r="C483" s="66"/>
      <c r="D483" s="67"/>
      <c r="E483" s="68"/>
      <c r="F483" s="65"/>
      <c r="G483" s="65"/>
      <c r="I483" s="66"/>
      <c r="J483" s="66"/>
      <c r="K483" s="66"/>
      <c r="L483" s="66"/>
      <c r="M483" s="66"/>
      <c r="N483" s="66"/>
      <c r="O483" s="66"/>
      <c r="P483" s="66"/>
      <c r="Q483" s="65"/>
    </row>
    <row r="484" spans="1:17" x14ac:dyDescent="0.3">
      <c r="A484" s="66"/>
      <c r="B484" s="66"/>
      <c r="C484" s="66"/>
      <c r="D484" s="67"/>
      <c r="E484" s="68"/>
      <c r="F484" s="65"/>
      <c r="G484" s="65"/>
      <c r="I484" s="66"/>
      <c r="J484" s="66"/>
      <c r="K484" s="66"/>
      <c r="L484" s="66"/>
      <c r="M484" s="66"/>
      <c r="N484" s="66"/>
      <c r="O484" s="66"/>
      <c r="P484" s="66"/>
      <c r="Q484" s="65"/>
    </row>
    <row r="485" spans="1:17" x14ac:dyDescent="0.3">
      <c r="A485" s="66"/>
      <c r="B485" s="66"/>
      <c r="C485" s="66"/>
      <c r="D485" s="67"/>
      <c r="E485" s="68"/>
      <c r="F485" s="65"/>
      <c r="G485" s="65"/>
      <c r="I485" s="66"/>
      <c r="J485" s="66"/>
      <c r="K485" s="66"/>
      <c r="L485" s="66"/>
      <c r="M485" s="66"/>
      <c r="N485" s="66"/>
      <c r="O485" s="66"/>
      <c r="P485" s="66"/>
      <c r="Q485" s="65"/>
    </row>
    <row r="486" spans="1:17" x14ac:dyDescent="0.3">
      <c r="A486" s="66"/>
      <c r="B486" s="66"/>
      <c r="C486" s="66"/>
      <c r="D486" s="67"/>
      <c r="E486" s="68"/>
      <c r="F486" s="65"/>
      <c r="G486" s="65"/>
      <c r="I486" s="66"/>
      <c r="J486" s="66"/>
      <c r="K486" s="66"/>
      <c r="L486" s="66"/>
      <c r="M486" s="66"/>
      <c r="N486" s="66"/>
      <c r="O486" s="66"/>
      <c r="P486" s="66"/>
      <c r="Q486" s="65"/>
    </row>
    <row r="487" spans="1:17" x14ac:dyDescent="0.3">
      <c r="A487" s="66"/>
      <c r="B487" s="66"/>
      <c r="C487" s="66"/>
      <c r="D487" s="67"/>
      <c r="E487" s="68"/>
      <c r="F487" s="65"/>
      <c r="G487" s="65"/>
      <c r="I487" s="66"/>
      <c r="J487" s="66"/>
      <c r="K487" s="66"/>
      <c r="L487" s="66"/>
      <c r="M487" s="66"/>
      <c r="N487" s="66"/>
      <c r="O487" s="66"/>
      <c r="P487" s="66"/>
      <c r="Q487" s="65"/>
    </row>
    <row r="488" spans="1:17" x14ac:dyDescent="0.3">
      <c r="A488" s="66"/>
      <c r="B488" s="66"/>
      <c r="C488" s="66"/>
      <c r="D488" s="67"/>
      <c r="E488" s="68"/>
      <c r="F488" s="65"/>
      <c r="G488" s="65"/>
      <c r="I488" s="66"/>
      <c r="J488" s="66"/>
      <c r="K488" s="66"/>
      <c r="L488" s="66"/>
      <c r="M488" s="66"/>
      <c r="N488" s="66"/>
      <c r="O488" s="66"/>
      <c r="P488" s="66"/>
      <c r="Q488" s="65"/>
    </row>
    <row r="489" spans="1:17" x14ac:dyDescent="0.3">
      <c r="A489" s="66"/>
      <c r="B489" s="66"/>
      <c r="C489" s="66"/>
      <c r="D489" s="67"/>
      <c r="E489" s="68"/>
      <c r="F489" s="65"/>
      <c r="G489" s="65"/>
      <c r="I489" s="66"/>
      <c r="J489" s="66"/>
      <c r="K489" s="66"/>
      <c r="L489" s="66"/>
      <c r="M489" s="66"/>
      <c r="N489" s="66"/>
      <c r="O489" s="66"/>
      <c r="P489" s="66"/>
      <c r="Q489" s="65"/>
    </row>
    <row r="490" spans="1:17" x14ac:dyDescent="0.3">
      <c r="A490" s="66"/>
      <c r="B490" s="66"/>
      <c r="C490" s="66"/>
      <c r="D490" s="67"/>
      <c r="E490" s="68"/>
      <c r="F490" s="65"/>
      <c r="G490" s="65"/>
      <c r="I490" s="66"/>
      <c r="J490" s="66"/>
      <c r="K490" s="66"/>
      <c r="L490" s="66"/>
      <c r="M490" s="66"/>
      <c r="N490" s="66"/>
      <c r="O490" s="66"/>
      <c r="P490" s="66"/>
      <c r="Q490" s="65"/>
    </row>
    <row r="491" spans="1:17" x14ac:dyDescent="0.3">
      <c r="A491" s="66"/>
      <c r="B491" s="66"/>
      <c r="C491" s="66"/>
      <c r="D491" s="67"/>
      <c r="E491" s="68"/>
      <c r="F491" s="65"/>
      <c r="G491" s="65"/>
      <c r="I491" s="66"/>
      <c r="J491" s="66"/>
      <c r="K491" s="66"/>
      <c r="L491" s="66"/>
      <c r="M491" s="66"/>
      <c r="N491" s="66"/>
      <c r="O491" s="66"/>
      <c r="P491" s="66"/>
      <c r="Q491" s="65"/>
    </row>
    <row r="492" spans="1:17" x14ac:dyDescent="0.3">
      <c r="A492" s="66"/>
      <c r="B492" s="66"/>
      <c r="C492" s="66"/>
      <c r="D492" s="67"/>
      <c r="E492" s="68"/>
      <c r="F492" s="65"/>
      <c r="G492" s="65"/>
      <c r="I492" s="66"/>
      <c r="J492" s="66"/>
      <c r="K492" s="66"/>
      <c r="L492" s="66"/>
      <c r="M492" s="66"/>
      <c r="N492" s="66"/>
      <c r="O492" s="66"/>
      <c r="P492" s="66"/>
      <c r="Q492" s="65"/>
    </row>
    <row r="493" spans="1:17" x14ac:dyDescent="0.3">
      <c r="A493" s="66"/>
      <c r="B493" s="66"/>
      <c r="C493" s="66"/>
      <c r="D493" s="67"/>
      <c r="E493" s="68"/>
      <c r="F493" s="65"/>
      <c r="G493" s="65"/>
      <c r="I493" s="66"/>
      <c r="J493" s="66"/>
      <c r="K493" s="66"/>
      <c r="L493" s="66"/>
      <c r="M493" s="66"/>
      <c r="N493" s="66"/>
      <c r="O493" s="66"/>
      <c r="P493" s="66"/>
      <c r="Q493" s="65"/>
    </row>
    <row r="494" spans="1:17" x14ac:dyDescent="0.3">
      <c r="A494" s="66"/>
      <c r="B494" s="66"/>
      <c r="C494" s="66"/>
      <c r="D494" s="67"/>
      <c r="E494" s="68"/>
      <c r="F494" s="65"/>
      <c r="G494" s="65"/>
      <c r="I494" s="66"/>
      <c r="J494" s="66"/>
      <c r="K494" s="66"/>
      <c r="L494" s="66"/>
      <c r="M494" s="66"/>
      <c r="N494" s="66"/>
      <c r="O494" s="66"/>
      <c r="P494" s="66"/>
      <c r="Q494" s="65"/>
    </row>
    <row r="495" spans="1:17" x14ac:dyDescent="0.3">
      <c r="A495" s="66"/>
      <c r="B495" s="66"/>
      <c r="C495" s="66"/>
      <c r="D495" s="67"/>
      <c r="E495" s="68"/>
      <c r="F495" s="65"/>
      <c r="G495" s="65"/>
      <c r="I495" s="66"/>
      <c r="J495" s="66"/>
      <c r="K495" s="66"/>
      <c r="L495" s="66"/>
      <c r="M495" s="66"/>
      <c r="N495" s="66"/>
      <c r="O495" s="66"/>
      <c r="P495" s="66"/>
      <c r="Q495" s="65"/>
    </row>
    <row r="496" spans="1:17" x14ac:dyDescent="0.3">
      <c r="A496" s="66"/>
      <c r="B496" s="66"/>
      <c r="C496" s="66"/>
      <c r="D496" s="67"/>
      <c r="E496" s="68"/>
      <c r="F496" s="65"/>
      <c r="G496" s="65"/>
      <c r="I496" s="66"/>
      <c r="J496" s="66"/>
      <c r="K496" s="66"/>
      <c r="L496" s="66"/>
      <c r="M496" s="66"/>
      <c r="N496" s="66"/>
      <c r="O496" s="66"/>
      <c r="P496" s="66"/>
      <c r="Q496" s="65"/>
    </row>
    <row r="497" spans="1:17" x14ac:dyDescent="0.3">
      <c r="A497" s="66"/>
      <c r="B497" s="66"/>
      <c r="C497" s="66"/>
      <c r="D497" s="67"/>
      <c r="E497" s="68"/>
      <c r="F497" s="65"/>
      <c r="G497" s="65"/>
      <c r="I497" s="66"/>
      <c r="J497" s="66"/>
      <c r="K497" s="66"/>
      <c r="L497" s="66"/>
      <c r="M497" s="66"/>
      <c r="N497" s="66"/>
      <c r="O497" s="66"/>
      <c r="P497" s="66"/>
      <c r="Q497" s="65"/>
    </row>
    <row r="498" spans="1:17" x14ac:dyDescent="0.3">
      <c r="A498" s="66"/>
      <c r="B498" s="66"/>
      <c r="C498" s="66"/>
      <c r="D498" s="67"/>
      <c r="E498" s="68"/>
      <c r="F498" s="65"/>
      <c r="G498" s="65"/>
      <c r="I498" s="66"/>
      <c r="J498" s="66"/>
      <c r="K498" s="66"/>
      <c r="L498" s="66"/>
      <c r="M498" s="66"/>
      <c r="N498" s="66"/>
      <c r="O498" s="66"/>
      <c r="P498" s="66"/>
      <c r="Q498" s="65"/>
    </row>
    <row r="499" spans="1:17" x14ac:dyDescent="0.3">
      <c r="A499" s="66"/>
      <c r="B499" s="66"/>
      <c r="C499" s="66"/>
      <c r="D499" s="67"/>
      <c r="E499" s="68"/>
      <c r="F499" s="65"/>
      <c r="G499" s="65"/>
      <c r="I499" s="66"/>
      <c r="J499" s="66"/>
      <c r="K499" s="66"/>
      <c r="L499" s="66"/>
      <c r="M499" s="66"/>
      <c r="N499" s="66"/>
      <c r="O499" s="66"/>
      <c r="P499" s="66"/>
      <c r="Q499" s="65"/>
    </row>
    <row r="500" spans="1:17" x14ac:dyDescent="0.3">
      <c r="A500" s="66"/>
      <c r="B500" s="66"/>
      <c r="C500" s="66"/>
      <c r="D500" s="67"/>
      <c r="E500" s="68"/>
      <c r="F500" s="65"/>
      <c r="G500" s="65"/>
      <c r="I500" s="66"/>
      <c r="J500" s="66"/>
      <c r="K500" s="66"/>
      <c r="L500" s="66"/>
      <c r="M500" s="66"/>
      <c r="N500" s="66"/>
      <c r="O500" s="66"/>
      <c r="P500" s="66"/>
      <c r="Q500" s="65"/>
    </row>
    <row r="501" spans="1:17" x14ac:dyDescent="0.3">
      <c r="A501" s="66"/>
      <c r="B501" s="66"/>
      <c r="C501" s="66"/>
      <c r="D501" s="67"/>
      <c r="E501" s="68"/>
      <c r="F501" s="65"/>
      <c r="G501" s="65"/>
      <c r="I501" s="66"/>
      <c r="J501" s="66"/>
      <c r="K501" s="66"/>
      <c r="L501" s="66"/>
      <c r="M501" s="66"/>
      <c r="N501" s="66"/>
      <c r="O501" s="66"/>
      <c r="P501" s="66"/>
      <c r="Q501" s="65"/>
    </row>
    <row r="502" spans="1:17" x14ac:dyDescent="0.3">
      <c r="A502" s="66"/>
      <c r="B502" s="66"/>
      <c r="C502" s="66"/>
      <c r="D502" s="67"/>
      <c r="E502" s="68"/>
      <c r="F502" s="65"/>
      <c r="G502" s="65"/>
      <c r="I502" s="66"/>
      <c r="J502" s="66"/>
      <c r="K502" s="66"/>
      <c r="L502" s="66"/>
      <c r="M502" s="66"/>
      <c r="N502" s="66"/>
      <c r="O502" s="66"/>
      <c r="P502" s="66"/>
      <c r="Q502" s="65"/>
    </row>
    <row r="503" spans="1:17" x14ac:dyDescent="0.3">
      <c r="A503" s="66"/>
      <c r="B503" s="66"/>
      <c r="C503" s="66"/>
      <c r="D503" s="67"/>
      <c r="E503" s="68"/>
      <c r="F503" s="65"/>
      <c r="G503" s="65"/>
      <c r="I503" s="66"/>
      <c r="J503" s="66"/>
      <c r="K503" s="66"/>
      <c r="L503" s="66"/>
      <c r="M503" s="66"/>
      <c r="N503" s="66"/>
      <c r="O503" s="66"/>
      <c r="P503" s="66"/>
      <c r="Q503" s="65"/>
    </row>
    <row r="504" spans="1:17" x14ac:dyDescent="0.3">
      <c r="A504" s="66"/>
      <c r="B504" s="66"/>
      <c r="C504" s="66"/>
      <c r="D504" s="67"/>
      <c r="E504" s="68"/>
      <c r="F504" s="65"/>
      <c r="G504" s="65"/>
      <c r="I504" s="66"/>
      <c r="J504" s="66"/>
      <c r="K504" s="66"/>
      <c r="L504" s="66"/>
      <c r="M504" s="66"/>
      <c r="N504" s="66"/>
      <c r="O504" s="66"/>
      <c r="P504" s="66"/>
      <c r="Q504" s="65"/>
    </row>
    <row r="505" spans="1:17" x14ac:dyDescent="0.3">
      <c r="A505" s="66"/>
      <c r="B505" s="66"/>
      <c r="C505" s="66"/>
      <c r="D505" s="67"/>
      <c r="E505" s="68"/>
      <c r="F505" s="65"/>
      <c r="G505" s="65"/>
      <c r="I505" s="66"/>
      <c r="J505" s="66"/>
      <c r="K505" s="66"/>
      <c r="L505" s="66"/>
      <c r="M505" s="66"/>
      <c r="N505" s="66"/>
      <c r="O505" s="66"/>
      <c r="P505" s="66"/>
      <c r="Q505" s="65"/>
    </row>
    <row r="506" spans="1:17" x14ac:dyDescent="0.3">
      <c r="A506" s="66"/>
      <c r="B506" s="66"/>
      <c r="C506" s="66"/>
      <c r="D506" s="67"/>
      <c r="E506" s="68"/>
      <c r="F506" s="65"/>
      <c r="G506" s="65"/>
      <c r="I506" s="66"/>
      <c r="J506" s="66"/>
      <c r="K506" s="66"/>
      <c r="L506" s="66"/>
      <c r="M506" s="66"/>
      <c r="N506" s="66"/>
      <c r="O506" s="66"/>
      <c r="P506" s="66"/>
      <c r="Q506" s="65"/>
    </row>
    <row r="507" spans="1:17" x14ac:dyDescent="0.3">
      <c r="A507" s="66"/>
      <c r="B507" s="66"/>
      <c r="C507" s="66"/>
      <c r="D507" s="67"/>
      <c r="E507" s="68"/>
      <c r="F507" s="65"/>
      <c r="G507" s="65"/>
      <c r="I507" s="66"/>
      <c r="J507" s="66"/>
      <c r="K507" s="66"/>
      <c r="L507" s="66"/>
      <c r="M507" s="66"/>
      <c r="N507" s="66"/>
      <c r="O507" s="66"/>
      <c r="P507" s="66"/>
      <c r="Q507" s="65"/>
    </row>
    <row r="508" spans="1:17" x14ac:dyDescent="0.3">
      <c r="A508" s="66"/>
      <c r="B508" s="66"/>
      <c r="C508" s="66"/>
      <c r="D508" s="67"/>
      <c r="E508" s="68"/>
      <c r="F508" s="65"/>
      <c r="G508" s="65"/>
      <c r="I508" s="66"/>
      <c r="J508" s="66"/>
      <c r="K508" s="66"/>
      <c r="L508" s="66"/>
      <c r="M508" s="66"/>
      <c r="N508" s="66"/>
      <c r="O508" s="66"/>
      <c r="P508" s="66"/>
      <c r="Q508" s="65"/>
    </row>
    <row r="509" spans="1:17" x14ac:dyDescent="0.3">
      <c r="A509" s="66"/>
      <c r="B509" s="66"/>
      <c r="C509" s="66"/>
      <c r="D509" s="67"/>
      <c r="E509" s="68"/>
      <c r="F509" s="65"/>
      <c r="G509" s="65"/>
      <c r="I509" s="66"/>
      <c r="J509" s="66"/>
      <c r="K509" s="66"/>
      <c r="L509" s="66"/>
      <c r="M509" s="66"/>
      <c r="N509" s="66"/>
      <c r="O509" s="66"/>
      <c r="P509" s="66"/>
      <c r="Q509" s="65"/>
    </row>
    <row r="510" spans="1:17" x14ac:dyDescent="0.3">
      <c r="A510" s="66"/>
      <c r="B510" s="66"/>
      <c r="C510" s="66"/>
      <c r="D510" s="67"/>
      <c r="E510" s="68"/>
      <c r="F510" s="65"/>
      <c r="G510" s="65"/>
      <c r="I510" s="66"/>
      <c r="J510" s="66"/>
      <c r="K510" s="66"/>
      <c r="L510" s="66"/>
      <c r="M510" s="66"/>
      <c r="N510" s="66"/>
      <c r="O510" s="66"/>
      <c r="P510" s="66"/>
      <c r="Q510" s="65"/>
    </row>
    <row r="511" spans="1:17" x14ac:dyDescent="0.3">
      <c r="A511" s="66"/>
      <c r="B511" s="66"/>
      <c r="C511" s="66"/>
      <c r="D511" s="67"/>
      <c r="E511" s="68"/>
      <c r="F511" s="65"/>
      <c r="G511" s="65"/>
      <c r="I511" s="66"/>
      <c r="J511" s="66"/>
      <c r="K511" s="66"/>
      <c r="L511" s="66"/>
      <c r="M511" s="66"/>
      <c r="N511" s="66"/>
      <c r="O511" s="66"/>
      <c r="P511" s="66"/>
      <c r="Q511" s="65"/>
    </row>
    <row r="512" spans="1:17" x14ac:dyDescent="0.3">
      <c r="A512" s="66"/>
      <c r="B512" s="66"/>
      <c r="C512" s="66"/>
      <c r="D512" s="67"/>
      <c r="E512" s="68"/>
      <c r="F512" s="65"/>
      <c r="G512" s="65"/>
      <c r="I512" s="66"/>
      <c r="J512" s="66"/>
      <c r="K512" s="66"/>
      <c r="L512" s="66"/>
      <c r="M512" s="66"/>
      <c r="N512" s="66"/>
      <c r="O512" s="66"/>
      <c r="P512" s="66"/>
      <c r="Q512" s="65"/>
    </row>
    <row r="513" spans="1:17" x14ac:dyDescent="0.3">
      <c r="A513" s="66"/>
      <c r="B513" s="66"/>
      <c r="C513" s="66"/>
      <c r="D513" s="67"/>
      <c r="E513" s="68"/>
      <c r="F513" s="65"/>
      <c r="G513" s="65"/>
      <c r="I513" s="66"/>
      <c r="J513" s="66"/>
      <c r="K513" s="66"/>
      <c r="L513" s="66"/>
      <c r="M513" s="66"/>
      <c r="N513" s="66"/>
      <c r="O513" s="66"/>
      <c r="P513" s="66"/>
      <c r="Q513" s="65"/>
    </row>
    <row r="514" spans="1:17" x14ac:dyDescent="0.3">
      <c r="A514" s="66"/>
      <c r="B514" s="66"/>
      <c r="C514" s="66"/>
      <c r="D514" s="67"/>
      <c r="E514" s="68"/>
      <c r="F514" s="65"/>
      <c r="G514" s="65"/>
      <c r="I514" s="66"/>
      <c r="J514" s="66"/>
      <c r="K514" s="66"/>
      <c r="L514" s="66"/>
      <c r="M514" s="66"/>
      <c r="N514" s="66"/>
      <c r="O514" s="66"/>
      <c r="P514" s="66"/>
      <c r="Q514" s="65"/>
    </row>
    <row r="515" spans="1:17" x14ac:dyDescent="0.3">
      <c r="A515" s="66"/>
      <c r="B515" s="66"/>
      <c r="C515" s="66"/>
      <c r="D515" s="67"/>
      <c r="E515" s="68"/>
      <c r="F515" s="65"/>
      <c r="G515" s="65"/>
      <c r="I515" s="66"/>
      <c r="J515" s="66"/>
      <c r="K515" s="66"/>
      <c r="L515" s="66"/>
      <c r="M515" s="66"/>
      <c r="N515" s="66"/>
      <c r="O515" s="66"/>
      <c r="P515" s="66"/>
      <c r="Q515" s="65"/>
    </row>
    <row r="516" spans="1:17" x14ac:dyDescent="0.3">
      <c r="A516" s="66"/>
      <c r="B516" s="66"/>
      <c r="C516" s="66"/>
      <c r="D516" s="67"/>
      <c r="E516" s="68"/>
      <c r="F516" s="65"/>
      <c r="G516" s="65"/>
      <c r="I516" s="66"/>
      <c r="J516" s="66"/>
      <c r="K516" s="66"/>
      <c r="L516" s="66"/>
      <c r="M516" s="66"/>
      <c r="N516" s="66"/>
      <c r="O516" s="66"/>
      <c r="P516" s="66"/>
      <c r="Q516" s="65"/>
    </row>
    <row r="517" spans="1:17" x14ac:dyDescent="0.3">
      <c r="A517" s="66"/>
      <c r="B517" s="66"/>
      <c r="C517" s="66"/>
      <c r="D517" s="67"/>
      <c r="E517" s="68"/>
      <c r="F517" s="65"/>
      <c r="G517" s="65"/>
      <c r="I517" s="66"/>
      <c r="J517" s="66"/>
      <c r="K517" s="66"/>
      <c r="L517" s="66"/>
      <c r="M517" s="66"/>
      <c r="N517" s="66"/>
      <c r="O517" s="66"/>
      <c r="P517" s="66"/>
      <c r="Q517" s="65"/>
    </row>
    <row r="518" spans="1:17" x14ac:dyDescent="0.3">
      <c r="A518" s="66"/>
      <c r="B518" s="66"/>
      <c r="C518" s="66"/>
      <c r="D518" s="67"/>
      <c r="E518" s="68"/>
      <c r="F518" s="65"/>
      <c r="G518" s="65"/>
      <c r="I518" s="66"/>
      <c r="J518" s="66"/>
      <c r="K518" s="66"/>
      <c r="L518" s="66"/>
      <c r="M518" s="66"/>
      <c r="N518" s="66"/>
      <c r="O518" s="66"/>
      <c r="P518" s="66"/>
      <c r="Q518" s="65"/>
    </row>
    <row r="519" spans="1:17" x14ac:dyDescent="0.3">
      <c r="A519" s="66"/>
      <c r="B519" s="66"/>
      <c r="C519" s="66"/>
      <c r="D519" s="67"/>
      <c r="E519" s="68"/>
      <c r="F519" s="65"/>
      <c r="G519" s="65"/>
      <c r="I519" s="66"/>
      <c r="J519" s="66"/>
      <c r="K519" s="66"/>
      <c r="L519" s="66"/>
      <c r="M519" s="66"/>
      <c r="N519" s="66"/>
      <c r="O519" s="66"/>
      <c r="P519" s="66"/>
      <c r="Q519" s="65"/>
    </row>
    <row r="520" spans="1:17" x14ac:dyDescent="0.3">
      <c r="A520" s="66"/>
      <c r="B520" s="66"/>
      <c r="C520" s="66"/>
      <c r="D520" s="67"/>
      <c r="E520" s="68"/>
      <c r="F520" s="65"/>
      <c r="G520" s="65"/>
      <c r="I520" s="66"/>
      <c r="J520" s="66"/>
      <c r="K520" s="66"/>
      <c r="L520" s="66"/>
      <c r="M520" s="66"/>
      <c r="N520" s="66"/>
      <c r="O520" s="66"/>
      <c r="P520" s="66"/>
      <c r="Q520" s="65"/>
    </row>
    <row r="521" spans="1:17" x14ac:dyDescent="0.3">
      <c r="A521" s="66"/>
      <c r="B521" s="66"/>
      <c r="C521" s="66"/>
      <c r="D521" s="67"/>
      <c r="E521" s="68"/>
      <c r="F521" s="65"/>
      <c r="G521" s="65"/>
      <c r="I521" s="66"/>
      <c r="J521" s="66"/>
      <c r="K521" s="66"/>
      <c r="L521" s="66"/>
      <c r="M521" s="66"/>
      <c r="N521" s="66"/>
      <c r="O521" s="66"/>
      <c r="P521" s="66"/>
      <c r="Q521" s="65"/>
    </row>
    <row r="522" spans="1:17" x14ac:dyDescent="0.3">
      <c r="A522" s="66"/>
      <c r="B522" s="66"/>
      <c r="C522" s="66"/>
      <c r="D522" s="67"/>
      <c r="E522" s="68"/>
      <c r="F522" s="65"/>
      <c r="G522" s="65"/>
      <c r="I522" s="66"/>
      <c r="J522" s="66"/>
      <c r="K522" s="66"/>
      <c r="L522" s="66"/>
      <c r="M522" s="66"/>
      <c r="N522" s="66"/>
      <c r="O522" s="66"/>
      <c r="P522" s="66"/>
      <c r="Q522" s="65"/>
    </row>
    <row r="523" spans="1:17" x14ac:dyDescent="0.3">
      <c r="A523" s="66"/>
      <c r="B523" s="66"/>
      <c r="C523" s="66"/>
      <c r="D523" s="67"/>
      <c r="E523" s="68"/>
      <c r="F523" s="65"/>
      <c r="G523" s="65"/>
      <c r="I523" s="66"/>
      <c r="J523" s="66"/>
      <c r="K523" s="66"/>
      <c r="L523" s="66"/>
      <c r="M523" s="66"/>
      <c r="N523" s="66"/>
      <c r="O523" s="66"/>
      <c r="P523" s="66"/>
      <c r="Q523" s="65"/>
    </row>
    <row r="524" spans="1:17" x14ac:dyDescent="0.3">
      <c r="A524" s="66"/>
      <c r="B524" s="66"/>
      <c r="C524" s="66"/>
      <c r="D524" s="67"/>
      <c r="E524" s="68"/>
      <c r="F524" s="65"/>
      <c r="G524" s="65"/>
      <c r="I524" s="66"/>
      <c r="J524" s="66"/>
      <c r="K524" s="66"/>
      <c r="L524" s="66"/>
      <c r="M524" s="66"/>
      <c r="N524" s="66"/>
      <c r="O524" s="66"/>
      <c r="P524" s="66"/>
      <c r="Q524" s="65"/>
    </row>
    <row r="525" spans="1:17" x14ac:dyDescent="0.3">
      <c r="A525" s="66"/>
      <c r="B525" s="66"/>
      <c r="C525" s="66"/>
      <c r="D525" s="67"/>
      <c r="E525" s="68"/>
      <c r="F525" s="65"/>
      <c r="G525" s="65"/>
      <c r="I525" s="66"/>
      <c r="J525" s="66"/>
      <c r="K525" s="66"/>
      <c r="L525" s="66"/>
      <c r="M525" s="66"/>
      <c r="N525" s="66"/>
      <c r="O525" s="66"/>
      <c r="P525" s="66"/>
      <c r="Q525" s="65"/>
    </row>
    <row r="526" spans="1:17" x14ac:dyDescent="0.3">
      <c r="A526" s="66"/>
      <c r="B526" s="66"/>
      <c r="C526" s="66"/>
      <c r="D526" s="67"/>
      <c r="E526" s="68"/>
      <c r="F526" s="65"/>
      <c r="G526" s="65"/>
      <c r="I526" s="66"/>
      <c r="J526" s="66"/>
      <c r="K526" s="66"/>
      <c r="L526" s="66"/>
      <c r="M526" s="66"/>
      <c r="N526" s="66"/>
      <c r="O526" s="66"/>
      <c r="P526" s="66"/>
      <c r="Q526" s="65"/>
    </row>
    <row r="527" spans="1:17" x14ac:dyDescent="0.3">
      <c r="A527" s="66"/>
      <c r="B527" s="66"/>
      <c r="C527" s="66"/>
      <c r="D527" s="67"/>
      <c r="E527" s="68"/>
      <c r="F527" s="65"/>
      <c r="G527" s="65"/>
      <c r="I527" s="66"/>
      <c r="J527" s="66"/>
      <c r="K527" s="66"/>
      <c r="L527" s="66"/>
      <c r="M527" s="66"/>
      <c r="N527" s="66"/>
      <c r="O527" s="66"/>
      <c r="P527" s="66"/>
      <c r="Q527" s="65"/>
    </row>
    <row r="528" spans="1:17" x14ac:dyDescent="0.3">
      <c r="A528" s="66"/>
      <c r="B528" s="66"/>
      <c r="C528" s="66"/>
      <c r="D528" s="67"/>
      <c r="E528" s="68"/>
      <c r="F528" s="65"/>
      <c r="G528" s="65"/>
      <c r="I528" s="66"/>
      <c r="J528" s="66"/>
      <c r="K528" s="66"/>
      <c r="L528" s="66"/>
      <c r="M528" s="66"/>
      <c r="N528" s="66"/>
      <c r="O528" s="66"/>
      <c r="P528" s="66"/>
      <c r="Q528" s="65"/>
    </row>
    <row r="529" spans="1:17" x14ac:dyDescent="0.3">
      <c r="A529" s="66"/>
      <c r="B529" s="66"/>
      <c r="C529" s="66"/>
      <c r="D529" s="67"/>
      <c r="E529" s="68"/>
      <c r="F529" s="65"/>
      <c r="G529" s="65"/>
      <c r="I529" s="66"/>
      <c r="J529" s="66"/>
      <c r="K529" s="66"/>
      <c r="L529" s="66"/>
      <c r="M529" s="66"/>
      <c r="N529" s="66"/>
      <c r="O529" s="66"/>
      <c r="P529" s="66"/>
      <c r="Q529" s="65"/>
    </row>
    <row r="530" spans="1:17" x14ac:dyDescent="0.3">
      <c r="A530" s="66"/>
      <c r="B530" s="66"/>
      <c r="C530" s="66"/>
      <c r="D530" s="67"/>
      <c r="E530" s="68"/>
      <c r="F530" s="65"/>
      <c r="G530" s="65"/>
      <c r="I530" s="66"/>
      <c r="J530" s="66"/>
      <c r="K530" s="66"/>
      <c r="L530" s="66"/>
      <c r="M530" s="66"/>
      <c r="N530" s="66"/>
      <c r="O530" s="66"/>
      <c r="P530" s="66"/>
      <c r="Q530" s="65"/>
    </row>
    <row r="531" spans="1:17" x14ac:dyDescent="0.3">
      <c r="A531" s="66"/>
      <c r="B531" s="66"/>
      <c r="C531" s="66"/>
      <c r="D531" s="67"/>
      <c r="E531" s="68"/>
      <c r="F531" s="65"/>
      <c r="G531" s="65"/>
      <c r="I531" s="66"/>
      <c r="J531" s="66"/>
      <c r="K531" s="66"/>
      <c r="L531" s="66"/>
      <c r="M531" s="66"/>
      <c r="N531" s="66"/>
      <c r="O531" s="66"/>
      <c r="P531" s="66"/>
      <c r="Q531" s="65"/>
    </row>
    <row r="532" spans="1:17" x14ac:dyDescent="0.3">
      <c r="A532" s="66"/>
      <c r="B532" s="66"/>
      <c r="C532" s="66"/>
      <c r="D532" s="67"/>
      <c r="E532" s="68"/>
      <c r="F532" s="65"/>
      <c r="G532" s="65"/>
      <c r="I532" s="66"/>
      <c r="J532" s="66"/>
      <c r="K532" s="66"/>
      <c r="L532" s="66"/>
      <c r="M532" s="66"/>
      <c r="N532" s="66"/>
      <c r="O532" s="66"/>
      <c r="P532" s="66"/>
      <c r="Q532" s="65"/>
    </row>
    <row r="533" spans="1:17" x14ac:dyDescent="0.3">
      <c r="A533" s="66"/>
      <c r="B533" s="66"/>
      <c r="C533" s="66"/>
      <c r="D533" s="67"/>
      <c r="E533" s="68"/>
      <c r="F533" s="65"/>
      <c r="G533" s="65"/>
      <c r="I533" s="66"/>
      <c r="J533" s="66"/>
      <c r="K533" s="66"/>
      <c r="L533" s="66"/>
      <c r="M533" s="66"/>
      <c r="N533" s="66"/>
      <c r="O533" s="66"/>
      <c r="P533" s="66"/>
      <c r="Q533" s="65"/>
    </row>
    <row r="534" spans="1:17" x14ac:dyDescent="0.3">
      <c r="A534" s="66"/>
      <c r="B534" s="66"/>
      <c r="C534" s="66"/>
      <c r="D534" s="67"/>
      <c r="E534" s="68"/>
      <c r="F534" s="65"/>
      <c r="G534" s="65"/>
      <c r="I534" s="66"/>
      <c r="J534" s="66"/>
      <c r="K534" s="66"/>
      <c r="L534" s="66"/>
      <c r="M534" s="66"/>
      <c r="N534" s="66"/>
      <c r="O534" s="66"/>
      <c r="P534" s="66"/>
      <c r="Q534" s="65"/>
    </row>
    <row r="535" spans="1:17" x14ac:dyDescent="0.3">
      <c r="A535" s="66"/>
      <c r="B535" s="66"/>
      <c r="C535" s="66"/>
      <c r="D535" s="67"/>
      <c r="E535" s="68"/>
      <c r="F535" s="65"/>
      <c r="G535" s="65"/>
      <c r="I535" s="66"/>
      <c r="J535" s="66"/>
      <c r="K535" s="66"/>
      <c r="L535" s="66"/>
      <c r="M535" s="66"/>
      <c r="N535" s="66"/>
      <c r="O535" s="66"/>
      <c r="P535" s="66"/>
      <c r="Q535" s="65"/>
    </row>
    <row r="536" spans="1:17" x14ac:dyDescent="0.3">
      <c r="A536" s="66"/>
      <c r="B536" s="66"/>
      <c r="C536" s="66"/>
      <c r="D536" s="67"/>
      <c r="E536" s="68"/>
      <c r="F536" s="65"/>
      <c r="G536" s="65"/>
      <c r="I536" s="66"/>
      <c r="J536" s="66"/>
      <c r="K536" s="66"/>
      <c r="L536" s="66"/>
      <c r="M536" s="66"/>
      <c r="N536" s="66"/>
      <c r="O536" s="66"/>
      <c r="P536" s="66"/>
      <c r="Q536" s="65"/>
    </row>
    <row r="537" spans="1:17" x14ac:dyDescent="0.3">
      <c r="A537" s="66"/>
      <c r="B537" s="66"/>
      <c r="C537" s="66"/>
      <c r="D537" s="67"/>
      <c r="E537" s="68"/>
      <c r="F537" s="65"/>
      <c r="G537" s="65"/>
      <c r="I537" s="66"/>
      <c r="J537" s="66"/>
      <c r="K537" s="66"/>
      <c r="L537" s="66"/>
      <c r="M537" s="66"/>
      <c r="N537" s="66"/>
      <c r="O537" s="66"/>
      <c r="P537" s="66"/>
      <c r="Q537" s="65"/>
    </row>
    <row r="538" spans="1:17" x14ac:dyDescent="0.3">
      <c r="A538" s="66"/>
      <c r="B538" s="66"/>
      <c r="C538" s="66"/>
      <c r="D538" s="67"/>
      <c r="E538" s="68"/>
      <c r="F538" s="65"/>
      <c r="G538" s="65"/>
      <c r="I538" s="66"/>
      <c r="J538" s="66"/>
      <c r="K538" s="66"/>
      <c r="L538" s="66"/>
      <c r="M538" s="66"/>
      <c r="N538" s="66"/>
      <c r="O538" s="66"/>
      <c r="P538" s="66"/>
      <c r="Q538" s="65"/>
    </row>
    <row r="539" spans="1:17" x14ac:dyDescent="0.3">
      <c r="A539" s="66"/>
      <c r="B539" s="66"/>
      <c r="C539" s="66"/>
      <c r="D539" s="67"/>
      <c r="E539" s="68"/>
      <c r="F539" s="65"/>
      <c r="G539" s="65"/>
      <c r="I539" s="66"/>
      <c r="J539" s="66"/>
      <c r="K539" s="66"/>
      <c r="L539" s="66"/>
      <c r="M539" s="66"/>
      <c r="N539" s="66"/>
      <c r="O539" s="66"/>
      <c r="P539" s="66"/>
      <c r="Q539" s="65"/>
    </row>
    <row r="540" spans="1:17" x14ac:dyDescent="0.3">
      <c r="A540" s="66"/>
      <c r="B540" s="66"/>
      <c r="C540" s="66"/>
      <c r="D540" s="67"/>
      <c r="E540" s="68"/>
      <c r="F540" s="65"/>
      <c r="G540" s="65"/>
      <c r="I540" s="66"/>
      <c r="J540" s="66"/>
      <c r="K540" s="66"/>
      <c r="L540" s="66"/>
      <c r="M540" s="66"/>
      <c r="N540" s="66"/>
      <c r="O540" s="66"/>
      <c r="P540" s="66"/>
      <c r="Q540" s="65"/>
    </row>
    <row r="541" spans="1:17" x14ac:dyDescent="0.3">
      <c r="A541" s="66"/>
      <c r="B541" s="66"/>
      <c r="C541" s="66"/>
      <c r="D541" s="67"/>
      <c r="E541" s="68"/>
      <c r="F541" s="65"/>
      <c r="G541" s="65"/>
      <c r="I541" s="66"/>
      <c r="J541" s="66"/>
      <c r="K541" s="66"/>
      <c r="L541" s="66"/>
      <c r="M541" s="66"/>
      <c r="N541" s="66"/>
      <c r="O541" s="66"/>
      <c r="P541" s="66"/>
      <c r="Q541" s="65"/>
    </row>
    <row r="542" spans="1:17" x14ac:dyDescent="0.3">
      <c r="A542" s="66"/>
      <c r="B542" s="66"/>
      <c r="C542" s="66"/>
      <c r="D542" s="67"/>
      <c r="E542" s="68"/>
      <c r="F542" s="65"/>
      <c r="G542" s="65"/>
      <c r="I542" s="66"/>
      <c r="J542" s="66"/>
      <c r="K542" s="66"/>
      <c r="L542" s="66"/>
      <c r="M542" s="66"/>
      <c r="N542" s="66"/>
      <c r="O542" s="66"/>
      <c r="P542" s="66"/>
      <c r="Q542" s="65"/>
    </row>
    <row r="543" spans="1:17" x14ac:dyDescent="0.3">
      <c r="A543" s="66"/>
      <c r="B543" s="66"/>
      <c r="C543" s="66"/>
      <c r="D543" s="67"/>
      <c r="E543" s="68"/>
      <c r="F543" s="65"/>
      <c r="G543" s="65"/>
      <c r="I543" s="66"/>
      <c r="J543" s="66"/>
      <c r="K543" s="66"/>
      <c r="L543" s="66"/>
      <c r="M543" s="66"/>
      <c r="N543" s="66"/>
      <c r="O543" s="66"/>
      <c r="P543" s="66"/>
      <c r="Q543" s="65"/>
    </row>
    <row r="544" spans="1:17" x14ac:dyDescent="0.3">
      <c r="A544" s="66"/>
      <c r="B544" s="66"/>
      <c r="C544" s="66"/>
      <c r="D544" s="67"/>
      <c r="E544" s="68"/>
      <c r="F544" s="65"/>
      <c r="G544" s="65"/>
      <c r="I544" s="66"/>
      <c r="J544" s="66"/>
      <c r="K544" s="66"/>
      <c r="L544" s="66"/>
      <c r="M544" s="66"/>
      <c r="N544" s="66"/>
      <c r="O544" s="66"/>
      <c r="P544" s="66"/>
      <c r="Q544" s="65"/>
    </row>
    <row r="545" spans="1:17" x14ac:dyDescent="0.3">
      <c r="A545" s="66"/>
      <c r="B545" s="66"/>
      <c r="C545" s="66"/>
      <c r="D545" s="67"/>
      <c r="E545" s="68"/>
      <c r="F545" s="65"/>
      <c r="G545" s="65"/>
      <c r="I545" s="66"/>
      <c r="J545" s="66"/>
      <c r="K545" s="66"/>
      <c r="L545" s="66"/>
      <c r="M545" s="66"/>
      <c r="N545" s="66"/>
      <c r="O545" s="66"/>
      <c r="P545" s="66"/>
      <c r="Q545" s="65"/>
    </row>
    <row r="546" spans="1:17" x14ac:dyDescent="0.3">
      <c r="A546" s="66"/>
      <c r="B546" s="66"/>
      <c r="C546" s="66"/>
      <c r="D546" s="67"/>
      <c r="E546" s="68"/>
      <c r="F546" s="65"/>
      <c r="G546" s="65"/>
      <c r="I546" s="66"/>
      <c r="J546" s="66"/>
      <c r="K546" s="66"/>
      <c r="L546" s="66"/>
      <c r="M546" s="66"/>
      <c r="N546" s="66"/>
      <c r="O546" s="66"/>
      <c r="P546" s="66"/>
      <c r="Q546" s="65"/>
    </row>
    <row r="547" spans="1:17" x14ac:dyDescent="0.3">
      <c r="A547" s="66"/>
      <c r="B547" s="66"/>
      <c r="C547" s="66"/>
      <c r="D547" s="67"/>
      <c r="E547" s="68"/>
      <c r="F547" s="65"/>
      <c r="G547" s="65"/>
      <c r="I547" s="66"/>
      <c r="J547" s="66"/>
      <c r="K547" s="66"/>
      <c r="L547" s="66"/>
      <c r="M547" s="66"/>
      <c r="N547" s="66"/>
      <c r="O547" s="66"/>
      <c r="P547" s="66"/>
      <c r="Q547" s="65"/>
    </row>
    <row r="548" spans="1:17" x14ac:dyDescent="0.3">
      <c r="A548" s="66"/>
      <c r="B548" s="66"/>
      <c r="C548" s="66"/>
      <c r="D548" s="67"/>
      <c r="E548" s="68"/>
      <c r="F548" s="65"/>
      <c r="G548" s="65"/>
      <c r="I548" s="66"/>
      <c r="J548" s="66"/>
      <c r="K548" s="66"/>
      <c r="L548" s="66"/>
      <c r="M548" s="66"/>
      <c r="N548" s="66"/>
      <c r="O548" s="66"/>
      <c r="P548" s="66"/>
      <c r="Q548" s="65"/>
    </row>
    <row r="549" spans="1:17" x14ac:dyDescent="0.3">
      <c r="A549" s="66"/>
      <c r="B549" s="66"/>
      <c r="C549" s="66"/>
      <c r="D549" s="67"/>
      <c r="E549" s="68"/>
      <c r="F549" s="65"/>
      <c r="G549" s="65"/>
      <c r="I549" s="66"/>
      <c r="J549" s="66"/>
      <c r="K549" s="66"/>
      <c r="L549" s="66"/>
      <c r="M549" s="66"/>
      <c r="N549" s="66"/>
      <c r="O549" s="66"/>
      <c r="P549" s="66"/>
      <c r="Q549" s="65"/>
    </row>
    <row r="550" spans="1:17" x14ac:dyDescent="0.3">
      <c r="A550" s="66"/>
      <c r="B550" s="66"/>
      <c r="C550" s="66"/>
      <c r="D550" s="67"/>
      <c r="E550" s="68"/>
      <c r="F550" s="65"/>
      <c r="G550" s="65"/>
      <c r="I550" s="66"/>
      <c r="J550" s="66"/>
      <c r="K550" s="66"/>
      <c r="L550" s="66"/>
      <c r="M550" s="66"/>
      <c r="N550" s="66"/>
      <c r="O550" s="66"/>
      <c r="P550" s="66"/>
      <c r="Q550" s="65"/>
    </row>
    <row r="551" spans="1:17" x14ac:dyDescent="0.3">
      <c r="A551" s="66"/>
      <c r="B551" s="66"/>
      <c r="C551" s="66"/>
      <c r="D551" s="67"/>
      <c r="E551" s="68"/>
      <c r="F551" s="65"/>
      <c r="G551" s="65"/>
      <c r="I551" s="66"/>
      <c r="J551" s="66"/>
      <c r="K551" s="66"/>
      <c r="L551" s="66"/>
      <c r="M551" s="66"/>
      <c r="N551" s="66"/>
      <c r="O551" s="66"/>
      <c r="P551" s="66"/>
      <c r="Q551" s="65"/>
    </row>
    <row r="552" spans="1:17" x14ac:dyDescent="0.3">
      <c r="A552" s="66"/>
      <c r="B552" s="66"/>
      <c r="C552" s="66"/>
      <c r="D552" s="67"/>
      <c r="E552" s="68"/>
      <c r="F552" s="65"/>
      <c r="G552" s="65"/>
      <c r="I552" s="66"/>
      <c r="J552" s="66"/>
      <c r="K552" s="66"/>
      <c r="L552" s="66"/>
      <c r="M552" s="66"/>
      <c r="N552" s="66"/>
      <c r="O552" s="66"/>
      <c r="P552" s="66"/>
      <c r="Q552" s="65"/>
    </row>
    <row r="553" spans="1:17" x14ac:dyDescent="0.3">
      <c r="A553" s="66"/>
      <c r="B553" s="66"/>
      <c r="C553" s="66"/>
      <c r="D553" s="67"/>
      <c r="E553" s="68"/>
      <c r="F553" s="65"/>
      <c r="G553" s="65"/>
      <c r="I553" s="66"/>
      <c r="J553" s="66"/>
      <c r="K553" s="66"/>
      <c r="L553" s="66"/>
      <c r="M553" s="66"/>
      <c r="N553" s="66"/>
      <c r="O553" s="66"/>
      <c r="P553" s="66"/>
      <c r="Q553" s="65"/>
    </row>
    <row r="554" spans="1:17" x14ac:dyDescent="0.3">
      <c r="A554" s="66"/>
      <c r="B554" s="66"/>
      <c r="C554" s="66"/>
      <c r="D554" s="67"/>
      <c r="E554" s="68"/>
      <c r="F554" s="65"/>
      <c r="G554" s="65"/>
      <c r="I554" s="66"/>
      <c r="J554" s="66"/>
      <c r="K554" s="66"/>
      <c r="L554" s="66"/>
      <c r="M554" s="66"/>
      <c r="N554" s="66"/>
      <c r="O554" s="66"/>
      <c r="P554" s="66"/>
      <c r="Q554" s="65"/>
    </row>
    <row r="555" spans="1:17" x14ac:dyDescent="0.3">
      <c r="A555" s="66"/>
      <c r="B555" s="66"/>
      <c r="C555" s="66"/>
      <c r="D555" s="67"/>
      <c r="E555" s="68"/>
      <c r="F555" s="65"/>
      <c r="G555" s="65"/>
      <c r="I555" s="66"/>
      <c r="J555" s="66"/>
      <c r="K555" s="66"/>
      <c r="L555" s="66"/>
      <c r="M555" s="66"/>
      <c r="N555" s="66"/>
      <c r="O555" s="66"/>
      <c r="P555" s="66"/>
      <c r="Q555" s="65"/>
    </row>
    <row r="556" spans="1:17" x14ac:dyDescent="0.3">
      <c r="A556" s="66"/>
      <c r="B556" s="66"/>
      <c r="C556" s="66"/>
      <c r="D556" s="67"/>
      <c r="E556" s="68"/>
      <c r="F556" s="65"/>
      <c r="G556" s="65"/>
      <c r="I556" s="66"/>
      <c r="J556" s="66"/>
      <c r="K556" s="66"/>
      <c r="L556" s="66"/>
      <c r="M556" s="66"/>
      <c r="N556" s="66"/>
      <c r="O556" s="66"/>
      <c r="P556" s="66"/>
      <c r="Q556" s="65"/>
    </row>
    <row r="557" spans="1:17" x14ac:dyDescent="0.3">
      <c r="A557" s="66"/>
      <c r="B557" s="66"/>
      <c r="C557" s="66"/>
      <c r="D557" s="67"/>
      <c r="E557" s="68"/>
      <c r="F557" s="65"/>
      <c r="G557" s="65"/>
      <c r="I557" s="66"/>
      <c r="J557" s="66"/>
      <c r="K557" s="66"/>
      <c r="L557" s="66"/>
      <c r="M557" s="66"/>
      <c r="N557" s="66"/>
      <c r="O557" s="66"/>
      <c r="P557" s="66"/>
      <c r="Q557" s="65"/>
    </row>
    <row r="558" spans="1:17" x14ac:dyDescent="0.3">
      <c r="A558" s="66"/>
      <c r="B558" s="66"/>
      <c r="C558" s="66"/>
      <c r="D558" s="67"/>
      <c r="E558" s="68"/>
      <c r="F558" s="65"/>
      <c r="G558" s="65"/>
      <c r="I558" s="66"/>
      <c r="J558" s="66"/>
      <c r="K558" s="66"/>
      <c r="L558" s="66"/>
      <c r="M558" s="66"/>
      <c r="N558" s="66"/>
      <c r="O558" s="66"/>
      <c r="P558" s="66"/>
      <c r="Q558" s="65"/>
    </row>
    <row r="559" spans="1:17" x14ac:dyDescent="0.3">
      <c r="A559" s="66"/>
      <c r="B559" s="66"/>
      <c r="C559" s="66"/>
      <c r="D559" s="67"/>
      <c r="E559" s="68"/>
      <c r="F559" s="65"/>
      <c r="G559" s="65"/>
      <c r="I559" s="66"/>
      <c r="J559" s="66"/>
      <c r="K559" s="66"/>
      <c r="L559" s="66"/>
      <c r="M559" s="66"/>
      <c r="N559" s="66"/>
      <c r="O559" s="66"/>
      <c r="P559" s="66"/>
      <c r="Q559" s="65"/>
    </row>
    <row r="560" spans="1:17" x14ac:dyDescent="0.3">
      <c r="A560" s="66"/>
      <c r="B560" s="66"/>
      <c r="C560" s="66"/>
      <c r="D560" s="67"/>
      <c r="E560" s="68"/>
      <c r="F560" s="65"/>
      <c r="G560" s="65"/>
      <c r="I560" s="66"/>
      <c r="J560" s="66"/>
      <c r="K560" s="66"/>
      <c r="L560" s="66"/>
      <c r="M560" s="66"/>
      <c r="N560" s="66"/>
      <c r="O560" s="66"/>
      <c r="P560" s="66"/>
      <c r="Q560" s="65"/>
    </row>
    <row r="561" spans="1:17" x14ac:dyDescent="0.3">
      <c r="A561" s="66"/>
      <c r="B561" s="66"/>
      <c r="C561" s="66"/>
      <c r="D561" s="67"/>
      <c r="E561" s="68"/>
      <c r="F561" s="65"/>
      <c r="G561" s="65"/>
      <c r="I561" s="66"/>
      <c r="J561" s="66"/>
      <c r="K561" s="66"/>
      <c r="L561" s="66"/>
      <c r="M561" s="66"/>
      <c r="N561" s="66"/>
      <c r="O561" s="66"/>
      <c r="P561" s="66"/>
      <c r="Q561" s="65"/>
    </row>
    <row r="562" spans="1:17" x14ac:dyDescent="0.3">
      <c r="A562" s="66"/>
      <c r="B562" s="66"/>
      <c r="C562" s="66"/>
      <c r="D562" s="67"/>
      <c r="E562" s="68"/>
      <c r="F562" s="65"/>
      <c r="G562" s="65"/>
      <c r="I562" s="66"/>
      <c r="J562" s="66"/>
      <c r="K562" s="66"/>
      <c r="L562" s="66"/>
      <c r="M562" s="66"/>
      <c r="N562" s="66"/>
      <c r="O562" s="66"/>
      <c r="P562" s="66"/>
      <c r="Q562" s="65"/>
    </row>
    <row r="563" spans="1:17" x14ac:dyDescent="0.3">
      <c r="A563" s="66"/>
      <c r="B563" s="66"/>
      <c r="C563" s="66"/>
      <c r="D563" s="67"/>
      <c r="E563" s="68"/>
      <c r="F563" s="65"/>
      <c r="G563" s="65"/>
      <c r="I563" s="66"/>
      <c r="J563" s="66"/>
      <c r="K563" s="66"/>
      <c r="L563" s="66"/>
      <c r="M563" s="66"/>
      <c r="N563" s="66"/>
      <c r="O563" s="66"/>
      <c r="P563" s="66"/>
      <c r="Q563" s="65"/>
    </row>
    <row r="564" spans="1:17" x14ac:dyDescent="0.3">
      <c r="A564" s="66"/>
      <c r="B564" s="66"/>
      <c r="C564" s="66"/>
      <c r="D564" s="67"/>
      <c r="E564" s="68"/>
      <c r="F564" s="65"/>
      <c r="G564" s="65"/>
      <c r="I564" s="66"/>
      <c r="J564" s="66"/>
      <c r="K564" s="66"/>
      <c r="L564" s="66"/>
      <c r="M564" s="66"/>
      <c r="N564" s="66"/>
      <c r="O564" s="66"/>
      <c r="P564" s="66"/>
      <c r="Q564" s="65"/>
    </row>
    <row r="565" spans="1:17" x14ac:dyDescent="0.3">
      <c r="A565" s="66"/>
      <c r="B565" s="66"/>
      <c r="C565" s="66"/>
      <c r="D565" s="67"/>
      <c r="E565" s="68"/>
      <c r="F565" s="65"/>
      <c r="G565" s="65"/>
      <c r="I565" s="66"/>
      <c r="J565" s="66"/>
      <c r="K565" s="66"/>
      <c r="L565" s="66"/>
      <c r="M565" s="66"/>
      <c r="N565" s="66"/>
      <c r="O565" s="66"/>
      <c r="P565" s="66"/>
      <c r="Q565" s="65"/>
    </row>
    <row r="566" spans="1:17" x14ac:dyDescent="0.3">
      <c r="A566" s="66"/>
      <c r="B566" s="66"/>
      <c r="C566" s="66"/>
      <c r="D566" s="67"/>
      <c r="E566" s="68"/>
      <c r="F566" s="65"/>
      <c r="G566" s="65"/>
      <c r="I566" s="66"/>
      <c r="J566" s="66"/>
      <c r="K566" s="66"/>
      <c r="L566" s="66"/>
      <c r="M566" s="66"/>
      <c r="N566" s="66"/>
      <c r="O566" s="66"/>
      <c r="P566" s="66"/>
      <c r="Q566" s="65"/>
    </row>
    <row r="567" spans="1:17" x14ac:dyDescent="0.3">
      <c r="A567" s="66"/>
      <c r="B567" s="66"/>
      <c r="C567" s="66"/>
      <c r="D567" s="67"/>
      <c r="E567" s="68"/>
      <c r="F567" s="65"/>
      <c r="G567" s="65"/>
      <c r="I567" s="66"/>
      <c r="J567" s="66"/>
      <c r="K567" s="66"/>
      <c r="L567" s="66"/>
      <c r="M567" s="66"/>
      <c r="N567" s="66"/>
      <c r="O567" s="66"/>
      <c r="P567" s="66"/>
      <c r="Q567" s="65"/>
    </row>
    <row r="568" spans="1:17" x14ac:dyDescent="0.3">
      <c r="A568" s="66"/>
      <c r="B568" s="66"/>
      <c r="C568" s="66"/>
      <c r="D568" s="67"/>
      <c r="E568" s="68"/>
      <c r="F568" s="65"/>
      <c r="G568" s="65"/>
      <c r="I568" s="66"/>
      <c r="J568" s="66"/>
      <c r="K568" s="66"/>
      <c r="L568" s="66"/>
      <c r="M568" s="66"/>
      <c r="N568" s="66"/>
      <c r="O568" s="66"/>
      <c r="P568" s="66"/>
      <c r="Q568" s="65"/>
    </row>
    <row r="569" spans="1:17" x14ac:dyDescent="0.3">
      <c r="A569" s="66"/>
      <c r="B569" s="66"/>
      <c r="C569" s="66"/>
      <c r="D569" s="67"/>
      <c r="E569" s="68"/>
      <c r="F569" s="65"/>
      <c r="G569" s="65"/>
      <c r="I569" s="66"/>
      <c r="J569" s="66"/>
      <c r="K569" s="66"/>
      <c r="L569" s="66"/>
      <c r="M569" s="66"/>
      <c r="N569" s="66"/>
      <c r="O569" s="66"/>
      <c r="P569" s="66"/>
      <c r="Q569" s="65"/>
    </row>
    <row r="570" spans="1:17" x14ac:dyDescent="0.3">
      <c r="A570" s="66"/>
      <c r="B570" s="66"/>
      <c r="C570" s="66"/>
      <c r="D570" s="67"/>
      <c r="E570" s="68"/>
      <c r="F570" s="65"/>
      <c r="G570" s="65"/>
      <c r="I570" s="66"/>
      <c r="J570" s="66"/>
      <c r="K570" s="66"/>
      <c r="L570" s="66"/>
      <c r="M570" s="66"/>
      <c r="N570" s="66"/>
      <c r="O570" s="66"/>
      <c r="P570" s="66"/>
      <c r="Q570" s="65"/>
    </row>
    <row r="571" spans="1:17" x14ac:dyDescent="0.3">
      <c r="A571" s="66"/>
      <c r="B571" s="66"/>
      <c r="C571" s="66"/>
      <c r="D571" s="67"/>
      <c r="E571" s="68"/>
      <c r="F571" s="65"/>
      <c r="G571" s="65"/>
      <c r="I571" s="66"/>
      <c r="J571" s="66"/>
      <c r="K571" s="66"/>
      <c r="L571" s="66"/>
      <c r="M571" s="66"/>
      <c r="N571" s="66"/>
      <c r="O571" s="66"/>
      <c r="P571" s="66"/>
      <c r="Q571" s="65"/>
    </row>
    <row r="572" spans="1:17" x14ac:dyDescent="0.3">
      <c r="A572" s="66"/>
      <c r="B572" s="66"/>
      <c r="C572" s="66"/>
      <c r="D572" s="67"/>
      <c r="E572" s="68"/>
      <c r="F572" s="65"/>
      <c r="G572" s="65"/>
      <c r="I572" s="66"/>
      <c r="J572" s="66"/>
      <c r="K572" s="66"/>
      <c r="L572" s="66"/>
      <c r="M572" s="66"/>
      <c r="N572" s="66"/>
      <c r="O572" s="66"/>
      <c r="P572" s="66"/>
      <c r="Q572" s="65"/>
    </row>
    <row r="573" spans="1:17" x14ac:dyDescent="0.3">
      <c r="A573" s="66"/>
      <c r="B573" s="66"/>
      <c r="C573" s="66"/>
      <c r="D573" s="67"/>
      <c r="E573" s="68"/>
      <c r="F573" s="65"/>
      <c r="G573" s="65"/>
      <c r="I573" s="66"/>
      <c r="J573" s="66"/>
      <c r="K573" s="66"/>
      <c r="L573" s="66"/>
      <c r="M573" s="66"/>
      <c r="N573" s="66"/>
      <c r="O573" s="66"/>
      <c r="P573" s="66"/>
      <c r="Q573" s="65"/>
    </row>
    <row r="574" spans="1:17" x14ac:dyDescent="0.3">
      <c r="A574" s="66"/>
      <c r="B574" s="66"/>
      <c r="C574" s="66"/>
      <c r="D574" s="67"/>
      <c r="E574" s="68"/>
      <c r="F574" s="65"/>
      <c r="G574" s="65"/>
      <c r="I574" s="66"/>
      <c r="J574" s="66"/>
      <c r="K574" s="66"/>
      <c r="L574" s="66"/>
      <c r="M574" s="66"/>
      <c r="N574" s="66"/>
      <c r="O574" s="66"/>
      <c r="P574" s="66"/>
      <c r="Q574" s="65"/>
    </row>
    <row r="575" spans="1:17" x14ac:dyDescent="0.3">
      <c r="A575" s="66"/>
      <c r="B575" s="66"/>
      <c r="C575" s="66"/>
      <c r="D575" s="67"/>
      <c r="E575" s="68"/>
      <c r="F575" s="65"/>
      <c r="G575" s="65"/>
      <c r="I575" s="66"/>
      <c r="J575" s="66"/>
      <c r="K575" s="66"/>
      <c r="L575" s="66"/>
      <c r="M575" s="66"/>
      <c r="N575" s="66"/>
      <c r="O575" s="66"/>
      <c r="P575" s="66"/>
      <c r="Q575" s="65"/>
    </row>
    <row r="576" spans="1:17" x14ac:dyDescent="0.3">
      <c r="A576" s="66"/>
      <c r="B576" s="66"/>
      <c r="C576" s="66"/>
      <c r="D576" s="67"/>
      <c r="E576" s="68"/>
      <c r="F576" s="65"/>
      <c r="G576" s="65"/>
      <c r="I576" s="66"/>
      <c r="J576" s="66"/>
      <c r="K576" s="66"/>
      <c r="L576" s="66"/>
      <c r="M576" s="66"/>
      <c r="N576" s="66"/>
      <c r="O576" s="66"/>
      <c r="P576" s="66"/>
      <c r="Q576" s="65"/>
    </row>
    <row r="577" spans="1:17" x14ac:dyDescent="0.3">
      <c r="A577" s="66"/>
      <c r="B577" s="66"/>
      <c r="C577" s="66"/>
      <c r="D577" s="67"/>
      <c r="E577" s="68"/>
      <c r="F577" s="65"/>
      <c r="G577" s="65"/>
      <c r="I577" s="66"/>
      <c r="J577" s="66"/>
      <c r="K577" s="66"/>
      <c r="L577" s="66"/>
      <c r="M577" s="66"/>
      <c r="N577" s="66"/>
      <c r="O577" s="66"/>
      <c r="P577" s="66"/>
      <c r="Q577" s="65"/>
    </row>
    <row r="578" spans="1:17" x14ac:dyDescent="0.3">
      <c r="A578" s="66"/>
      <c r="B578" s="66"/>
      <c r="C578" s="66"/>
      <c r="D578" s="67"/>
      <c r="E578" s="68"/>
      <c r="F578" s="65"/>
      <c r="G578" s="65"/>
      <c r="I578" s="66"/>
      <c r="J578" s="66"/>
      <c r="K578" s="66"/>
      <c r="L578" s="66"/>
      <c r="M578" s="66"/>
      <c r="N578" s="66"/>
      <c r="O578" s="66"/>
      <c r="P578" s="66"/>
      <c r="Q578" s="65"/>
    </row>
    <row r="579" spans="1:17" x14ac:dyDescent="0.3">
      <c r="A579" s="66"/>
      <c r="B579" s="66"/>
      <c r="C579" s="66"/>
      <c r="D579" s="67"/>
      <c r="E579" s="68"/>
      <c r="F579" s="65"/>
      <c r="G579" s="65"/>
      <c r="I579" s="66"/>
      <c r="J579" s="66"/>
      <c r="K579" s="66"/>
      <c r="L579" s="66"/>
      <c r="M579" s="66"/>
      <c r="N579" s="66"/>
      <c r="O579" s="66"/>
      <c r="P579" s="66"/>
      <c r="Q579" s="65"/>
    </row>
    <row r="580" spans="1:17" x14ac:dyDescent="0.3">
      <c r="A580" s="66"/>
      <c r="B580" s="66"/>
      <c r="C580" s="66"/>
      <c r="D580" s="67"/>
      <c r="E580" s="68"/>
      <c r="F580" s="65"/>
      <c r="G580" s="65"/>
      <c r="I580" s="66"/>
      <c r="J580" s="66"/>
      <c r="K580" s="66"/>
      <c r="L580" s="66"/>
      <c r="M580" s="66"/>
      <c r="N580" s="66"/>
      <c r="O580" s="66"/>
      <c r="P580" s="66"/>
      <c r="Q580" s="65"/>
    </row>
    <row r="581" spans="1:17" x14ac:dyDescent="0.3">
      <c r="A581" s="66"/>
      <c r="B581" s="66"/>
      <c r="C581" s="66"/>
      <c r="D581" s="67"/>
      <c r="E581" s="68"/>
      <c r="F581" s="65"/>
      <c r="G581" s="65"/>
      <c r="I581" s="66"/>
      <c r="J581" s="66"/>
      <c r="K581" s="66"/>
      <c r="L581" s="66"/>
      <c r="M581" s="66"/>
      <c r="N581" s="66"/>
      <c r="O581" s="66"/>
      <c r="P581" s="66"/>
      <c r="Q581" s="65"/>
    </row>
    <row r="582" spans="1:17" x14ac:dyDescent="0.3">
      <c r="A582" s="66"/>
      <c r="B582" s="66"/>
      <c r="C582" s="66"/>
      <c r="D582" s="67"/>
      <c r="E582" s="68"/>
      <c r="F582" s="65"/>
      <c r="G582" s="65"/>
      <c r="I582" s="66"/>
      <c r="J582" s="66"/>
      <c r="K582" s="66"/>
      <c r="L582" s="66"/>
      <c r="M582" s="66"/>
      <c r="N582" s="66"/>
      <c r="O582" s="66"/>
      <c r="P582" s="66"/>
      <c r="Q582" s="65"/>
    </row>
    <row r="583" spans="1:17" x14ac:dyDescent="0.3">
      <c r="A583" s="66"/>
      <c r="B583" s="66"/>
      <c r="C583" s="66"/>
      <c r="D583" s="67"/>
      <c r="E583" s="68"/>
      <c r="F583" s="65"/>
      <c r="G583" s="65"/>
      <c r="I583" s="66"/>
      <c r="J583" s="66"/>
      <c r="K583" s="66"/>
      <c r="L583" s="66"/>
      <c r="M583" s="66"/>
      <c r="N583" s="66"/>
      <c r="O583" s="66"/>
      <c r="P583" s="66"/>
      <c r="Q583" s="65"/>
    </row>
    <row r="584" spans="1:17" x14ac:dyDescent="0.3">
      <c r="A584" s="66"/>
      <c r="B584" s="66"/>
      <c r="C584" s="66"/>
      <c r="D584" s="67"/>
      <c r="E584" s="68"/>
      <c r="F584" s="65"/>
      <c r="G584" s="65"/>
      <c r="I584" s="66"/>
      <c r="J584" s="66"/>
      <c r="K584" s="66"/>
      <c r="L584" s="66"/>
      <c r="M584" s="66"/>
      <c r="N584" s="66"/>
      <c r="O584" s="66"/>
      <c r="P584" s="66"/>
      <c r="Q584" s="65"/>
    </row>
    <row r="585" spans="1:17" x14ac:dyDescent="0.3">
      <c r="A585" s="66"/>
      <c r="B585" s="66"/>
      <c r="C585" s="66"/>
      <c r="D585" s="67"/>
      <c r="E585" s="68"/>
      <c r="F585" s="65"/>
      <c r="G585" s="65"/>
      <c r="I585" s="66"/>
      <c r="J585" s="66"/>
      <c r="K585" s="66"/>
      <c r="L585" s="66"/>
      <c r="M585" s="66"/>
      <c r="N585" s="66"/>
      <c r="O585" s="66"/>
      <c r="P585" s="66"/>
      <c r="Q585" s="65"/>
    </row>
    <row r="586" spans="1:17" x14ac:dyDescent="0.3">
      <c r="A586" s="66"/>
      <c r="B586" s="66"/>
      <c r="C586" s="66"/>
      <c r="D586" s="67"/>
      <c r="E586" s="68"/>
      <c r="F586" s="65"/>
      <c r="G586" s="65"/>
      <c r="I586" s="66"/>
      <c r="J586" s="66"/>
      <c r="K586" s="66"/>
      <c r="L586" s="66"/>
      <c r="M586" s="66"/>
      <c r="N586" s="66"/>
      <c r="O586" s="66"/>
      <c r="P586" s="66"/>
      <c r="Q586" s="65"/>
    </row>
    <row r="587" spans="1:17" x14ac:dyDescent="0.3">
      <c r="A587" s="66"/>
      <c r="B587" s="66"/>
      <c r="C587" s="66"/>
      <c r="D587" s="67"/>
      <c r="E587" s="68"/>
      <c r="F587" s="65"/>
      <c r="G587" s="65"/>
      <c r="I587" s="66"/>
      <c r="J587" s="66"/>
      <c r="K587" s="66"/>
      <c r="L587" s="66"/>
      <c r="M587" s="66"/>
      <c r="N587" s="66"/>
      <c r="O587" s="66"/>
      <c r="P587" s="66"/>
      <c r="Q587" s="65"/>
    </row>
    <row r="588" spans="1:17" x14ac:dyDescent="0.3">
      <c r="A588" s="66"/>
      <c r="B588" s="66"/>
      <c r="C588" s="66"/>
      <c r="D588" s="67"/>
      <c r="E588" s="68"/>
      <c r="F588" s="65"/>
      <c r="G588" s="65"/>
      <c r="I588" s="66"/>
      <c r="J588" s="66"/>
      <c r="K588" s="66"/>
      <c r="L588" s="66"/>
      <c r="M588" s="66"/>
      <c r="N588" s="66"/>
      <c r="O588" s="66"/>
      <c r="P588" s="66"/>
      <c r="Q588" s="65"/>
    </row>
    <row r="589" spans="1:17" x14ac:dyDescent="0.3">
      <c r="A589" s="66"/>
      <c r="B589" s="66"/>
      <c r="C589" s="66"/>
      <c r="D589" s="67"/>
      <c r="E589" s="68"/>
      <c r="F589" s="65"/>
      <c r="G589" s="65"/>
      <c r="I589" s="66"/>
      <c r="J589" s="66"/>
      <c r="K589" s="66"/>
      <c r="L589" s="66"/>
      <c r="M589" s="66"/>
      <c r="N589" s="66"/>
      <c r="O589" s="66"/>
      <c r="P589" s="66"/>
      <c r="Q589" s="65"/>
    </row>
    <row r="590" spans="1:17" x14ac:dyDescent="0.3">
      <c r="A590" s="66"/>
      <c r="B590" s="66"/>
      <c r="C590" s="66"/>
      <c r="D590" s="67"/>
      <c r="E590" s="68"/>
      <c r="F590" s="65"/>
      <c r="G590" s="65"/>
      <c r="I590" s="66"/>
      <c r="J590" s="66"/>
      <c r="K590" s="66"/>
      <c r="L590" s="66"/>
      <c r="M590" s="66"/>
      <c r="N590" s="66"/>
      <c r="O590" s="66"/>
      <c r="P590" s="66"/>
      <c r="Q590" s="65"/>
    </row>
    <row r="591" spans="1:17" x14ac:dyDescent="0.3">
      <c r="A591" s="66"/>
      <c r="B591" s="66"/>
      <c r="C591" s="66"/>
      <c r="D591" s="67"/>
      <c r="E591" s="68"/>
      <c r="F591" s="65"/>
      <c r="G591" s="65"/>
      <c r="I591" s="66"/>
      <c r="J591" s="66"/>
      <c r="K591" s="66"/>
      <c r="L591" s="66"/>
      <c r="M591" s="66"/>
      <c r="N591" s="66"/>
      <c r="O591" s="66"/>
      <c r="P591" s="66"/>
      <c r="Q591" s="65"/>
    </row>
    <row r="592" spans="1:17" x14ac:dyDescent="0.3">
      <c r="A592" s="66"/>
      <c r="B592" s="66"/>
      <c r="C592" s="66"/>
      <c r="D592" s="67"/>
      <c r="E592" s="68"/>
      <c r="F592" s="65"/>
      <c r="G592" s="65"/>
      <c r="I592" s="66"/>
      <c r="J592" s="66"/>
      <c r="K592" s="66"/>
      <c r="L592" s="66"/>
      <c r="M592" s="66"/>
      <c r="N592" s="66"/>
      <c r="O592" s="66"/>
      <c r="P592" s="66"/>
      <c r="Q592" s="65"/>
    </row>
    <row r="593" spans="1:17" x14ac:dyDescent="0.3">
      <c r="A593" s="66"/>
      <c r="B593" s="66"/>
      <c r="C593" s="66"/>
      <c r="D593" s="67"/>
      <c r="E593" s="68"/>
      <c r="F593" s="65"/>
      <c r="G593" s="65"/>
      <c r="I593" s="66"/>
      <c r="J593" s="66"/>
      <c r="K593" s="66"/>
      <c r="L593" s="66"/>
      <c r="M593" s="66"/>
      <c r="N593" s="66"/>
      <c r="O593" s="66"/>
      <c r="P593" s="66"/>
      <c r="Q593" s="65"/>
    </row>
    <row r="594" spans="1:17" x14ac:dyDescent="0.3">
      <c r="A594" s="66"/>
      <c r="B594" s="66"/>
      <c r="C594" s="66"/>
      <c r="D594" s="67"/>
      <c r="E594" s="68"/>
      <c r="F594" s="65"/>
      <c r="G594" s="65"/>
      <c r="I594" s="66"/>
      <c r="J594" s="66"/>
      <c r="K594" s="66"/>
      <c r="L594" s="66"/>
      <c r="M594" s="66"/>
      <c r="N594" s="66"/>
      <c r="O594" s="66"/>
      <c r="P594" s="66"/>
      <c r="Q594" s="65"/>
    </row>
    <row r="595" spans="1:17" x14ac:dyDescent="0.3">
      <c r="A595" s="66"/>
      <c r="B595" s="66"/>
      <c r="C595" s="66"/>
      <c r="D595" s="67"/>
      <c r="E595" s="68"/>
      <c r="F595" s="65"/>
      <c r="G595" s="65"/>
      <c r="I595" s="66"/>
      <c r="J595" s="66"/>
      <c r="K595" s="66"/>
      <c r="L595" s="66"/>
      <c r="M595" s="66"/>
      <c r="N595" s="66"/>
      <c r="O595" s="66"/>
      <c r="P595" s="66"/>
      <c r="Q595" s="65"/>
    </row>
    <row r="596" spans="1:17" x14ac:dyDescent="0.3">
      <c r="A596" s="66"/>
      <c r="B596" s="66"/>
      <c r="C596" s="66"/>
      <c r="D596" s="67"/>
      <c r="E596" s="68"/>
      <c r="F596" s="65"/>
      <c r="G596" s="65"/>
      <c r="I596" s="66"/>
      <c r="J596" s="66"/>
      <c r="K596" s="66"/>
      <c r="L596" s="66"/>
      <c r="M596" s="66"/>
      <c r="N596" s="66"/>
      <c r="O596" s="66"/>
      <c r="P596" s="66"/>
      <c r="Q596" s="65"/>
    </row>
    <row r="597" spans="1:17" x14ac:dyDescent="0.3">
      <c r="A597" s="66"/>
      <c r="B597" s="66"/>
      <c r="C597" s="66"/>
      <c r="D597" s="67"/>
      <c r="E597" s="68"/>
      <c r="F597" s="65"/>
      <c r="G597" s="65"/>
      <c r="I597" s="66"/>
      <c r="J597" s="66"/>
      <c r="K597" s="66"/>
      <c r="L597" s="66"/>
      <c r="M597" s="66"/>
      <c r="N597" s="66"/>
      <c r="O597" s="66"/>
      <c r="P597" s="66"/>
      <c r="Q597" s="65"/>
    </row>
    <row r="598" spans="1:17" x14ac:dyDescent="0.3">
      <c r="A598" s="66"/>
      <c r="B598" s="66"/>
      <c r="C598" s="66"/>
      <c r="D598" s="67"/>
      <c r="E598" s="68"/>
      <c r="F598" s="65"/>
      <c r="G598" s="65"/>
      <c r="I598" s="66"/>
      <c r="J598" s="66"/>
      <c r="K598" s="66"/>
      <c r="L598" s="66"/>
      <c r="M598" s="66"/>
      <c r="N598" s="66"/>
      <c r="O598" s="66"/>
      <c r="P598" s="66"/>
      <c r="Q598" s="65"/>
    </row>
    <row r="599" spans="1:17" x14ac:dyDescent="0.3">
      <c r="A599" s="66"/>
      <c r="B599" s="66"/>
      <c r="C599" s="66"/>
      <c r="D599" s="67"/>
      <c r="E599" s="68"/>
      <c r="F599" s="65"/>
      <c r="G599" s="65"/>
      <c r="I599" s="66"/>
      <c r="J599" s="66"/>
      <c r="K599" s="66"/>
      <c r="L599" s="66"/>
      <c r="M599" s="66"/>
      <c r="N599" s="66"/>
      <c r="O599" s="66"/>
      <c r="P599" s="66"/>
      <c r="Q599" s="65"/>
    </row>
    <row r="600" spans="1:17" x14ac:dyDescent="0.3">
      <c r="A600" s="66"/>
      <c r="B600" s="66"/>
      <c r="C600" s="66"/>
      <c r="D600" s="67"/>
      <c r="E600" s="68"/>
      <c r="F600" s="65"/>
      <c r="G600" s="65"/>
      <c r="I600" s="66"/>
      <c r="J600" s="66"/>
      <c r="K600" s="66"/>
      <c r="L600" s="66"/>
      <c r="M600" s="66"/>
      <c r="N600" s="66"/>
      <c r="O600" s="66"/>
      <c r="P600" s="66"/>
      <c r="Q600" s="65"/>
    </row>
    <row r="601" spans="1:17" x14ac:dyDescent="0.3">
      <c r="A601" s="66"/>
      <c r="B601" s="66"/>
      <c r="C601" s="66"/>
      <c r="D601" s="67"/>
      <c r="E601" s="68"/>
      <c r="F601" s="65"/>
      <c r="G601" s="65"/>
      <c r="I601" s="66"/>
      <c r="J601" s="66"/>
      <c r="K601" s="66"/>
      <c r="L601" s="66"/>
      <c r="M601" s="66"/>
      <c r="N601" s="66"/>
      <c r="O601" s="66"/>
      <c r="P601" s="66"/>
      <c r="Q601" s="65"/>
    </row>
    <row r="602" spans="1:17" x14ac:dyDescent="0.3">
      <c r="A602" s="66"/>
      <c r="B602" s="66"/>
      <c r="C602" s="66"/>
      <c r="D602" s="67"/>
      <c r="E602" s="68"/>
      <c r="F602" s="65"/>
      <c r="G602" s="65"/>
      <c r="I602" s="66"/>
      <c r="J602" s="66"/>
      <c r="K602" s="66"/>
      <c r="L602" s="66"/>
      <c r="M602" s="66"/>
      <c r="N602" s="66"/>
      <c r="O602" s="66"/>
      <c r="P602" s="66"/>
      <c r="Q602" s="65"/>
    </row>
    <row r="603" spans="1:17" x14ac:dyDescent="0.3">
      <c r="A603" s="66"/>
      <c r="B603" s="66"/>
      <c r="C603" s="66"/>
      <c r="D603" s="67"/>
      <c r="E603" s="68"/>
      <c r="F603" s="65"/>
      <c r="G603" s="65"/>
      <c r="I603" s="66"/>
      <c r="J603" s="66"/>
      <c r="K603" s="66"/>
      <c r="L603" s="66"/>
      <c r="M603" s="66"/>
      <c r="N603" s="66"/>
      <c r="O603" s="66"/>
      <c r="P603" s="66"/>
      <c r="Q603" s="65"/>
    </row>
    <row r="604" spans="1:17" x14ac:dyDescent="0.3">
      <c r="A604" s="66"/>
      <c r="B604" s="66"/>
      <c r="C604" s="66"/>
      <c r="D604" s="67"/>
      <c r="E604" s="68"/>
      <c r="F604" s="65"/>
      <c r="G604" s="65"/>
      <c r="I604" s="66"/>
      <c r="J604" s="66"/>
      <c r="K604" s="66"/>
      <c r="L604" s="66"/>
      <c r="M604" s="66"/>
      <c r="N604" s="66"/>
      <c r="O604" s="66"/>
      <c r="P604" s="66"/>
      <c r="Q604" s="65"/>
    </row>
    <row r="605" spans="1:17" x14ac:dyDescent="0.3">
      <c r="A605" s="66"/>
      <c r="B605" s="66"/>
      <c r="C605" s="66"/>
      <c r="D605" s="67"/>
      <c r="E605" s="68"/>
      <c r="F605" s="65"/>
      <c r="G605" s="65"/>
      <c r="I605" s="66"/>
      <c r="J605" s="66"/>
      <c r="K605" s="66"/>
      <c r="L605" s="66"/>
      <c r="M605" s="66"/>
      <c r="N605" s="66"/>
      <c r="O605" s="66"/>
      <c r="P605" s="66"/>
      <c r="Q605" s="65"/>
    </row>
    <row r="606" spans="1:17" x14ac:dyDescent="0.3">
      <c r="A606" s="66"/>
      <c r="B606" s="66"/>
      <c r="C606" s="66"/>
      <c r="D606" s="67"/>
      <c r="E606" s="68"/>
      <c r="F606" s="65"/>
      <c r="G606" s="65"/>
      <c r="I606" s="66"/>
      <c r="J606" s="66"/>
      <c r="K606" s="66"/>
      <c r="L606" s="66"/>
      <c r="M606" s="66"/>
      <c r="N606" s="66"/>
      <c r="O606" s="66"/>
      <c r="P606" s="66"/>
      <c r="Q606" s="65"/>
    </row>
    <row r="607" spans="1:17" x14ac:dyDescent="0.3">
      <c r="A607" s="66"/>
      <c r="B607" s="66"/>
      <c r="C607" s="66"/>
      <c r="D607" s="67"/>
      <c r="E607" s="68"/>
      <c r="F607" s="65"/>
      <c r="G607" s="65"/>
      <c r="I607" s="66"/>
      <c r="J607" s="66"/>
      <c r="K607" s="66"/>
      <c r="L607" s="66"/>
      <c r="M607" s="66"/>
      <c r="N607" s="66"/>
      <c r="O607" s="66"/>
      <c r="P607" s="66"/>
      <c r="Q607" s="65"/>
    </row>
    <row r="608" spans="1:17" x14ac:dyDescent="0.3">
      <c r="A608" s="66"/>
      <c r="B608" s="66"/>
      <c r="C608" s="66"/>
      <c r="D608" s="67"/>
      <c r="E608" s="68"/>
      <c r="F608" s="65"/>
      <c r="G608" s="65"/>
      <c r="I608" s="66"/>
      <c r="J608" s="66"/>
      <c r="K608" s="66"/>
      <c r="L608" s="66"/>
      <c r="M608" s="66"/>
      <c r="N608" s="66"/>
      <c r="O608" s="66"/>
      <c r="P608" s="66"/>
      <c r="Q608" s="65"/>
    </row>
    <row r="609" spans="1:17" x14ac:dyDescent="0.3">
      <c r="A609" s="66"/>
      <c r="B609" s="66"/>
      <c r="C609" s="66"/>
      <c r="D609" s="67"/>
      <c r="E609" s="68"/>
      <c r="F609" s="65"/>
      <c r="G609" s="65"/>
      <c r="I609" s="66"/>
      <c r="J609" s="66"/>
      <c r="K609" s="66"/>
      <c r="L609" s="66"/>
      <c r="M609" s="66"/>
      <c r="N609" s="66"/>
      <c r="O609" s="66"/>
      <c r="P609" s="66"/>
      <c r="Q609" s="65"/>
    </row>
    <row r="610" spans="1:17" x14ac:dyDescent="0.3">
      <c r="A610" s="66"/>
      <c r="B610" s="66"/>
      <c r="C610" s="66"/>
      <c r="D610" s="67"/>
      <c r="E610" s="68"/>
      <c r="F610" s="65"/>
      <c r="G610" s="65"/>
      <c r="I610" s="66"/>
      <c r="J610" s="66"/>
      <c r="K610" s="66"/>
      <c r="L610" s="66"/>
      <c r="M610" s="66"/>
      <c r="N610" s="66"/>
      <c r="O610" s="66"/>
      <c r="P610" s="66"/>
      <c r="Q610" s="65"/>
    </row>
    <row r="611" spans="1:17" x14ac:dyDescent="0.3">
      <c r="A611" s="66"/>
      <c r="B611" s="66"/>
      <c r="C611" s="66"/>
      <c r="D611" s="67"/>
      <c r="E611" s="68"/>
      <c r="F611" s="65"/>
      <c r="G611" s="65"/>
      <c r="I611" s="66"/>
      <c r="J611" s="66"/>
      <c r="K611" s="66"/>
      <c r="L611" s="66"/>
      <c r="M611" s="66"/>
      <c r="N611" s="66"/>
      <c r="O611" s="66"/>
      <c r="P611" s="66"/>
      <c r="Q611" s="65"/>
    </row>
    <row r="612" spans="1:17" x14ac:dyDescent="0.3">
      <c r="A612" s="66"/>
      <c r="B612" s="66"/>
      <c r="C612" s="66"/>
      <c r="D612" s="67"/>
      <c r="E612" s="68"/>
      <c r="F612" s="65"/>
      <c r="G612" s="65"/>
      <c r="I612" s="66"/>
      <c r="J612" s="66"/>
      <c r="K612" s="66"/>
      <c r="L612" s="66"/>
      <c r="M612" s="66"/>
      <c r="N612" s="66"/>
      <c r="O612" s="66"/>
      <c r="P612" s="66"/>
      <c r="Q612" s="65"/>
    </row>
    <row r="613" spans="1:17" x14ac:dyDescent="0.3">
      <c r="A613" s="66"/>
      <c r="B613" s="66"/>
      <c r="C613" s="66"/>
      <c r="D613" s="67"/>
      <c r="E613" s="68"/>
      <c r="F613" s="65"/>
      <c r="G613" s="65"/>
      <c r="I613" s="66"/>
      <c r="J613" s="66"/>
      <c r="K613" s="66"/>
      <c r="L613" s="66"/>
      <c r="M613" s="66"/>
      <c r="N613" s="66"/>
      <c r="O613" s="66"/>
      <c r="P613" s="66"/>
      <c r="Q613" s="65"/>
    </row>
    <row r="614" spans="1:17" x14ac:dyDescent="0.3">
      <c r="A614" s="66"/>
      <c r="B614" s="66"/>
      <c r="C614" s="66"/>
      <c r="D614" s="67"/>
      <c r="E614" s="68"/>
      <c r="F614" s="65"/>
      <c r="G614" s="65"/>
      <c r="I614" s="66"/>
      <c r="J614" s="66"/>
      <c r="K614" s="66"/>
      <c r="L614" s="66"/>
      <c r="M614" s="66"/>
      <c r="N614" s="66"/>
      <c r="O614" s="66"/>
      <c r="P614" s="66"/>
      <c r="Q614" s="65"/>
    </row>
    <row r="615" spans="1:17" x14ac:dyDescent="0.3">
      <c r="A615" s="66"/>
      <c r="B615" s="66"/>
      <c r="C615" s="66"/>
      <c r="D615" s="67"/>
      <c r="E615" s="68"/>
      <c r="F615" s="65"/>
      <c r="G615" s="65"/>
      <c r="I615" s="66"/>
      <c r="J615" s="66"/>
      <c r="K615" s="66"/>
      <c r="L615" s="66"/>
      <c r="M615" s="66"/>
      <c r="N615" s="66"/>
      <c r="O615" s="66"/>
      <c r="P615" s="66"/>
      <c r="Q615" s="65"/>
    </row>
    <row r="616" spans="1:17" x14ac:dyDescent="0.3">
      <c r="A616" s="66"/>
      <c r="B616" s="66"/>
      <c r="C616" s="66"/>
      <c r="D616" s="67"/>
      <c r="E616" s="68"/>
      <c r="F616" s="65"/>
      <c r="G616" s="65"/>
      <c r="I616" s="66"/>
      <c r="J616" s="66"/>
      <c r="K616" s="66"/>
      <c r="L616" s="66"/>
      <c r="M616" s="66"/>
      <c r="N616" s="66"/>
      <c r="O616" s="66"/>
      <c r="P616" s="66"/>
      <c r="Q616" s="65"/>
    </row>
    <row r="617" spans="1:17" x14ac:dyDescent="0.3">
      <c r="A617" s="66"/>
      <c r="B617" s="66"/>
      <c r="C617" s="66"/>
      <c r="D617" s="67"/>
      <c r="E617" s="68"/>
      <c r="F617" s="65"/>
      <c r="G617" s="65"/>
      <c r="I617" s="66"/>
      <c r="J617" s="66"/>
      <c r="K617" s="66"/>
      <c r="L617" s="66"/>
      <c r="M617" s="66"/>
      <c r="N617" s="66"/>
      <c r="O617" s="66"/>
      <c r="P617" s="66"/>
      <c r="Q617" s="65"/>
    </row>
    <row r="618" spans="1:17" x14ac:dyDescent="0.3">
      <c r="A618" s="66"/>
      <c r="B618" s="66"/>
      <c r="C618" s="66"/>
      <c r="D618" s="67"/>
      <c r="E618" s="68"/>
      <c r="F618" s="65"/>
      <c r="G618" s="65"/>
      <c r="I618" s="66"/>
      <c r="J618" s="66"/>
      <c r="K618" s="66"/>
      <c r="L618" s="66"/>
      <c r="M618" s="66"/>
      <c r="N618" s="66"/>
      <c r="O618" s="66"/>
      <c r="P618" s="66"/>
      <c r="Q618" s="65"/>
    </row>
    <row r="619" spans="1:17" x14ac:dyDescent="0.3">
      <c r="A619" s="66"/>
      <c r="B619" s="66"/>
      <c r="C619" s="66"/>
      <c r="D619" s="67"/>
      <c r="E619" s="68"/>
      <c r="F619" s="65"/>
      <c r="G619" s="65"/>
      <c r="I619" s="66"/>
      <c r="J619" s="66"/>
      <c r="K619" s="66"/>
      <c r="L619" s="66"/>
      <c r="M619" s="66"/>
      <c r="N619" s="66"/>
      <c r="O619" s="66"/>
      <c r="P619" s="66"/>
      <c r="Q619" s="65"/>
    </row>
    <row r="620" spans="1:17" x14ac:dyDescent="0.3">
      <c r="A620" s="66"/>
      <c r="B620" s="66"/>
      <c r="C620" s="66"/>
      <c r="D620" s="67"/>
      <c r="E620" s="68"/>
      <c r="F620" s="65"/>
      <c r="G620" s="65"/>
      <c r="I620" s="66"/>
      <c r="J620" s="66"/>
      <c r="K620" s="66"/>
      <c r="L620" s="66"/>
      <c r="M620" s="66"/>
      <c r="N620" s="66"/>
      <c r="O620" s="66"/>
      <c r="P620" s="66"/>
      <c r="Q620" s="65"/>
    </row>
    <row r="621" spans="1:17" x14ac:dyDescent="0.3">
      <c r="A621" s="66"/>
      <c r="B621" s="66"/>
      <c r="C621" s="66"/>
      <c r="D621" s="67"/>
      <c r="E621" s="68"/>
      <c r="F621" s="65"/>
      <c r="G621" s="65"/>
      <c r="I621" s="66"/>
      <c r="J621" s="66"/>
      <c r="K621" s="66"/>
      <c r="L621" s="66"/>
      <c r="M621" s="66"/>
      <c r="N621" s="66"/>
      <c r="O621" s="66"/>
      <c r="P621" s="66"/>
      <c r="Q621" s="65"/>
    </row>
    <row r="622" spans="1:17" x14ac:dyDescent="0.3">
      <c r="A622" s="66"/>
      <c r="B622" s="66"/>
      <c r="C622" s="66"/>
      <c r="D622" s="67"/>
      <c r="E622" s="68"/>
      <c r="F622" s="65"/>
      <c r="G622" s="65"/>
      <c r="I622" s="66"/>
      <c r="J622" s="66"/>
      <c r="K622" s="66"/>
      <c r="L622" s="66"/>
      <c r="M622" s="66"/>
      <c r="N622" s="66"/>
      <c r="O622" s="66"/>
      <c r="P622" s="66"/>
      <c r="Q622" s="65"/>
    </row>
    <row r="623" spans="1:17" x14ac:dyDescent="0.3">
      <c r="A623" s="66"/>
      <c r="B623" s="66"/>
      <c r="C623" s="66"/>
      <c r="D623" s="67"/>
      <c r="E623" s="68"/>
      <c r="F623" s="65"/>
      <c r="G623" s="65"/>
      <c r="I623" s="66"/>
      <c r="J623" s="66"/>
      <c r="K623" s="66"/>
      <c r="L623" s="66"/>
      <c r="M623" s="66"/>
      <c r="N623" s="66"/>
      <c r="O623" s="66"/>
      <c r="P623" s="66"/>
      <c r="Q623" s="65"/>
    </row>
    <row r="624" spans="1:17" x14ac:dyDescent="0.3">
      <c r="A624" s="66"/>
      <c r="B624" s="66"/>
      <c r="C624" s="66"/>
      <c r="D624" s="67"/>
      <c r="E624" s="68"/>
      <c r="F624" s="65"/>
      <c r="G624" s="65"/>
      <c r="I624" s="66"/>
      <c r="J624" s="66"/>
      <c r="K624" s="66"/>
      <c r="L624" s="66"/>
      <c r="M624" s="66"/>
      <c r="N624" s="66"/>
      <c r="O624" s="66"/>
      <c r="P624" s="66"/>
      <c r="Q624" s="65"/>
    </row>
    <row r="625" spans="1:17" x14ac:dyDescent="0.3">
      <c r="A625" s="66"/>
      <c r="B625" s="66"/>
      <c r="C625" s="66"/>
      <c r="D625" s="67"/>
      <c r="E625" s="68"/>
      <c r="F625" s="65"/>
      <c r="G625" s="65"/>
      <c r="I625" s="66"/>
      <c r="J625" s="66"/>
      <c r="K625" s="66"/>
      <c r="L625" s="66"/>
      <c r="M625" s="66"/>
      <c r="N625" s="66"/>
      <c r="O625" s="66"/>
      <c r="P625" s="66"/>
      <c r="Q625" s="65"/>
    </row>
    <row r="626" spans="1:17" x14ac:dyDescent="0.3">
      <c r="A626" s="66"/>
      <c r="B626" s="66"/>
      <c r="C626" s="66"/>
      <c r="D626" s="67"/>
      <c r="E626" s="68"/>
      <c r="F626" s="65"/>
      <c r="G626" s="65"/>
      <c r="I626" s="66"/>
      <c r="J626" s="66"/>
      <c r="K626" s="66"/>
      <c r="L626" s="66"/>
      <c r="M626" s="66"/>
      <c r="N626" s="66"/>
      <c r="O626" s="66"/>
      <c r="P626" s="66"/>
      <c r="Q626" s="65"/>
    </row>
    <row r="627" spans="1:17" x14ac:dyDescent="0.3">
      <c r="A627" s="66"/>
      <c r="B627" s="66"/>
      <c r="C627" s="66"/>
      <c r="D627" s="67"/>
      <c r="E627" s="68"/>
      <c r="F627" s="65"/>
      <c r="G627" s="65"/>
      <c r="I627" s="66"/>
      <c r="J627" s="66"/>
      <c r="K627" s="66"/>
      <c r="L627" s="66"/>
      <c r="M627" s="66"/>
      <c r="N627" s="66"/>
      <c r="O627" s="66"/>
      <c r="P627" s="66"/>
      <c r="Q627" s="65"/>
    </row>
    <row r="628" spans="1:17" x14ac:dyDescent="0.3">
      <c r="A628" s="66"/>
      <c r="B628" s="66"/>
      <c r="C628" s="66"/>
      <c r="D628" s="67"/>
      <c r="E628" s="68"/>
      <c r="F628" s="65"/>
      <c r="G628" s="65"/>
      <c r="I628" s="66"/>
      <c r="J628" s="66"/>
      <c r="K628" s="66"/>
      <c r="L628" s="66"/>
      <c r="M628" s="66"/>
      <c r="N628" s="66"/>
      <c r="O628" s="66"/>
      <c r="P628" s="66"/>
      <c r="Q628" s="65"/>
    </row>
    <row r="629" spans="1:17" x14ac:dyDescent="0.3">
      <c r="A629" s="66"/>
      <c r="B629" s="66"/>
      <c r="C629" s="66"/>
      <c r="D629" s="67"/>
      <c r="E629" s="68"/>
      <c r="F629" s="65"/>
      <c r="G629" s="65"/>
      <c r="I629" s="66"/>
      <c r="J629" s="66"/>
      <c r="K629" s="66"/>
      <c r="L629" s="66"/>
      <c r="M629" s="66"/>
      <c r="N629" s="66"/>
      <c r="O629" s="66"/>
      <c r="P629" s="66"/>
      <c r="Q629" s="65"/>
    </row>
    <row r="630" spans="1:17" x14ac:dyDescent="0.3">
      <c r="A630" s="66"/>
      <c r="B630" s="66"/>
      <c r="C630" s="66"/>
      <c r="D630" s="67"/>
      <c r="E630" s="68"/>
      <c r="F630" s="65"/>
      <c r="G630" s="65"/>
      <c r="I630" s="66"/>
      <c r="J630" s="66"/>
      <c r="K630" s="66"/>
      <c r="L630" s="66"/>
      <c r="M630" s="66"/>
      <c r="N630" s="66"/>
      <c r="O630" s="66"/>
      <c r="P630" s="66"/>
      <c r="Q630" s="65"/>
    </row>
    <row r="631" spans="1:17" x14ac:dyDescent="0.3">
      <c r="A631" s="66"/>
      <c r="B631" s="66"/>
      <c r="C631" s="66"/>
      <c r="D631" s="67"/>
      <c r="E631" s="68"/>
      <c r="F631" s="65"/>
      <c r="G631" s="65"/>
      <c r="I631" s="66"/>
      <c r="J631" s="66"/>
      <c r="K631" s="66"/>
      <c r="L631" s="66"/>
      <c r="M631" s="66"/>
      <c r="N631" s="66"/>
      <c r="O631" s="66"/>
      <c r="P631" s="66"/>
      <c r="Q631" s="65"/>
    </row>
    <row r="632" spans="1:17" x14ac:dyDescent="0.3">
      <c r="A632" s="66"/>
      <c r="B632" s="66"/>
      <c r="C632" s="66"/>
      <c r="D632" s="67"/>
      <c r="E632" s="68"/>
      <c r="F632" s="65"/>
      <c r="G632" s="65"/>
      <c r="I632" s="66"/>
      <c r="J632" s="66"/>
      <c r="K632" s="66"/>
      <c r="L632" s="66"/>
      <c r="M632" s="66"/>
      <c r="N632" s="66"/>
      <c r="O632" s="66"/>
      <c r="P632" s="66"/>
      <c r="Q632" s="65"/>
    </row>
    <row r="633" spans="1:17" x14ac:dyDescent="0.3">
      <c r="A633" s="66"/>
      <c r="B633" s="66"/>
      <c r="C633" s="66"/>
      <c r="D633" s="67"/>
      <c r="E633" s="68"/>
      <c r="F633" s="65"/>
      <c r="G633" s="65"/>
      <c r="I633" s="66"/>
      <c r="J633" s="66"/>
      <c r="K633" s="66"/>
      <c r="L633" s="66"/>
      <c r="M633" s="66"/>
      <c r="N633" s="66"/>
      <c r="O633" s="66"/>
      <c r="P633" s="66"/>
      <c r="Q633" s="65"/>
    </row>
    <row r="634" spans="1:17" x14ac:dyDescent="0.3">
      <c r="A634" s="66"/>
      <c r="B634" s="66"/>
      <c r="C634" s="66"/>
      <c r="D634" s="67"/>
      <c r="E634" s="68"/>
      <c r="F634" s="65"/>
      <c r="G634" s="65"/>
      <c r="I634" s="66"/>
      <c r="J634" s="66"/>
      <c r="K634" s="66"/>
      <c r="L634" s="66"/>
      <c r="M634" s="66"/>
      <c r="N634" s="66"/>
      <c r="O634" s="66"/>
      <c r="P634" s="66"/>
      <c r="Q634" s="65"/>
    </row>
    <row r="635" spans="1:17" x14ac:dyDescent="0.3">
      <c r="A635" s="66"/>
      <c r="B635" s="66"/>
      <c r="C635" s="66"/>
      <c r="D635" s="67"/>
      <c r="E635" s="68"/>
      <c r="F635" s="65"/>
      <c r="G635" s="65"/>
      <c r="I635" s="66"/>
      <c r="J635" s="66"/>
      <c r="K635" s="66"/>
      <c r="L635" s="66"/>
      <c r="M635" s="66"/>
      <c r="N635" s="66"/>
      <c r="O635" s="66"/>
      <c r="P635" s="66"/>
      <c r="Q635" s="65"/>
    </row>
    <row r="636" spans="1:17" x14ac:dyDescent="0.3">
      <c r="A636" s="66"/>
      <c r="B636" s="66"/>
      <c r="C636" s="66"/>
      <c r="D636" s="67"/>
      <c r="E636" s="68"/>
      <c r="F636" s="65"/>
      <c r="G636" s="65"/>
      <c r="I636" s="66"/>
      <c r="J636" s="66"/>
      <c r="K636" s="66"/>
      <c r="L636" s="66"/>
      <c r="M636" s="66"/>
      <c r="N636" s="66"/>
      <c r="O636" s="66"/>
      <c r="P636" s="66"/>
      <c r="Q636" s="65"/>
    </row>
    <row r="637" spans="1:17" x14ac:dyDescent="0.3">
      <c r="A637" s="66"/>
      <c r="B637" s="66"/>
      <c r="C637" s="66"/>
      <c r="D637" s="67"/>
      <c r="E637" s="68"/>
      <c r="F637" s="65"/>
      <c r="G637" s="65"/>
      <c r="I637" s="66"/>
      <c r="J637" s="66"/>
      <c r="K637" s="66"/>
      <c r="L637" s="66"/>
      <c r="M637" s="66"/>
      <c r="N637" s="66"/>
      <c r="O637" s="66"/>
      <c r="P637" s="66"/>
      <c r="Q637" s="65"/>
    </row>
    <row r="638" spans="1:17" x14ac:dyDescent="0.3">
      <c r="A638" s="66"/>
      <c r="B638" s="66"/>
      <c r="C638" s="66"/>
      <c r="D638" s="67"/>
      <c r="E638" s="68"/>
      <c r="F638" s="65"/>
      <c r="G638" s="65"/>
      <c r="I638" s="66"/>
      <c r="J638" s="66"/>
      <c r="K638" s="66"/>
      <c r="L638" s="66"/>
      <c r="M638" s="66"/>
      <c r="N638" s="66"/>
      <c r="O638" s="66"/>
      <c r="P638" s="66"/>
      <c r="Q638" s="65"/>
    </row>
    <row r="639" spans="1:17" x14ac:dyDescent="0.3">
      <c r="A639" s="66"/>
      <c r="B639" s="66"/>
      <c r="C639" s="66"/>
      <c r="D639" s="67"/>
      <c r="E639" s="68"/>
      <c r="F639" s="65"/>
      <c r="G639" s="65"/>
      <c r="I639" s="66"/>
      <c r="J639" s="66"/>
      <c r="K639" s="66"/>
      <c r="L639" s="66"/>
      <c r="M639" s="66"/>
      <c r="N639" s="66"/>
      <c r="O639" s="66"/>
      <c r="P639" s="66"/>
      <c r="Q639" s="65"/>
    </row>
    <row r="640" spans="1:17" x14ac:dyDescent="0.3">
      <c r="A640" s="66"/>
      <c r="B640" s="66"/>
      <c r="C640" s="66"/>
      <c r="D640" s="67"/>
      <c r="E640" s="68"/>
      <c r="F640" s="65"/>
      <c r="G640" s="65"/>
      <c r="I640" s="66"/>
      <c r="J640" s="66"/>
      <c r="K640" s="66"/>
      <c r="L640" s="66"/>
      <c r="M640" s="66"/>
      <c r="N640" s="66"/>
      <c r="O640" s="66"/>
      <c r="P640" s="66"/>
      <c r="Q640" s="65"/>
    </row>
    <row r="641" spans="1:17" x14ac:dyDescent="0.3">
      <c r="A641" s="66"/>
      <c r="B641" s="66"/>
      <c r="C641" s="66"/>
      <c r="D641" s="67"/>
      <c r="E641" s="68"/>
      <c r="F641" s="65"/>
      <c r="G641" s="65"/>
      <c r="I641" s="66"/>
      <c r="J641" s="66"/>
      <c r="K641" s="66"/>
      <c r="L641" s="66"/>
      <c r="M641" s="66"/>
      <c r="N641" s="66"/>
      <c r="O641" s="66"/>
      <c r="P641" s="66"/>
      <c r="Q641" s="65"/>
    </row>
    <row r="642" spans="1:17" x14ac:dyDescent="0.3">
      <c r="A642" s="66"/>
      <c r="B642" s="66"/>
      <c r="C642" s="66"/>
      <c r="D642" s="67"/>
      <c r="E642" s="68"/>
      <c r="F642" s="65"/>
      <c r="G642" s="65"/>
      <c r="I642" s="66"/>
      <c r="J642" s="66"/>
      <c r="K642" s="66"/>
      <c r="L642" s="66"/>
      <c r="M642" s="66"/>
      <c r="N642" s="66"/>
      <c r="O642" s="66"/>
      <c r="P642" s="66"/>
      <c r="Q642" s="65"/>
    </row>
    <row r="643" spans="1:17" x14ac:dyDescent="0.3">
      <c r="A643" s="66"/>
      <c r="B643" s="66"/>
      <c r="C643" s="66"/>
      <c r="D643" s="67"/>
      <c r="E643" s="68"/>
      <c r="F643" s="65"/>
      <c r="G643" s="65"/>
      <c r="I643" s="66"/>
      <c r="J643" s="66"/>
      <c r="K643" s="66"/>
      <c r="L643" s="66"/>
      <c r="M643" s="66"/>
      <c r="N643" s="66"/>
      <c r="O643" s="66"/>
      <c r="P643" s="66"/>
      <c r="Q643" s="65"/>
    </row>
    <row r="644" spans="1:17" x14ac:dyDescent="0.3">
      <c r="A644" s="66"/>
      <c r="B644" s="66"/>
      <c r="C644" s="66"/>
      <c r="D644" s="67"/>
      <c r="E644" s="68"/>
      <c r="F644" s="65"/>
      <c r="G644" s="65"/>
      <c r="I644" s="66"/>
      <c r="J644" s="66"/>
      <c r="K644" s="66"/>
      <c r="L644" s="66"/>
      <c r="M644" s="66"/>
      <c r="N644" s="66"/>
      <c r="O644" s="66"/>
      <c r="P644" s="66"/>
      <c r="Q644" s="65"/>
    </row>
    <row r="645" spans="1:17" x14ac:dyDescent="0.3">
      <c r="A645" s="66"/>
      <c r="B645" s="66"/>
      <c r="C645" s="66"/>
      <c r="D645" s="67"/>
      <c r="E645" s="68"/>
      <c r="F645" s="65"/>
      <c r="G645" s="65"/>
      <c r="I645" s="66"/>
      <c r="J645" s="66"/>
      <c r="K645" s="66"/>
      <c r="L645" s="66"/>
      <c r="M645" s="66"/>
      <c r="N645" s="66"/>
      <c r="O645" s="66"/>
      <c r="P645" s="66"/>
      <c r="Q645" s="65"/>
    </row>
    <row r="646" spans="1:17" x14ac:dyDescent="0.3">
      <c r="A646" s="66"/>
      <c r="B646" s="66"/>
      <c r="C646" s="66"/>
      <c r="D646" s="67"/>
      <c r="E646" s="68"/>
      <c r="F646" s="65"/>
      <c r="G646" s="65"/>
      <c r="I646" s="66"/>
      <c r="J646" s="66"/>
      <c r="K646" s="66"/>
      <c r="L646" s="66"/>
      <c r="M646" s="66"/>
      <c r="N646" s="66"/>
      <c r="O646" s="66"/>
      <c r="P646" s="66"/>
      <c r="Q646" s="65"/>
    </row>
    <row r="647" spans="1:17" x14ac:dyDescent="0.3">
      <c r="A647" s="66"/>
      <c r="B647" s="66"/>
      <c r="C647" s="66"/>
      <c r="D647" s="67"/>
      <c r="E647" s="68"/>
      <c r="F647" s="65"/>
      <c r="G647" s="65"/>
      <c r="I647" s="66"/>
      <c r="J647" s="66"/>
      <c r="K647" s="66"/>
      <c r="L647" s="66"/>
      <c r="M647" s="66"/>
      <c r="N647" s="66"/>
      <c r="O647" s="66"/>
      <c r="P647" s="66"/>
      <c r="Q647" s="65"/>
    </row>
    <row r="648" spans="1:17" x14ac:dyDescent="0.3">
      <c r="A648" s="66"/>
      <c r="B648" s="66"/>
      <c r="C648" s="66"/>
      <c r="D648" s="67"/>
      <c r="E648" s="68"/>
      <c r="F648" s="65"/>
      <c r="G648" s="65"/>
      <c r="I648" s="66"/>
      <c r="J648" s="66"/>
      <c r="K648" s="66"/>
      <c r="L648" s="66"/>
      <c r="M648" s="66"/>
      <c r="N648" s="66"/>
      <c r="O648" s="66"/>
      <c r="P648" s="66"/>
      <c r="Q648" s="65"/>
    </row>
    <row r="649" spans="1:17" x14ac:dyDescent="0.3">
      <c r="A649" s="66"/>
      <c r="B649" s="66"/>
      <c r="C649" s="66"/>
      <c r="D649" s="67"/>
      <c r="E649" s="68"/>
      <c r="F649" s="65"/>
      <c r="G649" s="65"/>
      <c r="I649" s="66"/>
      <c r="J649" s="66"/>
      <c r="K649" s="66"/>
      <c r="L649" s="66"/>
      <c r="M649" s="66"/>
      <c r="N649" s="66"/>
      <c r="O649" s="66"/>
      <c r="P649" s="66"/>
      <c r="Q649" s="65"/>
    </row>
    <row r="650" spans="1:17" x14ac:dyDescent="0.3">
      <c r="A650" s="66"/>
      <c r="B650" s="66"/>
      <c r="C650" s="66"/>
      <c r="D650" s="67"/>
      <c r="E650" s="68"/>
      <c r="F650" s="65"/>
      <c r="G650" s="65"/>
      <c r="I650" s="66"/>
      <c r="J650" s="66"/>
      <c r="K650" s="66"/>
      <c r="L650" s="66"/>
      <c r="M650" s="66"/>
      <c r="N650" s="66"/>
      <c r="O650" s="66"/>
      <c r="P650" s="66"/>
      <c r="Q650" s="65"/>
    </row>
    <row r="651" spans="1:17" x14ac:dyDescent="0.3">
      <c r="A651" s="66"/>
      <c r="B651" s="66"/>
      <c r="C651" s="66"/>
      <c r="D651" s="67"/>
      <c r="E651" s="68"/>
      <c r="F651" s="65"/>
      <c r="G651" s="65"/>
      <c r="I651" s="66"/>
      <c r="J651" s="66"/>
      <c r="K651" s="66"/>
      <c r="L651" s="66"/>
      <c r="M651" s="66"/>
      <c r="N651" s="66"/>
      <c r="O651" s="66"/>
      <c r="P651" s="66"/>
      <c r="Q651" s="65"/>
    </row>
    <row r="652" spans="1:17" x14ac:dyDescent="0.3">
      <c r="A652" s="66"/>
      <c r="B652" s="66"/>
      <c r="C652" s="66"/>
      <c r="D652" s="67"/>
      <c r="E652" s="68"/>
      <c r="F652" s="65"/>
      <c r="G652" s="65"/>
      <c r="I652" s="66"/>
      <c r="J652" s="66"/>
      <c r="K652" s="66"/>
      <c r="L652" s="66"/>
      <c r="M652" s="66"/>
      <c r="N652" s="66"/>
      <c r="O652" s="66"/>
      <c r="P652" s="66"/>
      <c r="Q652" s="65"/>
    </row>
    <row r="653" spans="1:17" x14ac:dyDescent="0.3">
      <c r="A653" s="66"/>
      <c r="B653" s="66"/>
      <c r="C653" s="66"/>
      <c r="D653" s="67"/>
      <c r="E653" s="68"/>
      <c r="F653" s="65"/>
      <c r="G653" s="65"/>
      <c r="I653" s="66"/>
      <c r="J653" s="66"/>
      <c r="K653" s="66"/>
      <c r="L653" s="66"/>
      <c r="M653" s="66"/>
      <c r="N653" s="66"/>
      <c r="O653" s="66"/>
      <c r="P653" s="66"/>
      <c r="Q653" s="65"/>
    </row>
    <row r="654" spans="1:17" x14ac:dyDescent="0.3">
      <c r="A654" s="66"/>
      <c r="B654" s="66"/>
      <c r="C654" s="66"/>
      <c r="D654" s="67"/>
      <c r="E654" s="68"/>
      <c r="F654" s="65"/>
      <c r="G654" s="65"/>
      <c r="I654" s="66"/>
      <c r="J654" s="66"/>
      <c r="K654" s="66"/>
      <c r="L654" s="66"/>
      <c r="M654" s="66"/>
      <c r="N654" s="66"/>
      <c r="O654" s="66"/>
      <c r="P654" s="66"/>
      <c r="Q654" s="65"/>
    </row>
    <row r="655" spans="1:17" x14ac:dyDescent="0.3">
      <c r="A655" s="66"/>
      <c r="B655" s="66"/>
      <c r="C655" s="66"/>
      <c r="D655" s="67"/>
      <c r="E655" s="68"/>
      <c r="F655" s="65"/>
      <c r="G655" s="65"/>
      <c r="I655" s="66"/>
      <c r="J655" s="66"/>
      <c r="K655" s="66"/>
      <c r="L655" s="66"/>
      <c r="M655" s="66"/>
      <c r="N655" s="66"/>
      <c r="O655" s="66"/>
      <c r="P655" s="66"/>
      <c r="Q655" s="65"/>
    </row>
    <row r="656" spans="1:17" x14ac:dyDescent="0.3">
      <c r="A656" s="66"/>
      <c r="B656" s="66"/>
      <c r="C656" s="66"/>
      <c r="D656" s="67"/>
      <c r="E656" s="68"/>
      <c r="F656" s="65"/>
      <c r="G656" s="65"/>
      <c r="I656" s="66"/>
      <c r="J656" s="66"/>
      <c r="K656" s="66"/>
      <c r="L656" s="66"/>
      <c r="M656" s="66"/>
      <c r="N656" s="66"/>
      <c r="O656" s="66"/>
      <c r="P656" s="66"/>
      <c r="Q656" s="65"/>
    </row>
    <row r="657" spans="1:17" x14ac:dyDescent="0.3">
      <c r="A657" s="66"/>
      <c r="B657" s="66"/>
      <c r="C657" s="66"/>
      <c r="D657" s="67"/>
      <c r="E657" s="68"/>
      <c r="F657" s="65"/>
      <c r="G657" s="65"/>
      <c r="I657" s="66"/>
      <c r="J657" s="66"/>
      <c r="K657" s="66"/>
      <c r="L657" s="66"/>
      <c r="M657" s="66"/>
      <c r="N657" s="66"/>
      <c r="O657" s="66"/>
      <c r="P657" s="66"/>
      <c r="Q657" s="65"/>
    </row>
    <row r="658" spans="1:17" x14ac:dyDescent="0.3">
      <c r="A658" s="66"/>
      <c r="B658" s="66"/>
      <c r="C658" s="66"/>
      <c r="D658" s="67"/>
      <c r="E658" s="68"/>
      <c r="F658" s="65"/>
      <c r="G658" s="65"/>
      <c r="I658" s="66"/>
      <c r="J658" s="66"/>
      <c r="K658" s="66"/>
      <c r="L658" s="66"/>
      <c r="M658" s="66"/>
      <c r="N658" s="66"/>
      <c r="O658" s="66"/>
      <c r="P658" s="66"/>
      <c r="Q658" s="65"/>
    </row>
    <row r="659" spans="1:17" x14ac:dyDescent="0.3">
      <c r="A659" s="66"/>
      <c r="B659" s="66"/>
      <c r="C659" s="66"/>
      <c r="D659" s="67"/>
      <c r="E659" s="68"/>
      <c r="F659" s="65"/>
      <c r="G659" s="65"/>
      <c r="I659" s="66"/>
      <c r="J659" s="66"/>
      <c r="K659" s="66"/>
      <c r="L659" s="66"/>
      <c r="M659" s="66"/>
      <c r="N659" s="66"/>
      <c r="O659" s="66"/>
      <c r="P659" s="66"/>
      <c r="Q659" s="65"/>
    </row>
    <row r="660" spans="1:17" x14ac:dyDescent="0.3">
      <c r="A660" s="66"/>
      <c r="B660" s="66"/>
      <c r="C660" s="66"/>
      <c r="D660" s="67"/>
      <c r="E660" s="68"/>
      <c r="F660" s="65"/>
      <c r="G660" s="65"/>
      <c r="I660" s="66"/>
      <c r="J660" s="66"/>
      <c r="K660" s="66"/>
      <c r="L660" s="66"/>
      <c r="M660" s="66"/>
      <c r="N660" s="66"/>
      <c r="O660" s="66"/>
      <c r="P660" s="66"/>
      <c r="Q660" s="65"/>
    </row>
    <row r="661" spans="1:17" x14ac:dyDescent="0.3">
      <c r="A661" s="66"/>
      <c r="B661" s="66"/>
      <c r="C661" s="66"/>
      <c r="D661" s="67"/>
      <c r="E661" s="68"/>
      <c r="F661" s="65"/>
      <c r="G661" s="65"/>
      <c r="I661" s="66"/>
      <c r="J661" s="66"/>
      <c r="K661" s="66"/>
      <c r="L661" s="66"/>
      <c r="M661" s="66"/>
      <c r="N661" s="66"/>
      <c r="O661" s="66"/>
      <c r="P661" s="66"/>
      <c r="Q661" s="65"/>
    </row>
    <row r="662" spans="1:17" x14ac:dyDescent="0.3">
      <c r="A662" s="66"/>
      <c r="B662" s="66"/>
      <c r="C662" s="66"/>
      <c r="D662" s="67"/>
      <c r="E662" s="68"/>
      <c r="F662" s="65"/>
      <c r="G662" s="65"/>
      <c r="I662" s="66"/>
      <c r="J662" s="66"/>
      <c r="K662" s="66"/>
      <c r="L662" s="66"/>
      <c r="M662" s="66"/>
      <c r="N662" s="66"/>
      <c r="O662" s="66"/>
      <c r="P662" s="66"/>
      <c r="Q662" s="65"/>
    </row>
    <row r="663" spans="1:17" x14ac:dyDescent="0.3">
      <c r="A663" s="66"/>
      <c r="B663" s="66"/>
      <c r="C663" s="66"/>
      <c r="D663" s="67"/>
      <c r="E663" s="68"/>
      <c r="F663" s="65"/>
      <c r="G663" s="65"/>
      <c r="I663" s="66"/>
      <c r="J663" s="66"/>
      <c r="K663" s="66"/>
      <c r="L663" s="66"/>
      <c r="M663" s="66"/>
      <c r="N663" s="66"/>
      <c r="O663" s="66"/>
      <c r="P663" s="66"/>
      <c r="Q663" s="65"/>
    </row>
    <row r="664" spans="1:17" x14ac:dyDescent="0.3">
      <c r="A664" s="66"/>
      <c r="B664" s="66"/>
      <c r="C664" s="66"/>
      <c r="D664" s="67"/>
      <c r="E664" s="68"/>
      <c r="F664" s="65"/>
      <c r="G664" s="65"/>
      <c r="I664" s="66"/>
      <c r="J664" s="66"/>
      <c r="K664" s="66"/>
      <c r="L664" s="66"/>
      <c r="M664" s="66"/>
      <c r="N664" s="66"/>
      <c r="O664" s="66"/>
      <c r="P664" s="66"/>
      <c r="Q664" s="65"/>
    </row>
    <row r="665" spans="1:17" x14ac:dyDescent="0.3">
      <c r="A665" s="66"/>
      <c r="B665" s="66"/>
      <c r="C665" s="66"/>
      <c r="D665" s="67"/>
      <c r="E665" s="68"/>
      <c r="F665" s="65"/>
      <c r="G665" s="65"/>
      <c r="I665" s="66"/>
      <c r="J665" s="66"/>
      <c r="K665" s="66"/>
      <c r="L665" s="66"/>
      <c r="M665" s="66"/>
      <c r="N665" s="66"/>
      <c r="O665" s="66"/>
      <c r="P665" s="66"/>
      <c r="Q665" s="65"/>
    </row>
    <row r="666" spans="1:17" x14ac:dyDescent="0.3">
      <c r="A666" s="66"/>
      <c r="B666" s="66"/>
      <c r="C666" s="66"/>
      <c r="D666" s="67"/>
      <c r="E666" s="68"/>
      <c r="F666" s="65"/>
      <c r="G666" s="65"/>
      <c r="I666" s="66"/>
      <c r="J666" s="66"/>
      <c r="K666" s="66"/>
      <c r="L666" s="66"/>
      <c r="M666" s="66"/>
      <c r="N666" s="66"/>
      <c r="O666" s="66"/>
      <c r="P666" s="66"/>
      <c r="Q666" s="65"/>
    </row>
    <row r="667" spans="1:17" x14ac:dyDescent="0.3">
      <c r="A667" s="66"/>
      <c r="B667" s="66"/>
      <c r="C667" s="66"/>
      <c r="D667" s="67"/>
      <c r="E667" s="68"/>
      <c r="F667" s="65"/>
      <c r="G667" s="65"/>
      <c r="I667" s="66"/>
      <c r="J667" s="66"/>
      <c r="K667" s="66"/>
      <c r="L667" s="66"/>
      <c r="M667" s="66"/>
      <c r="N667" s="66"/>
      <c r="O667" s="66"/>
      <c r="P667" s="66"/>
      <c r="Q667" s="65"/>
    </row>
    <row r="668" spans="1:17" x14ac:dyDescent="0.3">
      <c r="A668" s="66"/>
      <c r="B668" s="66"/>
      <c r="C668" s="66"/>
      <c r="D668" s="67"/>
      <c r="E668" s="68"/>
      <c r="F668" s="65"/>
      <c r="G668" s="65"/>
      <c r="I668" s="66"/>
      <c r="J668" s="66"/>
      <c r="K668" s="66"/>
      <c r="L668" s="66"/>
      <c r="M668" s="66"/>
      <c r="N668" s="66"/>
      <c r="O668" s="66"/>
      <c r="P668" s="66"/>
      <c r="Q668" s="65"/>
    </row>
    <row r="669" spans="1:17" x14ac:dyDescent="0.3">
      <c r="A669" s="66"/>
      <c r="B669" s="66"/>
      <c r="C669" s="66"/>
      <c r="D669" s="67"/>
      <c r="E669" s="68"/>
      <c r="F669" s="65"/>
      <c r="G669" s="65"/>
      <c r="I669" s="66"/>
      <c r="J669" s="66"/>
      <c r="K669" s="66"/>
      <c r="L669" s="66"/>
      <c r="M669" s="66"/>
      <c r="N669" s="66"/>
      <c r="O669" s="66"/>
      <c r="P669" s="66"/>
      <c r="Q669" s="65"/>
    </row>
    <row r="670" spans="1:17" x14ac:dyDescent="0.3">
      <c r="A670" s="66"/>
      <c r="B670" s="66"/>
      <c r="C670" s="66"/>
      <c r="D670" s="67"/>
      <c r="E670" s="68"/>
      <c r="F670" s="65"/>
      <c r="G670" s="65"/>
      <c r="I670" s="66"/>
      <c r="J670" s="66"/>
      <c r="K670" s="66"/>
      <c r="L670" s="66"/>
      <c r="M670" s="66"/>
      <c r="N670" s="66"/>
      <c r="O670" s="66"/>
      <c r="P670" s="66"/>
      <c r="Q670" s="65"/>
    </row>
    <row r="671" spans="1:17" x14ac:dyDescent="0.3">
      <c r="A671" s="66"/>
      <c r="B671" s="66"/>
      <c r="C671" s="66"/>
      <c r="D671" s="67"/>
      <c r="E671" s="68"/>
      <c r="F671" s="65"/>
      <c r="G671" s="65"/>
      <c r="I671" s="66"/>
      <c r="J671" s="66"/>
      <c r="K671" s="66"/>
      <c r="L671" s="66"/>
      <c r="M671" s="66"/>
      <c r="N671" s="66"/>
      <c r="O671" s="66"/>
      <c r="P671" s="66"/>
      <c r="Q671" s="65"/>
    </row>
    <row r="672" spans="1:17" x14ac:dyDescent="0.3">
      <c r="A672" s="66"/>
      <c r="B672" s="66"/>
      <c r="C672" s="66"/>
      <c r="D672" s="67"/>
      <c r="E672" s="68"/>
      <c r="F672" s="65"/>
      <c r="G672" s="65"/>
      <c r="I672" s="66"/>
      <c r="J672" s="66"/>
      <c r="K672" s="66"/>
      <c r="L672" s="66"/>
      <c r="M672" s="66"/>
      <c r="N672" s="66"/>
      <c r="O672" s="66"/>
      <c r="P672" s="66"/>
      <c r="Q672" s="65"/>
    </row>
    <row r="673" spans="1:17" x14ac:dyDescent="0.3">
      <c r="A673" s="66"/>
      <c r="B673" s="66"/>
      <c r="C673" s="66"/>
      <c r="D673" s="67"/>
      <c r="E673" s="68"/>
      <c r="F673" s="65"/>
      <c r="G673" s="65"/>
      <c r="I673" s="66"/>
      <c r="J673" s="66"/>
      <c r="K673" s="66"/>
      <c r="L673" s="66"/>
      <c r="M673" s="66"/>
      <c r="N673" s="66"/>
      <c r="O673" s="66"/>
      <c r="P673" s="66"/>
      <c r="Q673" s="65"/>
    </row>
    <row r="674" spans="1:17" x14ac:dyDescent="0.3">
      <c r="A674" s="66"/>
      <c r="B674" s="66"/>
      <c r="C674" s="66"/>
      <c r="D674" s="67"/>
      <c r="E674" s="68"/>
      <c r="F674" s="65"/>
      <c r="G674" s="65"/>
      <c r="I674" s="66"/>
      <c r="J674" s="66"/>
      <c r="K674" s="66"/>
      <c r="L674" s="66"/>
      <c r="M674" s="66"/>
      <c r="N674" s="66"/>
      <c r="O674" s="66"/>
      <c r="P674" s="66"/>
      <c r="Q674" s="65"/>
    </row>
    <row r="675" spans="1:17" x14ac:dyDescent="0.3">
      <c r="A675" s="66"/>
      <c r="B675" s="66"/>
      <c r="C675" s="66"/>
      <c r="D675" s="67"/>
      <c r="E675" s="68"/>
      <c r="F675" s="65"/>
      <c r="G675" s="65"/>
      <c r="I675" s="66"/>
      <c r="J675" s="66"/>
      <c r="K675" s="66"/>
      <c r="L675" s="66"/>
      <c r="M675" s="66"/>
      <c r="N675" s="66"/>
      <c r="O675" s="66"/>
      <c r="P675" s="66"/>
      <c r="Q675" s="65"/>
    </row>
    <row r="676" spans="1:17" x14ac:dyDescent="0.3">
      <c r="A676" s="66"/>
      <c r="B676" s="66"/>
      <c r="C676" s="66"/>
      <c r="D676" s="67"/>
      <c r="E676" s="68"/>
      <c r="F676" s="65"/>
      <c r="G676" s="65"/>
      <c r="I676" s="66"/>
      <c r="J676" s="66"/>
      <c r="K676" s="66"/>
      <c r="L676" s="66"/>
      <c r="M676" s="66"/>
      <c r="N676" s="66"/>
      <c r="O676" s="66"/>
      <c r="P676" s="66"/>
      <c r="Q676" s="65"/>
    </row>
    <row r="677" spans="1:17" x14ac:dyDescent="0.3">
      <c r="A677" s="66"/>
      <c r="B677" s="66"/>
      <c r="C677" s="66"/>
      <c r="D677" s="67"/>
      <c r="E677" s="68"/>
      <c r="F677" s="65"/>
      <c r="G677" s="65"/>
      <c r="I677" s="66"/>
      <c r="J677" s="66"/>
      <c r="K677" s="66"/>
      <c r="L677" s="66"/>
      <c r="M677" s="66"/>
      <c r="N677" s="66"/>
      <c r="O677" s="66"/>
      <c r="P677" s="66"/>
      <c r="Q677" s="65"/>
    </row>
    <row r="678" spans="1:17" x14ac:dyDescent="0.3">
      <c r="A678" s="66"/>
      <c r="B678" s="66"/>
      <c r="C678" s="66"/>
      <c r="D678" s="67"/>
      <c r="E678" s="68"/>
      <c r="F678" s="65"/>
      <c r="G678" s="65"/>
      <c r="I678" s="66"/>
      <c r="J678" s="66"/>
      <c r="K678" s="66"/>
      <c r="L678" s="66"/>
      <c r="M678" s="66"/>
      <c r="N678" s="66"/>
      <c r="O678" s="66"/>
      <c r="P678" s="66"/>
      <c r="Q678" s="65"/>
    </row>
    <row r="679" spans="1:17" x14ac:dyDescent="0.3">
      <c r="A679" s="66"/>
      <c r="B679" s="66"/>
      <c r="C679" s="66"/>
      <c r="D679" s="67"/>
      <c r="E679" s="68"/>
      <c r="F679" s="65"/>
      <c r="G679" s="65"/>
      <c r="I679" s="66"/>
      <c r="J679" s="66"/>
      <c r="K679" s="66"/>
      <c r="L679" s="66"/>
      <c r="M679" s="66"/>
      <c r="N679" s="66"/>
      <c r="O679" s="66"/>
      <c r="P679" s="66"/>
      <c r="Q679" s="65"/>
    </row>
    <row r="680" spans="1:17" x14ac:dyDescent="0.3">
      <c r="A680" s="66"/>
      <c r="B680" s="66"/>
      <c r="C680" s="66"/>
      <c r="D680" s="67"/>
      <c r="E680" s="68"/>
      <c r="F680" s="65"/>
      <c r="G680" s="65"/>
      <c r="I680" s="66"/>
      <c r="J680" s="66"/>
      <c r="K680" s="66"/>
      <c r="L680" s="66"/>
      <c r="M680" s="66"/>
      <c r="N680" s="66"/>
      <c r="O680" s="66"/>
      <c r="P680" s="66"/>
      <c r="Q680" s="65"/>
    </row>
    <row r="681" spans="1:17" x14ac:dyDescent="0.3">
      <c r="A681" s="66"/>
      <c r="B681" s="66"/>
      <c r="C681" s="66"/>
      <c r="D681" s="67"/>
      <c r="E681" s="68"/>
      <c r="F681" s="65"/>
      <c r="G681" s="65"/>
      <c r="I681" s="66"/>
      <c r="J681" s="66"/>
      <c r="K681" s="66"/>
      <c r="L681" s="66"/>
      <c r="M681" s="66"/>
      <c r="N681" s="66"/>
      <c r="O681" s="66"/>
      <c r="P681" s="66"/>
      <c r="Q681" s="65"/>
    </row>
    <row r="682" spans="1:17" x14ac:dyDescent="0.3">
      <c r="A682" s="66"/>
      <c r="B682" s="66"/>
      <c r="C682" s="66"/>
      <c r="D682" s="67"/>
      <c r="E682" s="68"/>
      <c r="F682" s="65"/>
      <c r="G682" s="65"/>
      <c r="I682" s="66"/>
      <c r="J682" s="66"/>
      <c r="K682" s="66"/>
      <c r="L682" s="66"/>
      <c r="M682" s="66"/>
      <c r="N682" s="66"/>
      <c r="O682" s="66"/>
      <c r="P682" s="66"/>
      <c r="Q682" s="65"/>
    </row>
    <row r="683" spans="1:17" x14ac:dyDescent="0.3">
      <c r="A683" s="66"/>
      <c r="B683" s="66"/>
      <c r="C683" s="66"/>
      <c r="D683" s="67"/>
      <c r="E683" s="68"/>
      <c r="F683" s="65"/>
      <c r="G683" s="65"/>
      <c r="I683" s="66"/>
      <c r="J683" s="66"/>
      <c r="K683" s="66"/>
      <c r="L683" s="66"/>
      <c r="M683" s="66"/>
      <c r="N683" s="66"/>
      <c r="O683" s="66"/>
      <c r="P683" s="66"/>
      <c r="Q683" s="65"/>
    </row>
    <row r="684" spans="1:17" x14ac:dyDescent="0.3">
      <c r="A684" s="66"/>
      <c r="B684" s="66"/>
      <c r="C684" s="66"/>
      <c r="D684" s="67"/>
      <c r="E684" s="68"/>
      <c r="F684" s="65"/>
      <c r="G684" s="65"/>
      <c r="I684" s="66"/>
      <c r="J684" s="66"/>
      <c r="K684" s="66"/>
      <c r="L684" s="66"/>
      <c r="M684" s="66"/>
      <c r="N684" s="66"/>
      <c r="O684" s="66"/>
      <c r="P684" s="66"/>
      <c r="Q684" s="65"/>
    </row>
    <row r="685" spans="1:17" x14ac:dyDescent="0.3">
      <c r="A685" s="66"/>
      <c r="B685" s="66"/>
      <c r="C685" s="66"/>
      <c r="D685" s="67"/>
      <c r="E685" s="68"/>
      <c r="F685" s="65"/>
      <c r="G685" s="65"/>
      <c r="I685" s="66"/>
      <c r="J685" s="66"/>
      <c r="K685" s="66"/>
      <c r="L685" s="66"/>
      <c r="M685" s="66"/>
      <c r="N685" s="66"/>
      <c r="O685" s="66"/>
      <c r="P685" s="66"/>
      <c r="Q685" s="65"/>
    </row>
    <row r="686" spans="1:17" x14ac:dyDescent="0.3">
      <c r="A686" s="66"/>
      <c r="B686" s="66"/>
      <c r="C686" s="66"/>
      <c r="D686" s="67"/>
      <c r="E686" s="68"/>
      <c r="F686" s="65"/>
      <c r="G686" s="65"/>
      <c r="I686" s="66"/>
      <c r="J686" s="66"/>
      <c r="K686" s="66"/>
      <c r="L686" s="66"/>
      <c r="M686" s="66"/>
      <c r="N686" s="66"/>
      <c r="O686" s="66"/>
      <c r="P686" s="66"/>
      <c r="Q686" s="65"/>
    </row>
    <row r="687" spans="1:17" x14ac:dyDescent="0.3">
      <c r="A687" s="66"/>
      <c r="B687" s="66"/>
      <c r="C687" s="66"/>
      <c r="D687" s="67"/>
      <c r="E687" s="68"/>
      <c r="F687" s="65"/>
      <c r="G687" s="65"/>
      <c r="I687" s="66"/>
      <c r="J687" s="66"/>
      <c r="K687" s="66"/>
      <c r="L687" s="66"/>
      <c r="M687" s="66"/>
      <c r="N687" s="66"/>
      <c r="O687" s="66"/>
      <c r="P687" s="66"/>
      <c r="Q687" s="65"/>
    </row>
    <row r="688" spans="1:17" x14ac:dyDescent="0.3">
      <c r="A688" s="66"/>
      <c r="B688" s="66"/>
      <c r="C688" s="66"/>
      <c r="D688" s="67"/>
      <c r="E688" s="68"/>
      <c r="F688" s="65"/>
      <c r="G688" s="65"/>
      <c r="I688" s="66"/>
      <c r="J688" s="66"/>
      <c r="K688" s="66"/>
      <c r="L688" s="66"/>
      <c r="M688" s="66"/>
      <c r="N688" s="66"/>
      <c r="O688" s="66"/>
      <c r="P688" s="66"/>
      <c r="Q688" s="65"/>
    </row>
    <row r="689" spans="1:17" x14ac:dyDescent="0.3">
      <c r="A689" s="66"/>
      <c r="B689" s="66"/>
      <c r="C689" s="66"/>
      <c r="D689" s="67"/>
      <c r="E689" s="68"/>
      <c r="F689" s="65"/>
      <c r="G689" s="65"/>
      <c r="I689" s="66"/>
      <c r="J689" s="66"/>
      <c r="K689" s="66"/>
      <c r="L689" s="66"/>
      <c r="M689" s="66"/>
      <c r="N689" s="66"/>
      <c r="O689" s="66"/>
      <c r="P689" s="66"/>
      <c r="Q689" s="65"/>
    </row>
    <row r="690" spans="1:17" x14ac:dyDescent="0.3">
      <c r="A690" s="66"/>
      <c r="B690" s="66"/>
      <c r="C690" s="66"/>
      <c r="D690" s="67"/>
      <c r="E690" s="68"/>
      <c r="F690" s="65"/>
      <c r="G690" s="65"/>
      <c r="I690" s="66"/>
      <c r="J690" s="66"/>
      <c r="K690" s="66"/>
      <c r="L690" s="66"/>
      <c r="M690" s="66"/>
      <c r="N690" s="66"/>
      <c r="O690" s="66"/>
      <c r="P690" s="66"/>
      <c r="Q690" s="65"/>
    </row>
    <row r="691" spans="1:17" x14ac:dyDescent="0.3">
      <c r="A691" s="66"/>
      <c r="B691" s="66"/>
      <c r="C691" s="66"/>
      <c r="D691" s="67"/>
      <c r="E691" s="68"/>
      <c r="F691" s="65"/>
      <c r="G691" s="65"/>
      <c r="I691" s="66"/>
      <c r="J691" s="66"/>
      <c r="K691" s="66"/>
      <c r="L691" s="66"/>
      <c r="M691" s="66"/>
      <c r="N691" s="66"/>
      <c r="O691" s="66"/>
      <c r="P691" s="66"/>
      <c r="Q691" s="65"/>
    </row>
    <row r="692" spans="1:17" x14ac:dyDescent="0.3">
      <c r="A692" s="66"/>
      <c r="B692" s="66"/>
      <c r="C692" s="66"/>
      <c r="D692" s="67"/>
      <c r="E692" s="68"/>
      <c r="F692" s="65"/>
      <c r="G692" s="65"/>
      <c r="I692" s="66"/>
      <c r="J692" s="66"/>
      <c r="K692" s="66"/>
      <c r="L692" s="66"/>
      <c r="M692" s="66"/>
      <c r="N692" s="66"/>
      <c r="O692" s="66"/>
      <c r="P692" s="66"/>
      <c r="Q692" s="65"/>
    </row>
    <row r="693" spans="1:17" x14ac:dyDescent="0.3">
      <c r="A693" s="66"/>
      <c r="B693" s="66"/>
      <c r="C693" s="66"/>
      <c r="D693" s="67"/>
      <c r="E693" s="68"/>
      <c r="F693" s="65"/>
      <c r="G693" s="65"/>
      <c r="I693" s="66"/>
      <c r="J693" s="66"/>
      <c r="K693" s="66"/>
      <c r="L693" s="66"/>
      <c r="M693" s="66"/>
      <c r="N693" s="66"/>
      <c r="O693" s="66"/>
      <c r="P693" s="66"/>
      <c r="Q693" s="65"/>
    </row>
    <row r="694" spans="1:17" x14ac:dyDescent="0.3">
      <c r="A694" s="66"/>
      <c r="B694" s="66"/>
      <c r="C694" s="66"/>
      <c r="D694" s="67"/>
      <c r="E694" s="68"/>
      <c r="F694" s="65"/>
      <c r="G694" s="65"/>
      <c r="I694" s="66"/>
      <c r="J694" s="66"/>
      <c r="K694" s="66"/>
      <c r="L694" s="66"/>
      <c r="M694" s="66"/>
      <c r="N694" s="66"/>
      <c r="O694" s="66"/>
      <c r="P694" s="66"/>
      <c r="Q694" s="65"/>
    </row>
    <row r="695" spans="1:17" x14ac:dyDescent="0.3">
      <c r="A695" s="66"/>
      <c r="B695" s="66"/>
      <c r="C695" s="66"/>
      <c r="D695" s="67"/>
      <c r="E695" s="68"/>
      <c r="F695" s="65"/>
      <c r="G695" s="65"/>
      <c r="I695" s="66"/>
      <c r="J695" s="66"/>
      <c r="K695" s="66"/>
      <c r="L695" s="66"/>
      <c r="M695" s="66"/>
      <c r="N695" s="66"/>
      <c r="O695" s="66"/>
      <c r="P695" s="66"/>
      <c r="Q695" s="65"/>
    </row>
    <row r="696" spans="1:17" x14ac:dyDescent="0.3">
      <c r="A696" s="66"/>
      <c r="B696" s="66"/>
      <c r="C696" s="66"/>
      <c r="D696" s="67"/>
      <c r="E696" s="68"/>
      <c r="F696" s="65"/>
      <c r="G696" s="65"/>
      <c r="I696" s="66"/>
      <c r="J696" s="66"/>
      <c r="K696" s="66"/>
      <c r="L696" s="66"/>
      <c r="M696" s="66"/>
      <c r="N696" s="66"/>
      <c r="O696" s="66"/>
      <c r="P696" s="66"/>
      <c r="Q696" s="65"/>
    </row>
    <row r="697" spans="1:17" x14ac:dyDescent="0.3">
      <c r="A697" s="66"/>
      <c r="B697" s="66"/>
      <c r="C697" s="66"/>
      <c r="D697" s="67"/>
      <c r="E697" s="68"/>
      <c r="F697" s="65"/>
      <c r="G697" s="65"/>
      <c r="I697" s="66"/>
      <c r="J697" s="66"/>
      <c r="K697" s="66"/>
      <c r="L697" s="66"/>
      <c r="M697" s="66"/>
      <c r="N697" s="66"/>
      <c r="O697" s="66"/>
      <c r="P697" s="66"/>
      <c r="Q697" s="65"/>
    </row>
    <row r="698" spans="1:17" x14ac:dyDescent="0.3">
      <c r="A698" s="66"/>
      <c r="B698" s="66"/>
      <c r="C698" s="66"/>
      <c r="D698" s="67"/>
      <c r="E698" s="68"/>
      <c r="F698" s="65"/>
      <c r="G698" s="65"/>
      <c r="I698" s="66"/>
      <c r="J698" s="66"/>
      <c r="K698" s="66"/>
      <c r="L698" s="66"/>
      <c r="M698" s="66"/>
      <c r="N698" s="66"/>
      <c r="O698" s="66"/>
      <c r="P698" s="66"/>
      <c r="Q698" s="65"/>
    </row>
    <row r="699" spans="1:17" x14ac:dyDescent="0.3">
      <c r="A699" s="66"/>
      <c r="B699" s="66"/>
      <c r="C699" s="66"/>
      <c r="D699" s="67"/>
      <c r="E699" s="68"/>
      <c r="F699" s="65"/>
      <c r="G699" s="65"/>
      <c r="I699" s="66"/>
      <c r="J699" s="66"/>
      <c r="K699" s="66"/>
      <c r="L699" s="66"/>
      <c r="M699" s="66"/>
      <c r="N699" s="66"/>
      <c r="O699" s="66"/>
      <c r="P699" s="66"/>
      <c r="Q699" s="65"/>
    </row>
    <row r="700" spans="1:17" x14ac:dyDescent="0.3">
      <c r="A700" s="66"/>
      <c r="B700" s="66"/>
      <c r="C700" s="66"/>
      <c r="D700" s="67"/>
      <c r="E700" s="68"/>
      <c r="F700" s="65"/>
      <c r="G700" s="65"/>
      <c r="I700" s="66"/>
      <c r="J700" s="66"/>
      <c r="K700" s="66"/>
      <c r="L700" s="66"/>
      <c r="M700" s="66"/>
      <c r="N700" s="66"/>
      <c r="O700" s="66"/>
      <c r="P700" s="66"/>
      <c r="Q700" s="65"/>
    </row>
    <row r="701" spans="1:17" x14ac:dyDescent="0.3">
      <c r="A701" s="66"/>
      <c r="B701" s="66"/>
      <c r="C701" s="66"/>
      <c r="D701" s="67"/>
      <c r="E701" s="68"/>
      <c r="F701" s="65"/>
      <c r="G701" s="65"/>
      <c r="I701" s="66"/>
      <c r="J701" s="66"/>
      <c r="K701" s="66"/>
      <c r="L701" s="66"/>
      <c r="M701" s="66"/>
      <c r="N701" s="66"/>
      <c r="O701" s="66"/>
      <c r="P701" s="66"/>
      <c r="Q701" s="65"/>
    </row>
    <row r="702" spans="1:17" x14ac:dyDescent="0.3">
      <c r="A702" s="66"/>
      <c r="B702" s="66"/>
      <c r="C702" s="66"/>
      <c r="D702" s="67"/>
      <c r="E702" s="68"/>
      <c r="F702" s="65"/>
      <c r="G702" s="65"/>
      <c r="I702" s="66"/>
      <c r="J702" s="66"/>
      <c r="K702" s="66"/>
      <c r="L702" s="66"/>
      <c r="M702" s="66"/>
      <c r="N702" s="66"/>
      <c r="O702" s="66"/>
      <c r="P702" s="66"/>
      <c r="Q702" s="65"/>
    </row>
    <row r="703" spans="1:17" x14ac:dyDescent="0.3">
      <c r="A703" s="66"/>
      <c r="B703" s="66"/>
      <c r="C703" s="66"/>
      <c r="D703" s="67"/>
      <c r="E703" s="68"/>
      <c r="F703" s="65"/>
      <c r="G703" s="65"/>
      <c r="I703" s="66"/>
      <c r="J703" s="66"/>
      <c r="K703" s="66"/>
      <c r="L703" s="66"/>
      <c r="M703" s="66"/>
      <c r="N703" s="66"/>
      <c r="O703" s="66"/>
      <c r="P703" s="66"/>
      <c r="Q703" s="65"/>
    </row>
    <row r="704" spans="1:17" x14ac:dyDescent="0.3">
      <c r="A704" s="66"/>
      <c r="B704" s="66"/>
      <c r="C704" s="66"/>
      <c r="D704" s="67"/>
      <c r="E704" s="68"/>
      <c r="F704" s="65"/>
      <c r="G704" s="65"/>
      <c r="I704" s="66"/>
      <c r="J704" s="66"/>
      <c r="K704" s="66"/>
      <c r="L704" s="66"/>
      <c r="M704" s="66"/>
      <c r="N704" s="66"/>
      <c r="O704" s="66"/>
      <c r="P704" s="66"/>
      <c r="Q704" s="65"/>
    </row>
    <row r="705" spans="1:17" x14ac:dyDescent="0.3">
      <c r="A705" s="66"/>
      <c r="B705" s="66"/>
      <c r="C705" s="66"/>
      <c r="D705" s="67"/>
      <c r="E705" s="68"/>
      <c r="F705" s="65"/>
      <c r="G705" s="65"/>
      <c r="I705" s="66"/>
      <c r="J705" s="66"/>
      <c r="K705" s="66"/>
      <c r="L705" s="66"/>
      <c r="M705" s="66"/>
      <c r="N705" s="66"/>
      <c r="O705" s="66"/>
      <c r="P705" s="66"/>
      <c r="Q705" s="65"/>
    </row>
    <row r="706" spans="1:17" x14ac:dyDescent="0.3">
      <c r="A706" s="66"/>
      <c r="B706" s="66"/>
      <c r="C706" s="66"/>
      <c r="D706" s="67"/>
      <c r="E706" s="68"/>
      <c r="F706" s="65"/>
      <c r="G706" s="65"/>
      <c r="I706" s="66"/>
      <c r="J706" s="66"/>
      <c r="K706" s="66"/>
      <c r="L706" s="66"/>
      <c r="M706" s="66"/>
      <c r="N706" s="66"/>
      <c r="O706" s="66"/>
      <c r="P706" s="66"/>
      <c r="Q706" s="65"/>
    </row>
    <row r="707" spans="1:17" x14ac:dyDescent="0.3">
      <c r="A707" s="66"/>
      <c r="B707" s="66"/>
      <c r="C707" s="66"/>
      <c r="D707" s="67"/>
      <c r="E707" s="68"/>
      <c r="F707" s="65"/>
      <c r="G707" s="65"/>
      <c r="I707" s="66"/>
      <c r="J707" s="66"/>
      <c r="K707" s="66"/>
      <c r="L707" s="66"/>
      <c r="M707" s="66"/>
      <c r="N707" s="66"/>
      <c r="O707" s="66"/>
      <c r="P707" s="66"/>
      <c r="Q707" s="65"/>
    </row>
    <row r="708" spans="1:17" x14ac:dyDescent="0.3">
      <c r="A708" s="66"/>
      <c r="B708" s="66"/>
      <c r="C708" s="66"/>
      <c r="D708" s="67"/>
      <c r="E708" s="68"/>
      <c r="F708" s="65"/>
      <c r="G708" s="65"/>
      <c r="I708" s="66"/>
      <c r="J708" s="66"/>
      <c r="K708" s="66"/>
      <c r="L708" s="66"/>
      <c r="M708" s="66"/>
      <c r="N708" s="66"/>
      <c r="O708" s="66"/>
      <c r="P708" s="66"/>
      <c r="Q708" s="65"/>
    </row>
    <row r="709" spans="1:17" x14ac:dyDescent="0.3">
      <c r="A709" s="66"/>
      <c r="B709" s="66"/>
      <c r="C709" s="66"/>
      <c r="D709" s="67"/>
      <c r="E709" s="68"/>
      <c r="F709" s="65"/>
      <c r="G709" s="65"/>
      <c r="I709" s="66"/>
      <c r="J709" s="66"/>
      <c r="K709" s="66"/>
      <c r="L709" s="66"/>
      <c r="M709" s="66"/>
      <c r="N709" s="66"/>
      <c r="O709" s="66"/>
      <c r="P709" s="66"/>
      <c r="Q709" s="65"/>
    </row>
    <row r="710" spans="1:17" x14ac:dyDescent="0.3">
      <c r="A710" s="66"/>
      <c r="B710" s="66"/>
      <c r="C710" s="66"/>
      <c r="D710" s="67"/>
      <c r="E710" s="68"/>
      <c r="F710" s="65"/>
      <c r="G710" s="65"/>
      <c r="I710" s="66"/>
      <c r="J710" s="66"/>
      <c r="K710" s="66"/>
      <c r="L710" s="66"/>
      <c r="M710" s="66"/>
      <c r="N710" s="66"/>
      <c r="O710" s="66"/>
      <c r="P710" s="66"/>
      <c r="Q710" s="65"/>
    </row>
    <row r="711" spans="1:17" x14ac:dyDescent="0.3">
      <c r="A711" s="66"/>
      <c r="B711" s="66"/>
      <c r="C711" s="66"/>
      <c r="D711" s="67"/>
      <c r="E711" s="68"/>
      <c r="F711" s="65"/>
      <c r="G711" s="65"/>
      <c r="I711" s="66"/>
      <c r="J711" s="66"/>
      <c r="K711" s="66"/>
      <c r="L711" s="66"/>
      <c r="M711" s="66"/>
      <c r="N711" s="66"/>
      <c r="O711" s="66"/>
      <c r="P711" s="66"/>
      <c r="Q711" s="65"/>
    </row>
    <row r="712" spans="1:17" x14ac:dyDescent="0.3">
      <c r="A712" s="66"/>
      <c r="B712" s="66"/>
      <c r="C712" s="66"/>
      <c r="D712" s="67"/>
      <c r="E712" s="68"/>
      <c r="F712" s="65"/>
      <c r="G712" s="65"/>
      <c r="I712" s="66"/>
      <c r="J712" s="66"/>
      <c r="K712" s="66"/>
      <c r="L712" s="66"/>
      <c r="M712" s="66"/>
      <c r="N712" s="66"/>
      <c r="O712" s="66"/>
      <c r="P712" s="66"/>
      <c r="Q712" s="65"/>
    </row>
    <row r="713" spans="1:17" x14ac:dyDescent="0.3">
      <c r="A713" s="66"/>
      <c r="B713" s="66"/>
      <c r="C713" s="66"/>
      <c r="D713" s="67"/>
      <c r="E713" s="68"/>
      <c r="F713" s="65"/>
      <c r="G713" s="65"/>
      <c r="I713" s="66"/>
      <c r="J713" s="66"/>
      <c r="K713" s="66"/>
      <c r="L713" s="66"/>
      <c r="M713" s="66"/>
      <c r="N713" s="66"/>
      <c r="O713" s="66"/>
      <c r="P713" s="66"/>
      <c r="Q713" s="65"/>
    </row>
    <row r="714" spans="1:17" x14ac:dyDescent="0.3">
      <c r="A714" s="66"/>
      <c r="B714" s="66"/>
      <c r="C714" s="66"/>
      <c r="D714" s="67"/>
      <c r="E714" s="68"/>
      <c r="F714" s="65"/>
      <c r="G714" s="65"/>
      <c r="I714" s="66"/>
      <c r="J714" s="66"/>
      <c r="K714" s="66"/>
      <c r="L714" s="66"/>
      <c r="M714" s="66"/>
      <c r="N714" s="66"/>
      <c r="O714" s="66"/>
      <c r="P714" s="66"/>
      <c r="Q714" s="65"/>
    </row>
    <row r="715" spans="1:17" x14ac:dyDescent="0.3">
      <c r="A715" s="66"/>
      <c r="B715" s="66"/>
      <c r="C715" s="66"/>
      <c r="D715" s="67"/>
      <c r="E715" s="68"/>
      <c r="F715" s="65"/>
      <c r="G715" s="65"/>
      <c r="I715" s="66"/>
      <c r="J715" s="66"/>
      <c r="K715" s="66"/>
      <c r="L715" s="66"/>
      <c r="M715" s="66"/>
      <c r="N715" s="66"/>
      <c r="O715" s="66"/>
      <c r="P715" s="66"/>
      <c r="Q715" s="65"/>
    </row>
    <row r="716" spans="1:17" x14ac:dyDescent="0.3">
      <c r="A716" s="66"/>
      <c r="B716" s="66"/>
      <c r="C716" s="66"/>
      <c r="D716" s="67"/>
      <c r="E716" s="68"/>
      <c r="F716" s="65"/>
      <c r="G716" s="65"/>
      <c r="I716" s="66"/>
      <c r="J716" s="66"/>
      <c r="K716" s="66"/>
      <c r="L716" s="66"/>
      <c r="M716" s="66"/>
      <c r="N716" s="66"/>
      <c r="O716" s="66"/>
      <c r="P716" s="66"/>
      <c r="Q716" s="65"/>
    </row>
    <row r="717" spans="1:17" x14ac:dyDescent="0.3">
      <c r="A717" s="66"/>
      <c r="B717" s="66"/>
      <c r="C717" s="66"/>
      <c r="D717" s="67"/>
      <c r="E717" s="68"/>
      <c r="F717" s="65"/>
      <c r="G717" s="65"/>
      <c r="I717" s="66"/>
      <c r="J717" s="66"/>
      <c r="K717" s="66"/>
      <c r="L717" s="66"/>
      <c r="M717" s="66"/>
      <c r="N717" s="66"/>
      <c r="O717" s="66"/>
      <c r="P717" s="66"/>
      <c r="Q717" s="65"/>
    </row>
    <row r="718" spans="1:17" x14ac:dyDescent="0.3">
      <c r="A718" s="66"/>
      <c r="B718" s="66"/>
      <c r="C718" s="66"/>
      <c r="D718" s="67"/>
      <c r="E718" s="68"/>
      <c r="F718" s="65"/>
      <c r="G718" s="65"/>
      <c r="I718" s="66"/>
      <c r="J718" s="66"/>
      <c r="K718" s="66"/>
      <c r="L718" s="66"/>
      <c r="M718" s="66"/>
      <c r="N718" s="66"/>
      <c r="O718" s="66"/>
      <c r="P718" s="66"/>
      <c r="Q718" s="65"/>
    </row>
    <row r="719" spans="1:17" x14ac:dyDescent="0.3">
      <c r="A719" s="66"/>
      <c r="B719" s="66"/>
      <c r="C719" s="66"/>
      <c r="D719" s="67"/>
      <c r="E719" s="68"/>
      <c r="F719" s="65"/>
      <c r="G719" s="65"/>
      <c r="I719" s="66"/>
      <c r="J719" s="66"/>
      <c r="K719" s="66"/>
      <c r="L719" s="66"/>
      <c r="M719" s="66"/>
      <c r="N719" s="66"/>
      <c r="O719" s="66"/>
      <c r="P719" s="66"/>
      <c r="Q719" s="65"/>
    </row>
    <row r="720" spans="1:17" x14ac:dyDescent="0.3">
      <c r="A720" s="66"/>
      <c r="B720" s="66"/>
      <c r="C720" s="66"/>
      <c r="D720" s="67"/>
      <c r="E720" s="68"/>
      <c r="F720" s="65"/>
      <c r="G720" s="65"/>
      <c r="I720" s="66"/>
      <c r="J720" s="66"/>
      <c r="K720" s="66"/>
      <c r="L720" s="66"/>
      <c r="M720" s="66"/>
      <c r="N720" s="66"/>
      <c r="O720" s="66"/>
      <c r="P720" s="66"/>
      <c r="Q720" s="65"/>
    </row>
    <row r="721" spans="1:17" x14ac:dyDescent="0.3">
      <c r="A721" s="66"/>
      <c r="B721" s="66"/>
      <c r="C721" s="66"/>
      <c r="D721" s="67"/>
      <c r="E721" s="68"/>
      <c r="F721" s="65"/>
      <c r="G721" s="65"/>
      <c r="I721" s="66"/>
      <c r="J721" s="66"/>
      <c r="K721" s="66"/>
      <c r="L721" s="66"/>
      <c r="M721" s="66"/>
      <c r="N721" s="66"/>
      <c r="O721" s="66"/>
      <c r="P721" s="66"/>
      <c r="Q721" s="65"/>
    </row>
    <row r="722" spans="1:17" x14ac:dyDescent="0.3">
      <c r="A722" s="66"/>
      <c r="B722" s="66"/>
      <c r="C722" s="66"/>
      <c r="D722" s="67"/>
      <c r="E722" s="68"/>
      <c r="F722" s="65"/>
      <c r="G722" s="65"/>
      <c r="I722" s="66"/>
      <c r="J722" s="66"/>
      <c r="K722" s="66"/>
      <c r="L722" s="66"/>
      <c r="M722" s="66"/>
      <c r="N722" s="66"/>
      <c r="O722" s="66"/>
      <c r="P722" s="66"/>
      <c r="Q722" s="65"/>
    </row>
    <row r="723" spans="1:17" x14ac:dyDescent="0.3">
      <c r="A723" s="66"/>
      <c r="B723" s="66"/>
      <c r="C723" s="66"/>
      <c r="D723" s="67"/>
      <c r="E723" s="68"/>
      <c r="F723" s="65"/>
      <c r="G723" s="65"/>
      <c r="I723" s="66"/>
      <c r="J723" s="66"/>
      <c r="K723" s="66"/>
      <c r="L723" s="66"/>
      <c r="M723" s="66"/>
      <c r="N723" s="66"/>
      <c r="O723" s="66"/>
      <c r="P723" s="66"/>
      <c r="Q723" s="65"/>
    </row>
    <row r="724" spans="1:17" x14ac:dyDescent="0.3">
      <c r="A724" s="66"/>
      <c r="B724" s="66"/>
      <c r="C724" s="66"/>
      <c r="D724" s="67"/>
      <c r="E724" s="68"/>
      <c r="F724" s="65"/>
      <c r="G724" s="65"/>
      <c r="I724" s="66"/>
      <c r="J724" s="66"/>
      <c r="K724" s="66"/>
      <c r="L724" s="66"/>
      <c r="M724" s="66"/>
      <c r="N724" s="66"/>
      <c r="O724" s="66"/>
      <c r="P724" s="66"/>
      <c r="Q724" s="65"/>
    </row>
    <row r="725" spans="1:17" x14ac:dyDescent="0.3">
      <c r="A725" s="66"/>
      <c r="B725" s="66"/>
      <c r="C725" s="66"/>
      <c r="D725" s="67"/>
      <c r="E725" s="68"/>
      <c r="F725" s="65"/>
      <c r="G725" s="65"/>
      <c r="I725" s="66"/>
      <c r="J725" s="66"/>
      <c r="K725" s="66"/>
      <c r="L725" s="66"/>
      <c r="M725" s="66"/>
      <c r="N725" s="66"/>
      <c r="O725" s="66"/>
      <c r="P725" s="66"/>
      <c r="Q725" s="65"/>
    </row>
    <row r="726" spans="1:17" x14ac:dyDescent="0.3">
      <c r="A726" s="66"/>
      <c r="B726" s="66"/>
      <c r="C726" s="66"/>
      <c r="D726" s="67"/>
      <c r="E726" s="68"/>
      <c r="F726" s="65"/>
      <c r="G726" s="65"/>
      <c r="I726" s="66"/>
      <c r="J726" s="66"/>
      <c r="K726" s="66"/>
      <c r="L726" s="66"/>
      <c r="M726" s="66"/>
      <c r="N726" s="66"/>
      <c r="O726" s="66"/>
      <c r="P726" s="66"/>
      <c r="Q726" s="65"/>
    </row>
    <row r="727" spans="1:17" x14ac:dyDescent="0.3">
      <c r="A727" s="66"/>
      <c r="B727" s="66"/>
      <c r="C727" s="66"/>
      <c r="D727" s="67"/>
      <c r="E727" s="68"/>
      <c r="F727" s="65"/>
      <c r="G727" s="65"/>
      <c r="I727" s="66"/>
      <c r="J727" s="66"/>
      <c r="K727" s="66"/>
      <c r="L727" s="66"/>
      <c r="M727" s="66"/>
      <c r="N727" s="66"/>
      <c r="O727" s="66"/>
      <c r="P727" s="66"/>
      <c r="Q727" s="65"/>
    </row>
    <row r="728" spans="1:17" x14ac:dyDescent="0.3">
      <c r="A728" s="66"/>
      <c r="B728" s="66"/>
      <c r="C728" s="66"/>
      <c r="D728" s="67"/>
      <c r="E728" s="68"/>
      <c r="F728" s="65"/>
      <c r="G728" s="65"/>
      <c r="I728" s="66"/>
      <c r="J728" s="66"/>
      <c r="K728" s="66"/>
      <c r="L728" s="66"/>
      <c r="M728" s="66"/>
      <c r="N728" s="66"/>
      <c r="O728" s="66"/>
      <c r="P728" s="66"/>
      <c r="Q728" s="65"/>
    </row>
    <row r="729" spans="1:17" x14ac:dyDescent="0.3">
      <c r="A729" s="66"/>
      <c r="B729" s="66"/>
      <c r="C729" s="66"/>
      <c r="D729" s="67"/>
      <c r="E729" s="68"/>
      <c r="F729" s="65"/>
      <c r="G729" s="65"/>
      <c r="I729" s="66"/>
      <c r="J729" s="66"/>
      <c r="K729" s="66"/>
      <c r="L729" s="66"/>
      <c r="M729" s="66"/>
      <c r="N729" s="66"/>
      <c r="O729" s="66"/>
      <c r="P729" s="66"/>
      <c r="Q729" s="65"/>
    </row>
    <row r="730" spans="1:17" x14ac:dyDescent="0.3">
      <c r="A730" s="66"/>
      <c r="B730" s="66"/>
      <c r="C730" s="66"/>
      <c r="D730" s="67"/>
      <c r="E730" s="68"/>
      <c r="F730" s="65"/>
      <c r="G730" s="65"/>
      <c r="I730" s="66"/>
      <c r="J730" s="66"/>
      <c r="K730" s="66"/>
      <c r="L730" s="66"/>
      <c r="M730" s="66"/>
      <c r="N730" s="66"/>
      <c r="O730" s="66"/>
      <c r="P730" s="66"/>
      <c r="Q730" s="65"/>
    </row>
    <row r="731" spans="1:17" x14ac:dyDescent="0.3">
      <c r="A731" s="66"/>
      <c r="B731" s="66"/>
      <c r="C731" s="66"/>
      <c r="D731" s="67"/>
      <c r="E731" s="68"/>
      <c r="F731" s="65"/>
      <c r="G731" s="65"/>
      <c r="I731" s="66"/>
      <c r="J731" s="66"/>
      <c r="K731" s="66"/>
      <c r="L731" s="66"/>
      <c r="M731" s="66"/>
      <c r="N731" s="66"/>
      <c r="O731" s="66"/>
      <c r="P731" s="66"/>
      <c r="Q731" s="65"/>
    </row>
    <row r="732" spans="1:17" x14ac:dyDescent="0.3">
      <c r="A732" s="66"/>
      <c r="B732" s="66"/>
      <c r="C732" s="66"/>
      <c r="D732" s="67"/>
      <c r="E732" s="68"/>
      <c r="F732" s="65"/>
      <c r="G732" s="65"/>
      <c r="I732" s="66"/>
      <c r="J732" s="66"/>
      <c r="K732" s="66"/>
      <c r="L732" s="66"/>
      <c r="M732" s="66"/>
      <c r="N732" s="66"/>
      <c r="O732" s="66"/>
      <c r="P732" s="66"/>
      <c r="Q732" s="65"/>
    </row>
    <row r="733" spans="1:17" x14ac:dyDescent="0.3">
      <c r="A733" s="66"/>
      <c r="B733" s="66"/>
      <c r="C733" s="66"/>
      <c r="D733" s="67"/>
      <c r="E733" s="68"/>
      <c r="F733" s="65"/>
      <c r="G733" s="65"/>
      <c r="I733" s="66"/>
      <c r="J733" s="66"/>
      <c r="K733" s="66"/>
      <c r="L733" s="66"/>
      <c r="M733" s="66"/>
      <c r="N733" s="66"/>
      <c r="O733" s="66"/>
      <c r="P733" s="66"/>
      <c r="Q733" s="65"/>
    </row>
    <row r="734" spans="1:17" x14ac:dyDescent="0.3">
      <c r="A734" s="66"/>
      <c r="B734" s="66"/>
      <c r="C734" s="66"/>
      <c r="D734" s="67"/>
      <c r="E734" s="68"/>
      <c r="F734" s="65"/>
      <c r="G734" s="65"/>
      <c r="I734" s="66"/>
      <c r="J734" s="66"/>
      <c r="K734" s="66"/>
      <c r="L734" s="66"/>
      <c r="M734" s="66"/>
      <c r="N734" s="66"/>
      <c r="O734" s="66"/>
      <c r="P734" s="66"/>
      <c r="Q734" s="65"/>
    </row>
    <row r="735" spans="1:17" x14ac:dyDescent="0.3">
      <c r="A735" s="66"/>
      <c r="B735" s="66"/>
      <c r="C735" s="66"/>
      <c r="D735" s="67"/>
      <c r="E735" s="68"/>
      <c r="F735" s="65"/>
      <c r="G735" s="65"/>
      <c r="I735" s="66"/>
      <c r="J735" s="66"/>
      <c r="K735" s="66"/>
      <c r="L735" s="66"/>
      <c r="M735" s="66"/>
      <c r="N735" s="66"/>
      <c r="O735" s="66"/>
      <c r="P735" s="66"/>
      <c r="Q735" s="65"/>
    </row>
    <row r="736" spans="1:17" x14ac:dyDescent="0.3">
      <c r="A736" s="66"/>
      <c r="B736" s="66"/>
      <c r="C736" s="66"/>
      <c r="D736" s="67"/>
      <c r="E736" s="68"/>
      <c r="F736" s="65"/>
      <c r="G736" s="65"/>
      <c r="I736" s="66"/>
      <c r="J736" s="66"/>
      <c r="K736" s="66"/>
      <c r="L736" s="66"/>
      <c r="M736" s="66"/>
      <c r="N736" s="66"/>
      <c r="O736" s="66"/>
      <c r="P736" s="66"/>
      <c r="Q736" s="65"/>
    </row>
    <row r="737" spans="1:17" x14ac:dyDescent="0.3">
      <c r="A737" s="66"/>
      <c r="B737" s="66"/>
      <c r="C737" s="66"/>
      <c r="D737" s="67"/>
      <c r="E737" s="68"/>
      <c r="F737" s="65"/>
      <c r="G737" s="65"/>
      <c r="I737" s="66"/>
      <c r="J737" s="66"/>
      <c r="K737" s="66"/>
      <c r="L737" s="66"/>
      <c r="M737" s="66"/>
      <c r="N737" s="66"/>
      <c r="O737" s="66"/>
      <c r="P737" s="66"/>
      <c r="Q737" s="65"/>
    </row>
    <row r="738" spans="1:17" x14ac:dyDescent="0.3">
      <c r="A738" s="66"/>
      <c r="B738" s="66"/>
      <c r="C738" s="66"/>
      <c r="D738" s="67"/>
      <c r="E738" s="68"/>
      <c r="F738" s="65"/>
      <c r="G738" s="65"/>
      <c r="I738" s="66"/>
      <c r="J738" s="66"/>
      <c r="K738" s="66"/>
      <c r="L738" s="66"/>
      <c r="M738" s="66"/>
      <c r="N738" s="66"/>
      <c r="O738" s="66"/>
      <c r="P738" s="66"/>
      <c r="Q738" s="65"/>
    </row>
    <row r="739" spans="1:17" x14ac:dyDescent="0.3">
      <c r="A739" s="66"/>
      <c r="B739" s="66"/>
      <c r="C739" s="66"/>
      <c r="D739" s="67"/>
      <c r="E739" s="68"/>
      <c r="F739" s="65"/>
      <c r="G739" s="65"/>
      <c r="I739" s="66"/>
      <c r="J739" s="66"/>
      <c r="K739" s="66"/>
      <c r="L739" s="66"/>
      <c r="M739" s="66"/>
      <c r="N739" s="66"/>
      <c r="O739" s="66"/>
      <c r="P739" s="66"/>
      <c r="Q739" s="65"/>
    </row>
    <row r="740" spans="1:17" x14ac:dyDescent="0.3">
      <c r="A740" s="66"/>
      <c r="B740" s="66"/>
      <c r="C740" s="66"/>
      <c r="D740" s="67"/>
      <c r="E740" s="68"/>
      <c r="F740" s="65"/>
      <c r="G740" s="65"/>
      <c r="I740" s="66"/>
      <c r="J740" s="66"/>
      <c r="K740" s="66"/>
      <c r="L740" s="66"/>
      <c r="M740" s="66"/>
      <c r="N740" s="66"/>
      <c r="O740" s="66"/>
      <c r="P740" s="66"/>
      <c r="Q740" s="65"/>
    </row>
    <row r="741" spans="1:17" x14ac:dyDescent="0.3">
      <c r="A741" s="66"/>
      <c r="B741" s="66"/>
      <c r="C741" s="66"/>
      <c r="D741" s="67"/>
      <c r="E741" s="68"/>
      <c r="F741" s="65"/>
      <c r="G741" s="65"/>
      <c r="I741" s="66"/>
      <c r="J741" s="66"/>
      <c r="K741" s="66"/>
      <c r="L741" s="66"/>
      <c r="M741" s="66"/>
      <c r="N741" s="66"/>
      <c r="O741" s="66"/>
      <c r="P741" s="66"/>
      <c r="Q741" s="65"/>
    </row>
    <row r="742" spans="1:17" x14ac:dyDescent="0.3">
      <c r="A742" s="66"/>
      <c r="B742" s="66"/>
      <c r="C742" s="66"/>
      <c r="D742" s="67"/>
      <c r="E742" s="68"/>
      <c r="F742" s="65"/>
      <c r="G742" s="65"/>
      <c r="I742" s="66"/>
      <c r="J742" s="66"/>
      <c r="K742" s="66"/>
      <c r="L742" s="66"/>
      <c r="M742" s="66"/>
      <c r="N742" s="66"/>
      <c r="O742" s="66"/>
      <c r="P742" s="66"/>
      <c r="Q742" s="65"/>
    </row>
    <row r="743" spans="1:17" x14ac:dyDescent="0.3">
      <c r="A743" s="66"/>
      <c r="B743" s="66"/>
      <c r="C743" s="66"/>
      <c r="D743" s="67"/>
      <c r="E743" s="68"/>
      <c r="F743" s="65"/>
      <c r="G743" s="65"/>
      <c r="I743" s="66"/>
      <c r="J743" s="66"/>
      <c r="K743" s="66"/>
      <c r="L743" s="66"/>
      <c r="M743" s="66"/>
      <c r="N743" s="66"/>
      <c r="O743" s="66"/>
      <c r="P743" s="66"/>
      <c r="Q743" s="65"/>
    </row>
    <row r="744" spans="1:17" x14ac:dyDescent="0.3">
      <c r="A744" s="66"/>
      <c r="B744" s="66"/>
      <c r="C744" s="66"/>
      <c r="D744" s="67"/>
      <c r="E744" s="68"/>
      <c r="F744" s="65"/>
      <c r="G744" s="65"/>
      <c r="I744" s="66"/>
      <c r="J744" s="66"/>
      <c r="K744" s="66"/>
      <c r="L744" s="66"/>
      <c r="M744" s="66"/>
      <c r="N744" s="66"/>
      <c r="O744" s="66"/>
      <c r="P744" s="66"/>
      <c r="Q744" s="65"/>
    </row>
    <row r="745" spans="1:17" x14ac:dyDescent="0.3">
      <c r="A745" s="66"/>
      <c r="B745" s="66"/>
      <c r="C745" s="66"/>
      <c r="D745" s="67"/>
      <c r="E745" s="68"/>
      <c r="F745" s="65"/>
      <c r="G745" s="65"/>
      <c r="I745" s="66"/>
      <c r="J745" s="66"/>
      <c r="K745" s="66"/>
      <c r="L745" s="66"/>
      <c r="M745" s="66"/>
      <c r="N745" s="66"/>
      <c r="O745" s="66"/>
      <c r="P745" s="66"/>
      <c r="Q745" s="65"/>
    </row>
    <row r="746" spans="1:17" x14ac:dyDescent="0.3">
      <c r="A746" s="66"/>
      <c r="B746" s="66"/>
      <c r="C746" s="66"/>
      <c r="D746" s="67"/>
      <c r="E746" s="68"/>
      <c r="F746" s="65"/>
      <c r="G746" s="65"/>
      <c r="I746" s="66"/>
      <c r="J746" s="66"/>
      <c r="K746" s="66"/>
      <c r="L746" s="66"/>
      <c r="M746" s="66"/>
      <c r="N746" s="66"/>
      <c r="O746" s="66"/>
      <c r="P746" s="66"/>
      <c r="Q746" s="65"/>
    </row>
    <row r="747" spans="1:17" x14ac:dyDescent="0.3">
      <c r="A747" s="66"/>
      <c r="B747" s="66"/>
      <c r="C747" s="66"/>
      <c r="D747" s="67"/>
      <c r="E747" s="68"/>
      <c r="F747" s="65"/>
      <c r="G747" s="65"/>
      <c r="I747" s="66"/>
      <c r="J747" s="66"/>
      <c r="K747" s="66"/>
      <c r="L747" s="66"/>
      <c r="M747" s="66"/>
      <c r="N747" s="66"/>
      <c r="O747" s="66"/>
      <c r="P747" s="66"/>
      <c r="Q747" s="65"/>
    </row>
    <row r="748" spans="1:17" x14ac:dyDescent="0.3">
      <c r="A748" s="66"/>
      <c r="B748" s="66"/>
      <c r="C748" s="66"/>
      <c r="D748" s="67"/>
      <c r="E748" s="68"/>
      <c r="F748" s="65"/>
      <c r="G748" s="65"/>
      <c r="I748" s="66"/>
      <c r="J748" s="66"/>
      <c r="K748" s="66"/>
      <c r="L748" s="66"/>
      <c r="M748" s="66"/>
      <c r="N748" s="66"/>
      <c r="O748" s="66"/>
      <c r="P748" s="66"/>
      <c r="Q748" s="65"/>
    </row>
    <row r="749" spans="1:17" x14ac:dyDescent="0.3">
      <c r="A749" s="66"/>
      <c r="B749" s="66"/>
      <c r="C749" s="66"/>
      <c r="D749" s="67"/>
      <c r="E749" s="68"/>
      <c r="F749" s="65"/>
      <c r="G749" s="65"/>
      <c r="I749" s="66"/>
      <c r="J749" s="66"/>
      <c r="K749" s="66"/>
      <c r="L749" s="66"/>
      <c r="M749" s="66"/>
      <c r="N749" s="66"/>
      <c r="O749" s="66"/>
      <c r="P749" s="66"/>
      <c r="Q749" s="65"/>
    </row>
    <row r="750" spans="1:17" x14ac:dyDescent="0.3">
      <c r="A750" s="66"/>
      <c r="B750" s="66"/>
      <c r="C750" s="66"/>
      <c r="D750" s="67"/>
      <c r="E750" s="68"/>
      <c r="F750" s="65"/>
      <c r="G750" s="65"/>
      <c r="I750" s="66"/>
      <c r="J750" s="66"/>
      <c r="K750" s="66"/>
      <c r="L750" s="66"/>
      <c r="M750" s="66"/>
      <c r="N750" s="66"/>
      <c r="O750" s="66"/>
      <c r="P750" s="66"/>
      <c r="Q750" s="65"/>
    </row>
    <row r="751" spans="1:17" x14ac:dyDescent="0.3">
      <c r="A751" s="66"/>
      <c r="B751" s="66"/>
      <c r="C751" s="66"/>
      <c r="D751" s="67"/>
      <c r="E751" s="68"/>
      <c r="F751" s="65"/>
      <c r="G751" s="65"/>
      <c r="I751" s="66"/>
      <c r="J751" s="66"/>
      <c r="K751" s="66"/>
      <c r="L751" s="66"/>
      <c r="M751" s="66"/>
      <c r="N751" s="66"/>
      <c r="O751" s="66"/>
      <c r="P751" s="66"/>
      <c r="Q751" s="65"/>
    </row>
    <row r="752" spans="1:17" x14ac:dyDescent="0.3">
      <c r="A752" s="66"/>
      <c r="B752" s="66"/>
      <c r="C752" s="66"/>
      <c r="D752" s="67"/>
      <c r="E752" s="68"/>
      <c r="F752" s="65"/>
      <c r="G752" s="65"/>
      <c r="I752" s="66"/>
      <c r="J752" s="66"/>
      <c r="K752" s="66"/>
      <c r="L752" s="66"/>
      <c r="M752" s="66"/>
      <c r="N752" s="66"/>
      <c r="O752" s="66"/>
      <c r="P752" s="66"/>
      <c r="Q752" s="65"/>
    </row>
    <row r="753" spans="1:17" x14ac:dyDescent="0.3">
      <c r="A753" s="66"/>
      <c r="B753" s="66"/>
      <c r="C753" s="66"/>
      <c r="D753" s="67"/>
      <c r="E753" s="68"/>
      <c r="F753" s="65"/>
      <c r="G753" s="65"/>
      <c r="I753" s="66"/>
      <c r="J753" s="66"/>
      <c r="K753" s="66"/>
      <c r="L753" s="66"/>
      <c r="M753" s="66"/>
      <c r="N753" s="66"/>
      <c r="O753" s="66"/>
      <c r="P753" s="66"/>
      <c r="Q753" s="65"/>
    </row>
    <row r="754" spans="1:17" x14ac:dyDescent="0.3">
      <c r="A754" s="66"/>
      <c r="B754" s="66"/>
      <c r="C754" s="66"/>
      <c r="D754" s="67"/>
      <c r="E754" s="68"/>
      <c r="F754" s="65"/>
      <c r="G754" s="65"/>
      <c r="I754" s="66"/>
      <c r="J754" s="66"/>
      <c r="K754" s="66"/>
      <c r="L754" s="66"/>
      <c r="M754" s="66"/>
      <c r="N754" s="66"/>
      <c r="O754" s="66"/>
      <c r="P754" s="66"/>
      <c r="Q754" s="65"/>
    </row>
    <row r="755" spans="1:17" x14ac:dyDescent="0.3">
      <c r="A755" s="66"/>
      <c r="B755" s="66"/>
      <c r="C755" s="66"/>
      <c r="D755" s="67"/>
      <c r="E755" s="68"/>
      <c r="F755" s="65"/>
      <c r="G755" s="65"/>
      <c r="I755" s="66"/>
      <c r="J755" s="66"/>
      <c r="K755" s="66"/>
      <c r="L755" s="66"/>
      <c r="M755" s="66"/>
      <c r="N755" s="66"/>
      <c r="O755" s="66"/>
      <c r="P755" s="66"/>
      <c r="Q755" s="65"/>
    </row>
    <row r="756" spans="1:17" x14ac:dyDescent="0.3">
      <c r="A756" s="66"/>
      <c r="B756" s="66"/>
      <c r="C756" s="66"/>
      <c r="D756" s="67"/>
      <c r="E756" s="68"/>
      <c r="F756" s="65"/>
      <c r="G756" s="65"/>
      <c r="I756" s="66"/>
      <c r="J756" s="66"/>
      <c r="K756" s="66"/>
      <c r="L756" s="66"/>
      <c r="M756" s="66"/>
      <c r="N756" s="66"/>
      <c r="O756" s="66"/>
      <c r="P756" s="66"/>
      <c r="Q756" s="65"/>
    </row>
  </sheetData>
  <autoFilter ref="A3:G412" xr:uid="{9B68343B-9E71-466B-B09E-1A0A48E8E791}">
    <sortState xmlns:xlrd2="http://schemas.microsoft.com/office/spreadsheetml/2017/richdata2" ref="A4:G412">
      <sortCondition ref="A3:A412"/>
    </sortState>
  </autoFilter>
  <customSheetViews>
    <customSheetView guid="{5F8FD084-40FB-49AA-B447-CD935F604D55}" scale="70" showPageBreaks="1" printArea="1" showAutoFilter="1" hiddenColumns="1" view="pageBreakPreview" topLeftCell="B5">
      <selection activeCell="K13" sqref="K13"/>
      <colBreaks count="1" manualBreakCount="1">
        <brk id="7" max="1048575" man="1"/>
      </colBreaks>
      <pageMargins left="0.7" right="0.7" top="0.75" bottom="0.75" header="0.3" footer="0.3"/>
      <pageSetup scale="49" orientation="portrait" r:id="rId1"/>
      <autoFilter ref="A3:F3" xr:uid="{B8C85A1C-E4CA-4251-9A13-73BE5AA3DB16}"/>
    </customSheetView>
    <customSheetView guid="{5FD7D287-AC38-49FE-8AA5-C4506E353DCC}" scale="70" showPageBreaks="1" printArea="1" showAutoFilter="1" hiddenColumns="1" view="pageBreakPreview" topLeftCell="A14">
      <selection activeCell="I31" sqref="I31"/>
      <colBreaks count="1" manualBreakCount="1">
        <brk id="7" max="1048575" man="1"/>
      </colBreaks>
      <pageMargins left="0.7" right="0.7" top="0.75" bottom="0.75" header="0.3" footer="0.3"/>
      <pageSetup scale="49" orientation="portrait" r:id="rId2"/>
      <autoFilter ref="A3:F3" xr:uid="{E35659EB-96AB-4C1D-974B-CA5D44051D01}">
        <sortState xmlns:xlrd2="http://schemas.microsoft.com/office/spreadsheetml/2017/richdata2" ref="A4:F412">
          <sortCondition ref="A3"/>
        </sortState>
      </autoFilter>
    </customSheetView>
  </customSheetViews>
  <mergeCells count="8">
    <mergeCell ref="J37:N37"/>
    <mergeCell ref="J31:O31"/>
    <mergeCell ref="A2:F2"/>
    <mergeCell ref="J32:N32"/>
    <mergeCell ref="J33:N33"/>
    <mergeCell ref="J34:N34"/>
    <mergeCell ref="J35:N35"/>
    <mergeCell ref="J36:N36"/>
  </mergeCells>
  <pageMargins left="0.7" right="0.7" top="0.75" bottom="0.75" header="0.3" footer="0.3"/>
  <pageSetup scale="49" orientation="portrait" r:id="rId3"/>
  <colBreaks count="1" manualBreakCount="1">
    <brk id="7" max="1048575" man="1"/>
  </colBreaks>
  <drawing r:id="rId4"/>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B627DE-760E-46C7-B70A-0EDD7E31B0BC}">
  <sheetPr codeName="Sheet19">
    <tabColor theme="0" tint="-0.499984740745262"/>
  </sheetPr>
  <dimension ref="A1:Z87"/>
  <sheetViews>
    <sheetView topLeftCell="K8" zoomScaleNormal="100" workbookViewId="0">
      <selection activeCell="V44" sqref="V44"/>
    </sheetView>
  </sheetViews>
  <sheetFormatPr defaultColWidth="8.88671875" defaultRowHeight="13.8" x14ac:dyDescent="0.3"/>
  <cols>
    <col min="1" max="1" width="21.6640625" style="557" customWidth="1"/>
    <col min="2" max="3" width="11" style="51" customWidth="1"/>
    <col min="4" max="4" width="11.109375" style="51" customWidth="1"/>
    <col min="5" max="5" width="11.6640625" style="51" customWidth="1"/>
    <col min="6" max="6" width="10.109375" style="51" customWidth="1"/>
    <col min="7" max="7" width="11.33203125" style="51" customWidth="1"/>
    <col min="8" max="8" width="10.33203125" style="51" customWidth="1"/>
    <col min="9" max="9" width="12.88671875" style="51" customWidth="1"/>
    <col min="10" max="10" width="12.6640625" style="51" customWidth="1"/>
    <col min="11" max="11" width="10.109375" style="51" customWidth="1"/>
    <col min="12" max="12" width="12.6640625" style="51" customWidth="1"/>
    <col min="13" max="13" width="11.109375" style="51" customWidth="1"/>
    <col min="14" max="14" width="11.6640625" style="51" customWidth="1"/>
    <col min="15" max="15" width="11.33203125" style="51" customWidth="1"/>
    <col min="16" max="18" width="2.6640625" style="557" customWidth="1"/>
    <col min="19" max="19" width="6.33203125" style="557" customWidth="1"/>
    <col min="20" max="20" width="12.109375" style="557" customWidth="1"/>
    <col min="21" max="21" width="15.44140625" style="557" customWidth="1"/>
    <col min="22" max="22" width="20.33203125" style="557" customWidth="1"/>
    <col min="23" max="23" width="10.88671875" style="557" customWidth="1"/>
    <col min="24" max="24" width="12.88671875" style="557" customWidth="1"/>
    <col min="25" max="25" width="7.109375" style="557" customWidth="1"/>
    <col min="26" max="35" width="8.88671875" style="557"/>
    <col min="36" max="36" width="14.6640625" style="557" bestFit="1" customWidth="1"/>
    <col min="37" max="16384" width="8.88671875" style="557"/>
  </cols>
  <sheetData>
    <row r="1" spans="1:26" x14ac:dyDescent="0.3">
      <c r="A1" s="556"/>
      <c r="B1" s="488"/>
      <c r="C1" s="488"/>
      <c r="D1" s="488"/>
      <c r="E1" s="488"/>
      <c r="F1" s="488"/>
      <c r="G1" s="488"/>
      <c r="H1" s="488"/>
      <c r="I1" s="488"/>
      <c r="J1" s="488"/>
      <c r="K1" s="488"/>
      <c r="L1" s="488"/>
      <c r="M1" s="488"/>
      <c r="N1" s="488"/>
      <c r="O1" s="488"/>
      <c r="P1" s="556"/>
      <c r="Q1" s="556"/>
      <c r="R1" s="556"/>
      <c r="S1" s="556"/>
      <c r="T1" s="556"/>
      <c r="U1" s="556"/>
      <c r="V1" s="556"/>
      <c r="W1" s="556"/>
      <c r="X1" s="556"/>
      <c r="Y1" s="556"/>
      <c r="Z1" s="556"/>
    </row>
    <row r="2" spans="1:26" ht="23.4" x14ac:dyDescent="0.3">
      <c r="A2" s="1236" t="s">
        <v>1016</v>
      </c>
      <c r="B2" s="1237"/>
      <c r="C2" s="1237"/>
      <c r="D2" s="1237"/>
      <c r="E2" s="1237"/>
      <c r="F2" s="1237"/>
      <c r="G2" s="1237"/>
      <c r="H2" s="1237"/>
      <c r="I2" s="1237"/>
      <c r="J2" s="1237"/>
      <c r="K2" s="1237"/>
      <c r="L2" s="1237"/>
      <c r="M2" s="1237"/>
      <c r="N2" s="1238"/>
      <c r="O2" s="1239"/>
      <c r="P2" s="556"/>
      <c r="Q2" s="556"/>
      <c r="R2" s="556"/>
      <c r="S2" s="556"/>
      <c r="T2" s="556"/>
      <c r="U2" s="556"/>
      <c r="V2" s="556"/>
      <c r="W2" s="556"/>
      <c r="X2" s="556"/>
      <c r="Y2" s="556"/>
      <c r="Z2" s="556"/>
    </row>
    <row r="3" spans="1:26" ht="15" customHeight="1" x14ac:dyDescent="0.3">
      <c r="A3" s="558"/>
      <c r="B3" s="159"/>
      <c r="C3" s="159"/>
      <c r="D3" s="159"/>
      <c r="E3" s="159"/>
      <c r="F3" s="159"/>
      <c r="G3" s="159"/>
      <c r="H3" s="159"/>
      <c r="I3" s="159"/>
      <c r="J3" s="159"/>
      <c r="K3" s="159"/>
      <c r="L3" s="159"/>
      <c r="M3" s="159"/>
      <c r="N3" s="160"/>
      <c r="O3" s="559"/>
      <c r="P3" s="556"/>
      <c r="Q3" s="556"/>
      <c r="R3" s="556"/>
      <c r="S3" s="556"/>
      <c r="T3" s="556"/>
      <c r="U3" s="556"/>
      <c r="V3" s="556"/>
      <c r="W3" s="556"/>
      <c r="X3" s="556"/>
      <c r="Y3" s="556"/>
      <c r="Z3" s="556"/>
    </row>
    <row r="4" spans="1:26" ht="14.4" thickBot="1" x14ac:dyDescent="0.35">
      <c r="A4" s="560"/>
      <c r="B4" s="115"/>
      <c r="C4" s="115"/>
      <c r="D4" s="115"/>
      <c r="E4" s="115"/>
      <c r="F4" s="115"/>
      <c r="G4" s="115"/>
      <c r="H4" s="115"/>
      <c r="I4" s="116"/>
      <c r="J4" s="115"/>
      <c r="K4" s="115"/>
      <c r="L4" s="115"/>
      <c r="M4" s="117"/>
      <c r="N4" s="118"/>
      <c r="O4" s="561"/>
      <c r="P4" s="556"/>
      <c r="Q4" s="556"/>
      <c r="R4" s="556"/>
      <c r="S4" s="556"/>
      <c r="T4" s="556"/>
      <c r="U4" s="556"/>
      <c r="V4" s="556"/>
      <c r="W4" s="556"/>
      <c r="X4" s="556"/>
      <c r="Y4" s="556"/>
      <c r="Z4" s="556"/>
    </row>
    <row r="5" spans="1:26" ht="17.399999999999999" x14ac:dyDescent="0.3">
      <c r="A5" s="562" t="s">
        <v>998</v>
      </c>
      <c r="B5" s="161" t="str">
        <f>_xlfn.TEXTJOIN("-",TRUE, TEXT(IF((MONTH($U$18)) &gt; 20,(MONTH($U$18))*30, (MONTH($U$18))*29), "mmm"),  IF(13-MONTH($U$18) &lt; 1,MID(YEAR($U$18), 3, 2)+1, MID(YEAR($U$18), 3, 2)))</f>
        <v>May-23</v>
      </c>
      <c r="C5" s="161" t="str">
        <f>_xlfn.TEXTJOIN("-",TRUE, TEXT(IF((MONTH($U$18)+1) &gt; 20,(MONTH($U$18)+1)*30, (MONTH($U$18)+1)*29), "mmm"),  IF(13-MONTH($U$18) &lt; 2,MID(YEAR($U$18), 3, 2)+1, MID(YEAR($U$18), 3, 2)))</f>
        <v>Jun-23</v>
      </c>
      <c r="D5" s="161" t="str">
        <f>_xlfn.TEXTJOIN("-",TRUE, TEXT(IF((MONTH($U$18)+2) &gt; 20,(MONTH($U$18)+2)*30, (MONTH($U$18)+2)*29), "mmm"),  IF(13-MONTH($U$18) &lt; 3,MID(YEAR($U$18), 3, 2)+1, MID(YEAR($U$18), 3, 2)))</f>
        <v>Jul-23</v>
      </c>
      <c r="E5" s="161" t="str">
        <f>_xlfn.TEXTJOIN("-",TRUE, TEXT(IF((MONTH($U$18)+3) &gt; 20,(MONTH($U$18)+3)*30, (MONTH($U$18)+3)*29), "mmm"),  IF(13-MONTH($U$18) &lt; 4,MID(YEAR($U$18), 3, 2)+1, MID(YEAR($U$18), 3, 2)))</f>
        <v>Aug-23</v>
      </c>
      <c r="F5" s="161" t="str">
        <f>_xlfn.TEXTJOIN("-",TRUE, TEXT(IF((MONTH($U$18)+4) &gt; 20,(MONTH($U$18)+4)*30, (MONTH($U$18)+4)*29), "mmm"),  IF(13-MONTH($U$18) &lt; 5,MID(YEAR($U$18), 3, 2)+1, MID(YEAR($U$18), 3, 2)))</f>
        <v>Sep-23</v>
      </c>
      <c r="G5" s="161" t="str">
        <f>_xlfn.TEXTJOIN("-",TRUE, TEXT(IF((MONTH($U$18)+5) &gt; 20,(MONTH($U$18)+5)*30, (MONTH($U$18)+5)*29), "mmm"),  IF(13-MONTH($U$18) &lt; 6,MID(YEAR($U$18), 3, 2)+1, MID(YEAR($U$18), 3, 2)))</f>
        <v>Oct-23</v>
      </c>
      <c r="H5" s="161" t="str">
        <f>_xlfn.TEXTJOIN("-",TRUE, TEXT(IF((MONTH($U$18)+6) &gt; 20,(MONTH($U$18)+6)*30, (MONTH($U$18)+6)*29), "mmm"),  IF(13-MONTH($U$18) &lt; 7,MID(YEAR($U$18), 3, 2)+1, MID(YEAR($U$18), 3, 2)))</f>
        <v>Nov-23</v>
      </c>
      <c r="I5" s="161" t="str">
        <f>_xlfn.TEXTJOIN("-",TRUE, TEXT(IF((MONTH($U$18)+7) &gt; 20,(MONTH($U$18)+7)*30, (MONTH($U$18)+7)*29), "mmm"),  IF(13-MONTH($U$18) &lt; 8,MID(YEAR($U$18), 3, 2)+1, MID(YEAR($U$18), 3, 2)))</f>
        <v>Dec-23</v>
      </c>
      <c r="J5" s="161" t="str">
        <f>_xlfn.TEXTJOIN("-",TRUE, TEXT(IF((MONTH($U$18)+8) &gt; 20,(MONTH($U$18)+8)*30, (MONTH($U$18)+8)*29), "mmm"),  IF(13-MONTH($U$18) &lt; 9,MID(YEAR($U$18), 3, 2)+1, MID(YEAR($U$18), 3, 2)))</f>
        <v>Jan-24</v>
      </c>
      <c r="K5" s="161" t="str">
        <f>_xlfn.TEXTJOIN("-",TRUE, TEXT(IF((MONTH($U$18)+9) &gt; 20,(MONTH($U$18)+9)*30, (MONTH($U$18)+9)*29), "mmm"),  IF(13-MONTH($U$18) &lt; 10,MID(YEAR($U$18), 3, 2)+1, MID(YEAR($U$18), 3, 2)))</f>
        <v>Feb-24</v>
      </c>
      <c r="L5" s="161" t="str">
        <f>_xlfn.TEXTJOIN("-",TRUE, TEXT(IF((MONTH($U$18)+10) &gt; 20,(MONTH($U$18)+10)*30, (MONTH($U$18)+10)*29), "mmm"),  IF(13-MONTH($U$18) &lt; 11,MID(YEAR($U$18), 3, 2)+1, MID(YEAR($U$18), 3, 2)))</f>
        <v>Mar-24</v>
      </c>
      <c r="M5" s="161" t="str">
        <f>_xlfn.TEXTJOIN("-",TRUE, TEXT(IF((MONTH($U$18)+11) &gt; 20,(MONTH($U$18)+11)*30, (MONTH($U$18)+11)*29), "mmm"),  IF(13-MONTH($U$18) &lt; 12,MID(YEAR($U$18), 3, 2)+1, MID(YEAR($U$18), 3, 2)))</f>
        <v>Apr-24</v>
      </c>
      <c r="N5" s="485" t="s">
        <v>969</v>
      </c>
      <c r="O5" s="563" t="s">
        <v>970</v>
      </c>
      <c r="P5" s="556"/>
      <c r="Q5" s="564"/>
      <c r="R5" s="556"/>
      <c r="S5" s="920"/>
      <c r="T5" s="921" t="str">
        <f>MID($AK24,6,2)</f>
        <v/>
      </c>
      <c r="U5" s="922"/>
      <c r="V5" s="922"/>
      <c r="W5" s="922"/>
      <c r="X5" s="922"/>
      <c r="Y5" s="923"/>
      <c r="Z5" s="556"/>
    </row>
    <row r="6" spans="1:26" ht="14.4" x14ac:dyDescent="0.3">
      <c r="A6" s="565" t="s">
        <v>999</v>
      </c>
      <c r="B6" s="154">
        <v>2095</v>
      </c>
      <c r="C6" s="154">
        <v>3040</v>
      </c>
      <c r="D6" s="154">
        <v>6300</v>
      </c>
      <c r="E6" s="154">
        <v>5235</v>
      </c>
      <c r="F6" s="154">
        <v>1935</v>
      </c>
      <c r="G6" s="154">
        <v>4680</v>
      </c>
      <c r="H6" s="154">
        <v>3235</v>
      </c>
      <c r="I6" s="154">
        <v>765</v>
      </c>
      <c r="J6" s="154">
        <v>2470</v>
      </c>
      <c r="K6" s="154">
        <v>4165</v>
      </c>
      <c r="L6" s="154">
        <v>1685</v>
      </c>
      <c r="M6" s="154">
        <v>2760</v>
      </c>
      <c r="N6" s="914">
        <f>SUM($B6:$M6)</f>
        <v>38365</v>
      </c>
      <c r="O6" s="915">
        <f t="shared" ref="O6:O11" si="0">N6/$N$17</f>
        <v>0.59973425042988904</v>
      </c>
      <c r="P6" s="556"/>
      <c r="Q6" s="68"/>
      <c r="R6" s="556"/>
      <c r="S6" s="924"/>
      <c r="T6" s="925"/>
      <c r="U6" s="926"/>
      <c r="V6" s="926"/>
      <c r="W6" s="926"/>
      <c r="X6" s="926"/>
      <c r="Y6" s="927"/>
      <c r="Z6" s="556"/>
    </row>
    <row r="7" spans="1:26" ht="14.4" x14ac:dyDescent="0.3">
      <c r="A7" s="565" t="s">
        <v>311</v>
      </c>
      <c r="B7" s="154">
        <v>295</v>
      </c>
      <c r="C7" s="154">
        <v>210</v>
      </c>
      <c r="D7" s="154">
        <v>920</v>
      </c>
      <c r="E7" s="154">
        <v>0</v>
      </c>
      <c r="F7" s="154">
        <v>295</v>
      </c>
      <c r="G7" s="154">
        <v>275</v>
      </c>
      <c r="H7" s="154">
        <v>955</v>
      </c>
      <c r="I7" s="154">
        <v>0</v>
      </c>
      <c r="J7" s="154">
        <v>470</v>
      </c>
      <c r="K7" s="154">
        <v>630</v>
      </c>
      <c r="L7" s="154">
        <v>730</v>
      </c>
      <c r="M7" s="154">
        <v>1875</v>
      </c>
      <c r="N7" s="916">
        <f t="shared" ref="N7:N16" si="1">SUM($B7:$M7)</f>
        <v>6655</v>
      </c>
      <c r="O7" s="917">
        <f t="shared" si="0"/>
        <v>0.1040331405346256</v>
      </c>
      <c r="P7" s="556"/>
      <c r="Q7" s="68"/>
      <c r="R7" s="556"/>
      <c r="S7" s="924"/>
      <c r="T7" s="925"/>
      <c r="U7" s="926"/>
      <c r="V7" s="926"/>
      <c r="W7" s="926"/>
      <c r="X7" s="926"/>
      <c r="Y7" s="927"/>
      <c r="Z7" s="556"/>
    </row>
    <row r="8" spans="1:26" ht="14.4" x14ac:dyDescent="0.3">
      <c r="A8" s="565" t="s">
        <v>315</v>
      </c>
      <c r="B8" s="154">
        <v>745</v>
      </c>
      <c r="C8" s="154">
        <v>270</v>
      </c>
      <c r="D8" s="154">
        <v>1555</v>
      </c>
      <c r="E8" s="154">
        <v>920</v>
      </c>
      <c r="F8" s="154">
        <v>795</v>
      </c>
      <c r="G8" s="154">
        <v>505</v>
      </c>
      <c r="H8" s="154">
        <v>355</v>
      </c>
      <c r="I8" s="154">
        <v>860</v>
      </c>
      <c r="J8" s="154">
        <v>485</v>
      </c>
      <c r="K8" s="154">
        <v>620</v>
      </c>
      <c r="L8" s="154">
        <v>375</v>
      </c>
      <c r="M8" s="154">
        <v>1070</v>
      </c>
      <c r="N8" s="916">
        <f t="shared" si="1"/>
        <v>8555</v>
      </c>
      <c r="O8" s="917">
        <f t="shared" si="0"/>
        <v>0.13373456307644208</v>
      </c>
      <c r="P8" s="556"/>
      <c r="Q8" s="68"/>
      <c r="R8" s="556"/>
      <c r="S8" s="924"/>
      <c r="T8" s="925"/>
      <c r="U8" s="926"/>
      <c r="V8" s="926"/>
      <c r="W8" s="926"/>
      <c r="X8" s="926"/>
      <c r="Y8" s="927"/>
      <c r="Z8" s="556"/>
    </row>
    <row r="9" spans="1:26" ht="14.4" x14ac:dyDescent="0.3">
      <c r="A9" s="565" t="s">
        <v>2966</v>
      </c>
      <c r="B9" s="154">
        <v>0</v>
      </c>
      <c r="C9" s="154">
        <v>0</v>
      </c>
      <c r="D9" s="154">
        <v>735</v>
      </c>
      <c r="E9" s="154">
        <v>0</v>
      </c>
      <c r="F9" s="154">
        <v>750</v>
      </c>
      <c r="G9" s="154">
        <v>0</v>
      </c>
      <c r="H9" s="154">
        <v>0</v>
      </c>
      <c r="I9" s="154">
        <v>0</v>
      </c>
      <c r="J9" s="154">
        <v>0</v>
      </c>
      <c r="K9" s="154">
        <v>0</v>
      </c>
      <c r="L9" s="154">
        <v>750</v>
      </c>
      <c r="M9" s="154">
        <v>0</v>
      </c>
      <c r="N9" s="916">
        <f t="shared" si="1"/>
        <v>2235</v>
      </c>
      <c r="O9" s="917">
        <f t="shared" si="0"/>
        <v>3.493825230576833E-2</v>
      </c>
      <c r="P9" s="556"/>
      <c r="Q9" s="68"/>
      <c r="R9" s="556"/>
      <c r="S9" s="924"/>
      <c r="T9" s="925"/>
      <c r="U9" s="926"/>
      <c r="V9" s="926"/>
      <c r="W9" s="926"/>
      <c r="X9" s="926"/>
      <c r="Y9" s="927"/>
      <c r="Z9" s="556"/>
    </row>
    <row r="10" spans="1:26" ht="14.4" x14ac:dyDescent="0.3">
      <c r="A10" s="565" t="s">
        <v>2303</v>
      </c>
      <c r="B10" s="154">
        <v>0</v>
      </c>
      <c r="C10" s="154">
        <v>0</v>
      </c>
      <c r="D10" s="154">
        <v>0</v>
      </c>
      <c r="E10" s="154">
        <v>0</v>
      </c>
      <c r="F10" s="154">
        <v>0</v>
      </c>
      <c r="G10" s="154">
        <v>1425</v>
      </c>
      <c r="H10" s="154">
        <v>950</v>
      </c>
      <c r="I10" s="154">
        <v>0</v>
      </c>
      <c r="J10" s="154">
        <v>1200</v>
      </c>
      <c r="K10" s="154">
        <v>0</v>
      </c>
      <c r="L10" s="154">
        <v>0</v>
      </c>
      <c r="M10" s="154">
        <v>0</v>
      </c>
      <c r="N10" s="916">
        <f t="shared" si="1"/>
        <v>3575</v>
      </c>
      <c r="O10" s="917">
        <f t="shared" si="0"/>
        <v>5.5885571361575737E-2</v>
      </c>
      <c r="P10" s="556"/>
      <c r="Q10" s="68"/>
      <c r="R10" s="556"/>
      <c r="S10" s="924"/>
      <c r="T10" s="925"/>
      <c r="U10" s="926"/>
      <c r="V10" s="926"/>
      <c r="W10" s="926"/>
      <c r="X10" s="926"/>
      <c r="Y10" s="927"/>
      <c r="Z10" s="556"/>
    </row>
    <row r="11" spans="1:26" ht="14.4" x14ac:dyDescent="0.3">
      <c r="A11" s="565" t="s">
        <v>3543</v>
      </c>
      <c r="B11" s="154">
        <v>0</v>
      </c>
      <c r="C11" s="154">
        <v>0</v>
      </c>
      <c r="D11" s="154">
        <v>0</v>
      </c>
      <c r="E11" s="154">
        <v>0</v>
      </c>
      <c r="F11" s="154">
        <v>0</v>
      </c>
      <c r="G11" s="154">
        <v>0</v>
      </c>
      <c r="H11" s="154">
        <v>0</v>
      </c>
      <c r="I11" s="154">
        <v>0</v>
      </c>
      <c r="J11" s="154">
        <v>0</v>
      </c>
      <c r="K11" s="154">
        <v>0</v>
      </c>
      <c r="L11" s="154">
        <v>0</v>
      </c>
      <c r="M11" s="154">
        <v>360</v>
      </c>
      <c r="N11" s="916">
        <f t="shared" si="1"/>
        <v>360</v>
      </c>
      <c r="O11" s="917">
        <f t="shared" si="0"/>
        <v>5.6276379552915425E-3</v>
      </c>
      <c r="P11" s="556"/>
      <c r="Q11" s="68"/>
      <c r="R11" s="556"/>
      <c r="S11" s="924"/>
      <c r="T11" s="925"/>
      <c r="U11" s="926"/>
      <c r="V11" s="926"/>
      <c r="W11" s="926"/>
      <c r="X11" s="926"/>
      <c r="Y11" s="927"/>
      <c r="Z11" s="556"/>
    </row>
    <row r="12" spans="1:26" ht="14.4" x14ac:dyDescent="0.3">
      <c r="A12" s="565" t="s">
        <v>2304</v>
      </c>
      <c r="B12" s="154">
        <v>60</v>
      </c>
      <c r="C12" s="154">
        <v>0</v>
      </c>
      <c r="D12" s="154">
        <v>60</v>
      </c>
      <c r="E12" s="154">
        <v>100</v>
      </c>
      <c r="F12" s="154">
        <v>0</v>
      </c>
      <c r="G12" s="154">
        <v>0</v>
      </c>
      <c r="H12" s="154">
        <v>0</v>
      </c>
      <c r="I12" s="154">
        <v>0</v>
      </c>
      <c r="J12" s="154">
        <v>0</v>
      </c>
      <c r="K12" s="154">
        <v>0</v>
      </c>
      <c r="L12" s="154">
        <v>0</v>
      </c>
      <c r="M12" s="154">
        <v>0</v>
      </c>
      <c r="N12" s="916">
        <f t="shared" si="1"/>
        <v>220</v>
      </c>
      <c r="O12" s="917">
        <f t="shared" ref="O12:O16" si="2">N12/$N$17</f>
        <v>3.4391120837892761E-3</v>
      </c>
      <c r="P12" s="556"/>
      <c r="Q12" s="68"/>
      <c r="R12" s="556"/>
      <c r="S12" s="924"/>
      <c r="T12" s="925"/>
      <c r="U12" s="926"/>
      <c r="V12" s="926"/>
      <c r="W12" s="926"/>
      <c r="X12" s="926"/>
      <c r="Y12" s="927"/>
      <c r="Z12" s="556"/>
    </row>
    <row r="13" spans="1:26" ht="14.4" x14ac:dyDescent="0.3">
      <c r="A13" s="566" t="s">
        <v>3612</v>
      </c>
      <c r="B13" s="154">
        <v>0</v>
      </c>
      <c r="C13" s="154">
        <v>0</v>
      </c>
      <c r="D13" s="154">
        <v>0</v>
      </c>
      <c r="E13" s="154">
        <v>0</v>
      </c>
      <c r="F13" s="154">
        <v>0</v>
      </c>
      <c r="G13" s="154">
        <v>0</v>
      </c>
      <c r="H13" s="154">
        <v>0</v>
      </c>
      <c r="I13" s="154">
        <v>0</v>
      </c>
      <c r="J13" s="154">
        <v>0</v>
      </c>
      <c r="K13" s="154">
        <v>0</v>
      </c>
      <c r="L13" s="154">
        <v>0</v>
      </c>
      <c r="M13" s="154">
        <v>0</v>
      </c>
      <c r="N13" s="916">
        <f t="shared" si="1"/>
        <v>0</v>
      </c>
      <c r="O13" s="917">
        <f t="shared" si="2"/>
        <v>0</v>
      </c>
      <c r="P13" s="556"/>
      <c r="Q13" s="68"/>
      <c r="R13" s="556"/>
      <c r="S13" s="924"/>
      <c r="T13" s="925"/>
      <c r="U13" s="926"/>
      <c r="V13" s="926"/>
      <c r="W13" s="926"/>
      <c r="X13" s="926"/>
      <c r="Y13" s="927"/>
      <c r="Z13" s="556"/>
    </row>
    <row r="14" spans="1:26" ht="14.4" x14ac:dyDescent="0.3">
      <c r="A14" s="566" t="s">
        <v>3613</v>
      </c>
      <c r="B14" s="154">
        <v>0</v>
      </c>
      <c r="C14" s="154">
        <v>0</v>
      </c>
      <c r="D14" s="154">
        <v>0</v>
      </c>
      <c r="E14" s="154">
        <v>0</v>
      </c>
      <c r="F14" s="154">
        <v>0</v>
      </c>
      <c r="G14" s="154">
        <v>0</v>
      </c>
      <c r="H14" s="154">
        <v>0</v>
      </c>
      <c r="I14" s="154">
        <v>0</v>
      </c>
      <c r="J14" s="154">
        <v>0</v>
      </c>
      <c r="K14" s="154">
        <v>0</v>
      </c>
      <c r="L14" s="154">
        <v>0</v>
      </c>
      <c r="M14" s="154">
        <v>0</v>
      </c>
      <c r="N14" s="916">
        <f t="shared" si="1"/>
        <v>0</v>
      </c>
      <c r="O14" s="917">
        <f t="shared" si="2"/>
        <v>0</v>
      </c>
      <c r="P14" s="556"/>
      <c r="Q14" s="68"/>
      <c r="R14" s="556"/>
      <c r="S14" s="924"/>
      <c r="T14" s="925"/>
      <c r="U14" s="926"/>
      <c r="V14" s="926"/>
      <c r="W14" s="926"/>
      <c r="X14" s="926"/>
      <c r="Y14" s="927"/>
      <c r="Z14" s="556"/>
    </row>
    <row r="15" spans="1:26" ht="14.4" x14ac:dyDescent="0.3">
      <c r="A15" s="566" t="s">
        <v>3614</v>
      </c>
      <c r="B15" s="154">
        <v>0</v>
      </c>
      <c r="C15" s="154">
        <v>0</v>
      </c>
      <c r="D15" s="154">
        <v>0</v>
      </c>
      <c r="E15" s="154">
        <v>0</v>
      </c>
      <c r="F15" s="154">
        <v>0</v>
      </c>
      <c r="G15" s="154">
        <v>0</v>
      </c>
      <c r="H15" s="154">
        <v>0</v>
      </c>
      <c r="I15" s="154">
        <v>0</v>
      </c>
      <c r="J15" s="154">
        <v>0</v>
      </c>
      <c r="K15" s="154">
        <v>0</v>
      </c>
      <c r="L15" s="154">
        <v>0</v>
      </c>
      <c r="M15" s="154">
        <v>0</v>
      </c>
      <c r="N15" s="916">
        <f t="shared" si="1"/>
        <v>0</v>
      </c>
      <c r="O15" s="917">
        <f t="shared" si="2"/>
        <v>0</v>
      </c>
      <c r="P15" s="556"/>
      <c r="Q15" s="68"/>
      <c r="R15" s="556"/>
      <c r="S15" s="924"/>
      <c r="T15" s="925"/>
      <c r="U15" s="926"/>
      <c r="V15" s="926"/>
      <c r="W15" s="926"/>
      <c r="X15" s="926"/>
      <c r="Y15" s="927"/>
      <c r="Z15" s="556"/>
    </row>
    <row r="16" spans="1:26" ht="14.4" x14ac:dyDescent="0.3">
      <c r="A16" s="565" t="s">
        <v>3544</v>
      </c>
      <c r="B16" s="154">
        <v>225</v>
      </c>
      <c r="C16" s="154">
        <v>250</v>
      </c>
      <c r="D16" s="154">
        <v>410</v>
      </c>
      <c r="E16" s="154">
        <v>595</v>
      </c>
      <c r="F16" s="154">
        <v>315</v>
      </c>
      <c r="G16" s="154">
        <v>365</v>
      </c>
      <c r="H16" s="154">
        <v>515</v>
      </c>
      <c r="I16" s="154">
        <v>150</v>
      </c>
      <c r="J16" s="154">
        <v>310</v>
      </c>
      <c r="K16" s="154">
        <v>340</v>
      </c>
      <c r="L16" s="154">
        <v>155</v>
      </c>
      <c r="M16" s="154">
        <v>375</v>
      </c>
      <c r="N16" s="916">
        <f t="shared" si="1"/>
        <v>4005</v>
      </c>
      <c r="O16" s="917">
        <f t="shared" si="2"/>
        <v>6.260747225261841E-2</v>
      </c>
      <c r="P16" s="556"/>
      <c r="Q16" s="68"/>
      <c r="R16" s="556"/>
      <c r="S16" s="924"/>
      <c r="T16" s="925"/>
      <c r="U16" s="926"/>
      <c r="V16" s="926"/>
      <c r="W16" s="926"/>
      <c r="X16" s="926"/>
      <c r="Y16" s="927"/>
      <c r="Z16" s="556"/>
    </row>
    <row r="17" spans="1:26" ht="15" thickBot="1" x14ac:dyDescent="0.35">
      <c r="A17" s="567" t="s">
        <v>293</v>
      </c>
      <c r="B17" s="918">
        <f>SUM(B6:B16)</f>
        <v>3420</v>
      </c>
      <c r="C17" s="918">
        <f>SUM(C6:C16)</f>
        <v>3770</v>
      </c>
      <c r="D17" s="918">
        <f t="shared" ref="D17:M17" si="3">SUM(D6:D16)</f>
        <v>9980</v>
      </c>
      <c r="E17" s="918">
        <f t="shared" si="3"/>
        <v>6850</v>
      </c>
      <c r="F17" s="918">
        <f t="shared" si="3"/>
        <v>4090</v>
      </c>
      <c r="G17" s="918">
        <f t="shared" si="3"/>
        <v>7250</v>
      </c>
      <c r="H17" s="918">
        <f t="shared" si="3"/>
        <v>6010</v>
      </c>
      <c r="I17" s="918">
        <f t="shared" si="3"/>
        <v>1775</v>
      </c>
      <c r="J17" s="918">
        <f t="shared" si="3"/>
        <v>4935</v>
      </c>
      <c r="K17" s="918">
        <f t="shared" si="3"/>
        <v>5755</v>
      </c>
      <c r="L17" s="918">
        <f t="shared" si="3"/>
        <v>3695</v>
      </c>
      <c r="M17" s="918">
        <f t="shared" si="3"/>
        <v>6440</v>
      </c>
      <c r="N17" s="912">
        <f>SUM(B17:M17)</f>
        <v>63970</v>
      </c>
      <c r="O17" s="919">
        <f>SUM(O6:O16)</f>
        <v>1</v>
      </c>
      <c r="P17" s="556"/>
      <c r="Q17" s="68"/>
      <c r="R17" s="556"/>
      <c r="S17" s="924"/>
      <c r="T17" s="926"/>
      <c r="U17" s="926"/>
      <c r="V17" s="926"/>
      <c r="W17" s="926"/>
      <c r="X17" s="926"/>
      <c r="Y17" s="927"/>
      <c r="Z17" s="556"/>
    </row>
    <row r="18" spans="1:26" ht="18" x14ac:dyDescent="0.3">
      <c r="A18" s="560"/>
      <c r="B18" s="115"/>
      <c r="C18" s="115"/>
      <c r="D18" s="115"/>
      <c r="E18" s="115"/>
      <c r="F18" s="115"/>
      <c r="G18" s="115"/>
      <c r="H18" s="115"/>
      <c r="I18" s="116"/>
      <c r="J18" s="115"/>
      <c r="K18" s="115"/>
      <c r="L18" s="115"/>
      <c r="M18" s="117"/>
      <c r="N18" s="118"/>
      <c r="O18" s="561"/>
      <c r="P18" s="556"/>
      <c r="Q18" s="68"/>
      <c r="R18" s="556"/>
      <c r="S18" s="924"/>
      <c r="T18" s="944" t="s">
        <v>0</v>
      </c>
      <c r="U18" s="945">
        <v>45047</v>
      </c>
      <c r="V18" s="946"/>
      <c r="W18" s="946"/>
      <c r="X18" s="947"/>
      <c r="Y18" s="927"/>
      <c r="Z18" s="556"/>
    </row>
    <row r="19" spans="1:26" ht="18" x14ac:dyDescent="0.3">
      <c r="A19" s="560"/>
      <c r="B19" s="115"/>
      <c r="C19" s="115"/>
      <c r="D19" s="115"/>
      <c r="E19" s="115"/>
      <c r="F19" s="115"/>
      <c r="G19" s="115"/>
      <c r="H19" s="116"/>
      <c r="I19" s="115"/>
      <c r="J19" s="115"/>
      <c r="K19" s="115"/>
      <c r="L19" s="117"/>
      <c r="M19" s="117"/>
      <c r="N19" s="119"/>
      <c r="O19" s="561"/>
      <c r="P19" s="556"/>
      <c r="Q19" s="68"/>
      <c r="R19" s="556"/>
      <c r="S19" s="924"/>
      <c r="T19" s="948" t="s">
        <v>2</v>
      </c>
      <c r="U19" s="744">
        <v>45412</v>
      </c>
      <c r="V19" s="939"/>
      <c r="W19" s="939"/>
      <c r="X19" s="949"/>
      <c r="Y19" s="927"/>
      <c r="Z19" s="556"/>
    </row>
    <row r="20" spans="1:26" ht="17.399999999999999" x14ac:dyDescent="0.3">
      <c r="A20" s="568" t="s">
        <v>303</v>
      </c>
      <c r="B20" s="161" t="str">
        <f>_xlfn.TEXTJOIN("-",TRUE, TEXT(IF((MONTH($U$18)) &gt; 20,(MONTH($U$18))*30, (MONTH($U$18))*29), "mmm"),  IF(13-MONTH($U$18) &lt; 1,MID(YEAR($U$18), 3, 2)+1, MID(YEAR($U$18), 3, 2)))</f>
        <v>May-23</v>
      </c>
      <c r="C20" s="161" t="str">
        <f>_xlfn.TEXTJOIN("-",TRUE, TEXT(IF((MONTH($U$18)+1) &gt; 20,(MONTH($U$18)+1)*30, (MONTH($U$18)+1)*29), "mmm"),  IF(13-MONTH($U$18) &lt; 2,MID(YEAR($U$18), 3, 2)+1, MID(YEAR($U$18), 3, 2)))</f>
        <v>Jun-23</v>
      </c>
      <c r="D20" s="161" t="str">
        <f>_xlfn.TEXTJOIN("-",TRUE, TEXT(IF((MONTH($U$18)+2) &gt; 20,(MONTH($U$18)+2)*30, (MONTH($U$18)+2)*29), "mmm"),  IF(13-MONTH($U$18) &lt; 3,MID(YEAR($U$18), 3, 2)+1, MID(YEAR($U$18), 3, 2)))</f>
        <v>Jul-23</v>
      </c>
      <c r="E20" s="161" t="str">
        <f>_xlfn.TEXTJOIN("-",TRUE, TEXT(IF((MONTH($U$18)+3) &gt; 20,(MONTH($U$18)+3)*30, (MONTH($U$18)+3)*29), "mmm"),  IF(13-MONTH($U$18) &lt; 4,MID(YEAR($U$18), 3, 2)+1, MID(YEAR($U$18), 3, 2)))</f>
        <v>Aug-23</v>
      </c>
      <c r="F20" s="161" t="str">
        <f>_xlfn.TEXTJOIN("-",TRUE, TEXT(IF((MONTH($U$18)+4) &gt; 20,(MONTH($U$18)+4)*30, (MONTH($U$18)+4)*29), "mmm"),  IF(13-MONTH($U$18) &lt; 5,MID(YEAR($U$18), 3, 2)+1, MID(YEAR($U$18), 3, 2)))</f>
        <v>Sep-23</v>
      </c>
      <c r="G20" s="161" t="str">
        <f>_xlfn.TEXTJOIN("-",TRUE, TEXT(IF((MONTH($U$18)+5) &gt; 20,(MONTH($U$18)+5)*30, (MONTH($U$18)+5)*29), "mmm"),  IF(13-MONTH($U$18) &lt; 6,MID(YEAR($U$18), 3, 2)+1, MID(YEAR($U$18), 3, 2)))</f>
        <v>Oct-23</v>
      </c>
      <c r="H20" s="161" t="str">
        <f>_xlfn.TEXTJOIN("-",TRUE, TEXT(IF((MONTH($U$18)+6) &gt; 20,(MONTH($U$18)+6)*30, (MONTH($U$18)+6)*29), "mmm"),  IF(13-MONTH($U$18) &lt; 7,MID(YEAR($U$18), 3, 2)+1, MID(YEAR($U$18), 3, 2)))</f>
        <v>Nov-23</v>
      </c>
      <c r="I20" s="161" t="str">
        <f>_xlfn.TEXTJOIN("-",TRUE, TEXT(IF((MONTH($U$18)+7) &gt; 20,(MONTH($U$18)+7)*30, (MONTH($U$18)+7)*29), "mmm"),  IF(13-MONTH($U$18) &lt; 8,MID(YEAR($U$18), 3, 2)+1, MID(YEAR($U$18), 3, 2)))</f>
        <v>Dec-23</v>
      </c>
      <c r="J20" s="161" t="str">
        <f>_xlfn.TEXTJOIN("-",TRUE, TEXT(IF((MONTH($U$18)+8) &gt; 20,(MONTH($U$18)+8)*30, (MONTH($U$18)+8)*29), "mmm"),  IF(13-MONTH($U$18) &lt; 9,MID(YEAR($U$18), 3, 2)+1, MID(YEAR($U$18), 3, 2)))</f>
        <v>Jan-24</v>
      </c>
      <c r="K20" s="161" t="str">
        <f>_xlfn.TEXTJOIN("-",TRUE, TEXT(IF((MONTH($U$18)+9) &gt; 20,(MONTH($U$18)+9)*30, (MONTH($U$18)+9)*29), "mmm"),  IF(13-MONTH($U$18) &lt; 10,MID(YEAR($U$18), 3, 2)+1, MID(YEAR($U$18), 3, 2)))</f>
        <v>Feb-24</v>
      </c>
      <c r="L20" s="161" t="str">
        <f>_xlfn.TEXTJOIN("-",TRUE, TEXT(IF((MONTH($U$18)+10) &gt; 20,(MONTH($U$18)+10)*30, (MONTH($U$18)+10)*29), "mmm"),  IF(13-MONTH($U$18) &lt; 11,MID(YEAR($U$18), 3, 2)+1, MID(YEAR($U$18), 3, 2)))</f>
        <v>Mar-24</v>
      </c>
      <c r="M20" s="161" t="str">
        <f>_xlfn.TEXTJOIN("-",TRUE, TEXT(IF((MONTH($U$18)+11) &gt; 20,(MONTH($U$18)+11)*30, (MONTH($U$18)+11)*29), "mmm"),  IF(13-MONTH($U$18) &lt; 12,MID(YEAR($U$18), 3, 2)+1, MID(YEAR($U$18), 3, 2)))</f>
        <v>Apr-24</v>
      </c>
      <c r="N20" s="486" t="s">
        <v>969</v>
      </c>
      <c r="O20" s="569" t="s">
        <v>970</v>
      </c>
      <c r="P20" s="544"/>
      <c r="Q20" s="68"/>
      <c r="R20" s="556"/>
      <c r="S20" s="924"/>
      <c r="T20" s="950"/>
      <c r="U20" s="902"/>
      <c r="V20" s="902"/>
      <c r="W20" s="902"/>
      <c r="X20" s="951"/>
      <c r="Y20" s="927"/>
      <c r="Z20" s="556"/>
    </row>
    <row r="21" spans="1:26" ht="18" x14ac:dyDescent="0.3">
      <c r="A21" s="565" t="s">
        <v>999</v>
      </c>
      <c r="B21" s="162">
        <v>1025</v>
      </c>
      <c r="C21" s="162">
        <v>1765</v>
      </c>
      <c r="D21" s="162">
        <v>720</v>
      </c>
      <c r="E21" s="162">
        <v>670</v>
      </c>
      <c r="F21" s="162">
        <v>2050</v>
      </c>
      <c r="G21" s="162">
        <v>3160</v>
      </c>
      <c r="H21" s="162">
        <v>4325</v>
      </c>
      <c r="I21" s="162">
        <v>5165</v>
      </c>
      <c r="J21" s="162">
        <v>3510</v>
      </c>
      <c r="K21" s="162">
        <v>4060</v>
      </c>
      <c r="L21" s="162">
        <v>2745</v>
      </c>
      <c r="M21" s="162">
        <v>5365</v>
      </c>
      <c r="N21" s="906">
        <f>SUM($B21:$M21)</f>
        <v>34560</v>
      </c>
      <c r="O21" s="907">
        <f t="shared" ref="O21:O27" si="4">N21/$N$32</f>
        <v>0.60203814998693495</v>
      </c>
      <c r="P21" s="570"/>
      <c r="Q21" s="571"/>
      <c r="R21" s="556"/>
      <c r="S21" s="928"/>
      <c r="T21" s="952" t="s">
        <v>1</v>
      </c>
      <c r="U21" s="929"/>
      <c r="V21" s="938"/>
      <c r="W21" s="938"/>
      <c r="X21" s="953"/>
      <c r="Y21" s="927"/>
      <c r="Z21" s="556"/>
    </row>
    <row r="22" spans="1:26" ht="14.4" x14ac:dyDescent="0.3">
      <c r="A22" s="565" t="s">
        <v>311</v>
      </c>
      <c r="B22" s="26">
        <v>45</v>
      </c>
      <c r="C22" s="26">
        <v>80</v>
      </c>
      <c r="D22" s="26">
        <v>370</v>
      </c>
      <c r="E22" s="26">
        <v>0</v>
      </c>
      <c r="F22" s="26">
        <v>255</v>
      </c>
      <c r="G22" s="26">
        <v>0</v>
      </c>
      <c r="H22" s="26">
        <v>240</v>
      </c>
      <c r="I22" s="26">
        <v>0</v>
      </c>
      <c r="J22" s="26">
        <v>1810</v>
      </c>
      <c r="K22" s="26">
        <v>0</v>
      </c>
      <c r="L22" s="26">
        <v>600</v>
      </c>
      <c r="M22" s="26">
        <v>1240</v>
      </c>
      <c r="N22" s="908">
        <f t="shared" ref="N22:N31" si="5">SUM($B22:$M22)</f>
        <v>4640</v>
      </c>
      <c r="O22" s="909">
        <f t="shared" si="4"/>
        <v>8.0829196063060715E-2</v>
      </c>
      <c r="P22" s="572"/>
      <c r="Q22" s="573"/>
      <c r="R22" s="556"/>
      <c r="S22" s="930"/>
      <c r="T22" s="954" t="s">
        <v>3694</v>
      </c>
      <c r="U22" s="556"/>
      <c r="V22" s="556"/>
      <c r="W22" s="556"/>
      <c r="X22" s="955"/>
      <c r="Y22" s="927"/>
      <c r="Z22" s="556"/>
    </row>
    <row r="23" spans="1:26" ht="14.4" x14ac:dyDescent="0.3">
      <c r="A23" s="565" t="s">
        <v>315</v>
      </c>
      <c r="B23" s="26">
        <v>555</v>
      </c>
      <c r="C23" s="26">
        <v>90</v>
      </c>
      <c r="D23" s="26">
        <v>645</v>
      </c>
      <c r="E23" s="26">
        <v>665</v>
      </c>
      <c r="F23" s="26">
        <v>960</v>
      </c>
      <c r="G23" s="26">
        <v>695</v>
      </c>
      <c r="H23" s="26">
        <v>335</v>
      </c>
      <c r="I23" s="26">
        <v>825</v>
      </c>
      <c r="J23" s="26">
        <v>1115</v>
      </c>
      <c r="K23" s="26">
        <v>855</v>
      </c>
      <c r="L23" s="26">
        <v>1060</v>
      </c>
      <c r="M23" s="26">
        <v>315</v>
      </c>
      <c r="N23" s="908">
        <f t="shared" si="5"/>
        <v>8115</v>
      </c>
      <c r="O23" s="909">
        <f t="shared" si="4"/>
        <v>0.14136399268356414</v>
      </c>
      <c r="P23" s="556"/>
      <c r="Q23" s="574"/>
      <c r="R23" s="556"/>
      <c r="S23" s="931"/>
      <c r="T23" s="954" t="s">
        <v>3966</v>
      </c>
      <c r="U23" s="932"/>
      <c r="V23" s="556"/>
      <c r="W23" s="556"/>
      <c r="X23" s="955"/>
      <c r="Y23" s="927"/>
      <c r="Z23" s="556"/>
    </row>
    <row r="24" spans="1:26" ht="14.4" x14ac:dyDescent="0.3">
      <c r="A24" s="565" t="s">
        <v>2966</v>
      </c>
      <c r="B24" s="26">
        <v>0</v>
      </c>
      <c r="C24" s="26">
        <v>0</v>
      </c>
      <c r="D24" s="26">
        <v>735</v>
      </c>
      <c r="E24" s="26">
        <v>0</v>
      </c>
      <c r="F24" s="26">
        <v>750</v>
      </c>
      <c r="G24" s="26">
        <v>0</v>
      </c>
      <c r="H24" s="26">
        <v>0</v>
      </c>
      <c r="I24" s="26">
        <v>0</v>
      </c>
      <c r="J24" s="26">
        <v>0</v>
      </c>
      <c r="K24" s="26">
        <v>0</v>
      </c>
      <c r="L24" s="26">
        <v>750</v>
      </c>
      <c r="M24" s="26">
        <v>0</v>
      </c>
      <c r="N24" s="908">
        <f t="shared" si="5"/>
        <v>2235</v>
      </c>
      <c r="O24" s="909">
        <f t="shared" si="4"/>
        <v>3.8933890776064801E-2</v>
      </c>
      <c r="P24" s="556"/>
      <c r="Q24" s="68"/>
      <c r="R24" s="556"/>
      <c r="S24" s="924"/>
      <c r="T24" s="792" t="s">
        <v>3695</v>
      </c>
      <c r="U24" s="933"/>
      <c r="V24" s="556"/>
      <c r="W24" s="556"/>
      <c r="X24" s="955"/>
      <c r="Y24" s="927"/>
      <c r="Z24" s="556"/>
    </row>
    <row r="25" spans="1:26" ht="14.4" x14ac:dyDescent="0.3">
      <c r="A25" s="565" t="s">
        <v>2303</v>
      </c>
      <c r="B25" s="26">
        <v>0</v>
      </c>
      <c r="C25" s="26">
        <v>0</v>
      </c>
      <c r="D25" s="26">
        <v>0</v>
      </c>
      <c r="E25" s="26">
        <v>0</v>
      </c>
      <c r="F25" s="26">
        <v>0</v>
      </c>
      <c r="G25" s="26">
        <v>0</v>
      </c>
      <c r="H25" s="26">
        <v>0</v>
      </c>
      <c r="I25" s="26">
        <v>0</v>
      </c>
      <c r="J25" s="26">
        <v>2375</v>
      </c>
      <c r="K25" s="26">
        <v>0</v>
      </c>
      <c r="L25" s="26">
        <v>0</v>
      </c>
      <c r="M25" s="26">
        <v>1200</v>
      </c>
      <c r="N25" s="908">
        <f t="shared" si="5"/>
        <v>3575</v>
      </c>
      <c r="O25" s="909">
        <f t="shared" si="4"/>
        <v>6.2276805156345268E-2</v>
      </c>
      <c r="P25" s="556"/>
      <c r="Q25" s="68"/>
      <c r="R25" s="556"/>
      <c r="S25" s="924"/>
      <c r="T25" s="954" t="s">
        <v>4066</v>
      </c>
      <c r="U25" s="106"/>
      <c r="V25" s="556"/>
      <c r="W25" s="556"/>
      <c r="X25" s="955"/>
      <c r="Y25" s="927"/>
      <c r="Z25" s="556"/>
    </row>
    <row r="26" spans="1:26" ht="14.4" x14ac:dyDescent="0.3">
      <c r="A26" s="565" t="s">
        <v>3543</v>
      </c>
      <c r="B26" s="26">
        <v>0</v>
      </c>
      <c r="C26" s="26">
        <v>0</v>
      </c>
      <c r="D26" s="26">
        <v>0</v>
      </c>
      <c r="E26" s="26">
        <v>0</v>
      </c>
      <c r="F26" s="26">
        <v>0</v>
      </c>
      <c r="G26" s="26">
        <v>0</v>
      </c>
      <c r="H26" s="26">
        <v>0</v>
      </c>
      <c r="I26" s="26">
        <v>0</v>
      </c>
      <c r="J26" s="26">
        <v>0</v>
      </c>
      <c r="K26" s="26">
        <v>0</v>
      </c>
      <c r="L26" s="26">
        <v>0</v>
      </c>
      <c r="M26" s="26">
        <v>360</v>
      </c>
      <c r="N26" s="908">
        <f t="shared" si="5"/>
        <v>360</v>
      </c>
      <c r="O26" s="909">
        <f t="shared" si="4"/>
        <v>6.2712307290305721E-3</v>
      </c>
      <c r="P26" s="556"/>
      <c r="Q26" s="68"/>
      <c r="R26" s="556"/>
      <c r="S26" s="924"/>
      <c r="T26" s="954" t="s">
        <v>3696</v>
      </c>
      <c r="U26" s="932"/>
      <c r="V26" s="556"/>
      <c r="W26" s="556"/>
      <c r="X26" s="955"/>
      <c r="Y26" s="927"/>
      <c r="Z26" s="556"/>
    </row>
    <row r="27" spans="1:26" ht="14.4" x14ac:dyDescent="0.3">
      <c r="A27" s="565" t="s">
        <v>2304</v>
      </c>
      <c r="B27" s="26">
        <v>0</v>
      </c>
      <c r="C27" s="26">
        <v>0</v>
      </c>
      <c r="D27" s="26">
        <v>60</v>
      </c>
      <c r="E27" s="26">
        <v>0</v>
      </c>
      <c r="F27" s="26">
        <v>0</v>
      </c>
      <c r="G27" s="26">
        <v>0</v>
      </c>
      <c r="H27" s="26">
        <v>0</v>
      </c>
      <c r="I27" s="26">
        <v>0</v>
      </c>
      <c r="J27" s="26">
        <v>100</v>
      </c>
      <c r="K27" s="26">
        <v>60</v>
      </c>
      <c r="L27" s="26">
        <v>0</v>
      </c>
      <c r="M27" s="26">
        <v>0</v>
      </c>
      <c r="N27" s="908">
        <f t="shared" si="5"/>
        <v>220</v>
      </c>
      <c r="O27" s="909">
        <f t="shared" si="4"/>
        <v>3.8324187788520165E-3</v>
      </c>
      <c r="P27" s="556"/>
      <c r="Q27" s="68"/>
      <c r="R27" s="556"/>
      <c r="S27" s="924"/>
      <c r="T27" s="954" t="s">
        <v>4067</v>
      </c>
      <c r="U27" s="932"/>
      <c r="V27" s="556"/>
      <c r="W27" s="556"/>
      <c r="X27" s="955"/>
      <c r="Y27" s="927"/>
      <c r="Z27" s="556"/>
    </row>
    <row r="28" spans="1:26" ht="14.4" x14ac:dyDescent="0.3">
      <c r="A28" s="566" t="s">
        <v>3612</v>
      </c>
      <c r="B28" s="26">
        <v>0</v>
      </c>
      <c r="C28" s="26">
        <v>0</v>
      </c>
      <c r="D28" s="26">
        <v>0</v>
      </c>
      <c r="E28" s="26">
        <v>0</v>
      </c>
      <c r="F28" s="26">
        <v>0</v>
      </c>
      <c r="G28" s="26">
        <v>0</v>
      </c>
      <c r="H28" s="26">
        <v>0</v>
      </c>
      <c r="I28" s="26">
        <v>0</v>
      </c>
      <c r="J28" s="26">
        <v>0</v>
      </c>
      <c r="K28" s="26">
        <v>0</v>
      </c>
      <c r="L28" s="26">
        <v>0</v>
      </c>
      <c r="M28" s="26">
        <v>0</v>
      </c>
      <c r="N28" s="908">
        <f t="shared" si="5"/>
        <v>0</v>
      </c>
      <c r="O28" s="909">
        <f t="shared" ref="O28:O31" si="6">N28/$N$32</f>
        <v>0</v>
      </c>
      <c r="P28" s="556"/>
      <c r="Q28" s="68"/>
      <c r="R28" s="556"/>
      <c r="S28" s="924"/>
      <c r="T28" s="954" t="s">
        <v>4257</v>
      </c>
      <c r="U28" s="932"/>
      <c r="V28" s="556"/>
      <c r="W28" s="556"/>
      <c r="X28" s="955"/>
      <c r="Y28" s="927"/>
      <c r="Z28" s="556"/>
    </row>
    <row r="29" spans="1:26" ht="14.4" x14ac:dyDescent="0.3">
      <c r="A29" s="566" t="s">
        <v>3613</v>
      </c>
      <c r="B29" s="26">
        <v>0</v>
      </c>
      <c r="C29" s="26">
        <v>0</v>
      </c>
      <c r="D29" s="26">
        <v>0</v>
      </c>
      <c r="E29" s="26">
        <v>0</v>
      </c>
      <c r="F29" s="26">
        <v>0</v>
      </c>
      <c r="G29" s="26">
        <v>0</v>
      </c>
      <c r="H29" s="26">
        <v>0</v>
      </c>
      <c r="I29" s="26">
        <v>0</v>
      </c>
      <c r="J29" s="26">
        <v>0</v>
      </c>
      <c r="K29" s="26">
        <v>0</v>
      </c>
      <c r="L29" s="26">
        <v>0</v>
      </c>
      <c r="M29" s="26">
        <v>0</v>
      </c>
      <c r="N29" s="908">
        <f t="shared" si="5"/>
        <v>0</v>
      </c>
      <c r="O29" s="909">
        <f t="shared" si="6"/>
        <v>0</v>
      </c>
      <c r="P29" s="556"/>
      <c r="Q29" s="68"/>
      <c r="R29" s="556"/>
      <c r="S29" s="924"/>
      <c r="T29" s="712" t="s">
        <v>4259</v>
      </c>
      <c r="V29" s="556"/>
      <c r="W29" s="556"/>
      <c r="X29" s="955"/>
      <c r="Y29" s="927"/>
      <c r="Z29" s="556"/>
    </row>
    <row r="30" spans="1:26" ht="14.4" x14ac:dyDescent="0.3">
      <c r="A30" s="566" t="s">
        <v>3614</v>
      </c>
      <c r="B30" s="26">
        <v>0</v>
      </c>
      <c r="C30" s="26">
        <v>0</v>
      </c>
      <c r="D30" s="26">
        <v>0</v>
      </c>
      <c r="E30" s="26">
        <v>0</v>
      </c>
      <c r="F30" s="26">
        <v>0</v>
      </c>
      <c r="G30" s="26">
        <v>0</v>
      </c>
      <c r="H30" s="26">
        <v>0</v>
      </c>
      <c r="I30" s="26">
        <v>0</v>
      </c>
      <c r="J30" s="26">
        <v>0</v>
      </c>
      <c r="K30" s="26">
        <v>0</v>
      </c>
      <c r="L30" s="26">
        <v>0</v>
      </c>
      <c r="M30" s="26">
        <v>0</v>
      </c>
      <c r="N30" s="908">
        <f t="shared" si="5"/>
        <v>0</v>
      </c>
      <c r="O30" s="909">
        <f t="shared" si="6"/>
        <v>0</v>
      </c>
      <c r="P30" s="556"/>
      <c r="Q30" s="68"/>
      <c r="R30" s="556"/>
      <c r="S30" s="924"/>
      <c r="T30" s="1185" t="s">
        <v>4258</v>
      </c>
      <c r="U30" s="1186" t="s">
        <v>4253</v>
      </c>
      <c r="V30" s="1186" t="s">
        <v>4253</v>
      </c>
      <c r="W30" s="1186" t="s">
        <v>4253</v>
      </c>
      <c r="X30" s="1187" t="s">
        <v>4253</v>
      </c>
      <c r="Y30" s="927"/>
      <c r="Z30" s="556"/>
    </row>
    <row r="31" spans="1:26" ht="14.4" x14ac:dyDescent="0.3">
      <c r="A31" s="565" t="s">
        <v>3544</v>
      </c>
      <c r="B31" s="26">
        <v>120</v>
      </c>
      <c r="C31" s="26">
        <v>170</v>
      </c>
      <c r="D31" s="26">
        <v>180</v>
      </c>
      <c r="E31" s="26">
        <v>75</v>
      </c>
      <c r="F31" s="26">
        <v>150</v>
      </c>
      <c r="G31" s="26">
        <v>390</v>
      </c>
      <c r="H31" s="26">
        <v>135</v>
      </c>
      <c r="I31" s="26">
        <v>570</v>
      </c>
      <c r="J31" s="26">
        <v>640</v>
      </c>
      <c r="K31" s="26">
        <v>380</v>
      </c>
      <c r="L31" s="26">
        <v>365</v>
      </c>
      <c r="M31" s="26">
        <v>525</v>
      </c>
      <c r="N31" s="910">
        <f t="shared" si="5"/>
        <v>3700</v>
      </c>
      <c r="O31" s="909">
        <f t="shared" si="6"/>
        <v>6.4454315826147551E-2</v>
      </c>
      <c r="P31" s="556"/>
      <c r="Q31" s="68"/>
      <c r="R31" s="556"/>
      <c r="S31" s="924"/>
      <c r="T31" s="954" t="s">
        <v>4215</v>
      </c>
      <c r="U31" s="106"/>
      <c r="V31" s="556"/>
      <c r="W31" s="556"/>
      <c r="X31" s="955"/>
      <c r="Y31" s="927"/>
      <c r="Z31" s="556"/>
    </row>
    <row r="32" spans="1:26" ht="14.4" x14ac:dyDescent="0.3">
      <c r="A32" s="575" t="s">
        <v>293</v>
      </c>
      <c r="B32" s="911">
        <f>SUM(B21:B31)</f>
        <v>1745</v>
      </c>
      <c r="C32" s="911">
        <f t="shared" ref="C32:M32" si="7">SUM(C21:C31)</f>
        <v>2105</v>
      </c>
      <c r="D32" s="911">
        <f t="shared" si="7"/>
        <v>2710</v>
      </c>
      <c r="E32" s="911">
        <f t="shared" si="7"/>
        <v>1410</v>
      </c>
      <c r="F32" s="911">
        <f t="shared" si="7"/>
        <v>4165</v>
      </c>
      <c r="G32" s="911">
        <f t="shared" si="7"/>
        <v>4245</v>
      </c>
      <c r="H32" s="911">
        <f t="shared" si="7"/>
        <v>5035</v>
      </c>
      <c r="I32" s="911">
        <f t="shared" si="7"/>
        <v>6560</v>
      </c>
      <c r="J32" s="911">
        <f t="shared" si="7"/>
        <v>9550</v>
      </c>
      <c r="K32" s="911">
        <f t="shared" si="7"/>
        <v>5355</v>
      </c>
      <c r="L32" s="911">
        <f t="shared" si="7"/>
        <v>5520</v>
      </c>
      <c r="M32" s="911">
        <f t="shared" si="7"/>
        <v>9005</v>
      </c>
      <c r="N32" s="912">
        <f>SUM(B32:M32)</f>
        <v>57405</v>
      </c>
      <c r="O32" s="913">
        <f>SUM(O21:O31)</f>
        <v>1</v>
      </c>
      <c r="P32" s="556"/>
      <c r="Q32" s="68"/>
      <c r="R32" s="556"/>
      <c r="S32" s="924"/>
      <c r="T32" s="954" t="s">
        <v>4216</v>
      </c>
      <c r="U32" s="106"/>
      <c r="V32" s="556"/>
      <c r="W32" s="556"/>
      <c r="X32" s="955"/>
      <c r="Y32" s="927"/>
      <c r="Z32" s="556"/>
    </row>
    <row r="33" spans="1:26" ht="15" thickBot="1" x14ac:dyDescent="0.35">
      <c r="A33" s="902"/>
      <c r="B33" s="903"/>
      <c r="C33" s="903"/>
      <c r="D33" s="903"/>
      <c r="E33" s="903"/>
      <c r="F33" s="903"/>
      <c r="G33" s="903"/>
      <c r="H33" s="903"/>
      <c r="I33" s="903"/>
      <c r="J33" s="903"/>
      <c r="K33" s="903"/>
      <c r="L33" s="903"/>
      <c r="M33" s="903"/>
      <c r="N33" s="903"/>
      <c r="O33" s="903"/>
      <c r="P33" s="556"/>
      <c r="Q33" s="68"/>
      <c r="R33" s="556"/>
      <c r="S33" s="924"/>
      <c r="T33" s="954" t="s">
        <v>4217</v>
      </c>
      <c r="U33" s="556"/>
      <c r="V33" s="556"/>
      <c r="W33" s="556"/>
      <c r="X33" s="955"/>
      <c r="Y33" s="927"/>
      <c r="Z33" s="556"/>
    </row>
    <row r="34" spans="1:26" ht="15" thickBot="1" x14ac:dyDescent="0.35">
      <c r="A34" s="902"/>
      <c r="B34" s="903"/>
      <c r="C34" s="903"/>
      <c r="D34" s="903"/>
      <c r="E34" s="903"/>
      <c r="F34" s="903"/>
      <c r="G34" s="903"/>
      <c r="H34" s="903"/>
      <c r="I34" s="903"/>
      <c r="J34" s="903"/>
      <c r="K34" s="941"/>
      <c r="L34" s="942"/>
      <c r="M34" s="942"/>
      <c r="N34" s="943" t="s">
        <v>4065</v>
      </c>
      <c r="O34" s="940">
        <v>57405</v>
      </c>
      <c r="P34" s="556"/>
      <c r="Q34" s="68"/>
      <c r="R34" s="556"/>
      <c r="S34" s="924"/>
      <c r="T34" s="954" t="s">
        <v>4219</v>
      </c>
      <c r="U34" s="556"/>
      <c r="V34" s="556"/>
      <c r="W34" s="556"/>
      <c r="X34" s="955"/>
      <c r="Y34" s="927"/>
      <c r="Z34" s="556"/>
    </row>
    <row r="35" spans="1:26" ht="15" thickBot="1" x14ac:dyDescent="0.35">
      <c r="A35" s="902"/>
      <c r="B35" s="903"/>
      <c r="C35" s="903"/>
      <c r="D35" s="903"/>
      <c r="E35" s="903"/>
      <c r="F35" s="903"/>
      <c r="G35" s="903"/>
      <c r="H35" s="903"/>
      <c r="I35" s="903"/>
      <c r="J35" s="903"/>
      <c r="K35" s="903"/>
      <c r="L35" s="903"/>
      <c r="M35" s="903"/>
      <c r="N35" s="903"/>
      <c r="O35" s="903"/>
      <c r="P35" s="556"/>
      <c r="Q35" s="68"/>
      <c r="R35" s="556"/>
      <c r="S35" s="924"/>
      <c r="T35" s="956" t="s">
        <v>4218</v>
      </c>
      <c r="U35" s="957"/>
      <c r="V35" s="957"/>
      <c r="W35" s="957"/>
      <c r="X35" s="958"/>
      <c r="Y35" s="927"/>
      <c r="Z35" s="556"/>
    </row>
    <row r="36" spans="1:26" ht="13.95" customHeight="1" thickBot="1" x14ac:dyDescent="0.35">
      <c r="A36" s="902"/>
      <c r="B36" s="903"/>
      <c r="C36" s="903"/>
      <c r="D36" s="903"/>
      <c r="E36" s="903"/>
      <c r="F36" s="903"/>
      <c r="G36" s="903"/>
      <c r="H36" s="903"/>
      <c r="I36" s="903"/>
      <c r="J36" s="903"/>
      <c r="K36" s="903"/>
      <c r="L36" s="903"/>
      <c r="M36" s="903"/>
      <c r="N36" s="903"/>
      <c r="O36" s="903"/>
      <c r="P36" s="556"/>
      <c r="Q36" s="68"/>
      <c r="R36" s="556"/>
      <c r="S36" s="934"/>
      <c r="T36" s="935"/>
      <c r="U36" s="936"/>
      <c r="V36" s="936"/>
      <c r="W36" s="936"/>
      <c r="X36" s="936"/>
      <c r="Y36" s="937"/>
      <c r="Z36" s="556"/>
    </row>
    <row r="37" spans="1:26" ht="14.4" x14ac:dyDescent="0.3">
      <c r="A37" s="902"/>
      <c r="B37" s="903"/>
      <c r="C37" s="903"/>
      <c r="D37" s="903"/>
      <c r="E37" s="903"/>
      <c r="F37" s="903"/>
      <c r="G37" s="903"/>
      <c r="H37" s="903"/>
      <c r="I37" s="903"/>
      <c r="J37" s="903"/>
      <c r="K37" s="903"/>
      <c r="L37" s="903"/>
      <c r="M37" s="903"/>
      <c r="N37" s="903"/>
      <c r="O37" s="903"/>
      <c r="P37" s="556"/>
      <c r="Q37" s="68"/>
      <c r="R37" s="68"/>
      <c r="S37" s="556"/>
      <c r="T37" s="556"/>
      <c r="U37" s="556"/>
      <c r="V37" s="556"/>
      <c r="W37" s="556"/>
      <c r="X37" s="556"/>
      <c r="Y37" s="556"/>
      <c r="Z37" s="556"/>
    </row>
    <row r="38" spans="1:26" ht="14.4" x14ac:dyDescent="0.3">
      <c r="A38" s="902"/>
      <c r="B38" s="904"/>
      <c r="C38" s="904"/>
      <c r="D38" s="904"/>
      <c r="E38" s="904"/>
      <c r="F38" s="904"/>
      <c r="G38" s="904"/>
      <c r="H38" s="904"/>
      <c r="I38" s="904"/>
      <c r="J38" s="904"/>
      <c r="K38" s="904"/>
      <c r="L38" s="904"/>
      <c r="M38" s="904"/>
      <c r="N38" s="904"/>
      <c r="O38" s="905"/>
      <c r="P38" s="556"/>
      <c r="Q38" s="68"/>
      <c r="R38" s="68"/>
      <c r="S38" s="556"/>
      <c r="T38" s="106"/>
      <c r="U38" s="556"/>
      <c r="V38" s="556"/>
      <c r="W38" s="556"/>
      <c r="X38" s="556"/>
      <c r="Y38" s="556"/>
      <c r="Z38" s="556"/>
    </row>
    <row r="39" spans="1:26" ht="14.4" x14ac:dyDescent="0.3">
      <c r="A39" s="902"/>
      <c r="B39" s="903">
        <v>0</v>
      </c>
      <c r="C39" s="903">
        <v>65</v>
      </c>
      <c r="D39" s="903">
        <v>365</v>
      </c>
      <c r="E39" s="903">
        <v>265</v>
      </c>
      <c r="F39" s="903">
        <v>0</v>
      </c>
      <c r="G39" s="903"/>
      <c r="H39" s="903"/>
      <c r="I39" s="903">
        <v>0</v>
      </c>
      <c r="J39" s="903">
        <v>0</v>
      </c>
      <c r="K39" s="903">
        <v>0</v>
      </c>
      <c r="L39" s="903">
        <v>0</v>
      </c>
      <c r="M39" s="903">
        <v>0</v>
      </c>
      <c r="N39" s="903"/>
      <c r="O39" s="903"/>
      <c r="P39" s="556"/>
      <c r="Q39" s="68"/>
      <c r="R39" s="68"/>
      <c r="S39" s="556"/>
      <c r="T39" s="556"/>
      <c r="U39" s="556"/>
      <c r="V39" s="556"/>
      <c r="W39" s="556"/>
      <c r="X39" s="556"/>
      <c r="Y39" s="556"/>
      <c r="Z39" s="556"/>
    </row>
    <row r="40" spans="1:26" ht="14.4" x14ac:dyDescent="0.3">
      <c r="A40" s="902"/>
      <c r="B40" s="903"/>
      <c r="C40" s="903"/>
      <c r="D40" s="903"/>
      <c r="E40" s="903"/>
      <c r="F40" s="903"/>
      <c r="G40" s="903"/>
      <c r="H40" s="903"/>
      <c r="I40" s="903"/>
      <c r="J40" s="903"/>
      <c r="K40" s="903"/>
      <c r="L40" s="903"/>
      <c r="M40" s="903"/>
      <c r="N40" s="903"/>
      <c r="O40" s="903"/>
      <c r="P40" s="556"/>
      <c r="Q40" s="68"/>
      <c r="R40" s="68"/>
      <c r="S40" s="556"/>
      <c r="T40" s="556"/>
      <c r="U40" s="556"/>
      <c r="V40" s="556"/>
      <c r="W40" s="556"/>
      <c r="X40" s="556"/>
      <c r="Y40" s="556"/>
      <c r="Z40" s="556"/>
    </row>
    <row r="41" spans="1:26" ht="14.4" x14ac:dyDescent="0.3">
      <c r="A41" s="902"/>
      <c r="B41" s="903"/>
      <c r="C41" s="903"/>
      <c r="D41" s="903"/>
      <c r="E41" s="903"/>
      <c r="F41" s="903"/>
      <c r="G41" s="903"/>
      <c r="H41" s="903"/>
      <c r="I41" s="903"/>
      <c r="J41" s="903"/>
      <c r="K41" s="903"/>
      <c r="L41" s="903"/>
      <c r="M41" s="903"/>
      <c r="N41" s="903"/>
      <c r="O41" s="903"/>
      <c r="P41" s="556"/>
      <c r="Q41" s="68"/>
      <c r="R41" s="68"/>
      <c r="S41" s="556"/>
      <c r="T41" s="556"/>
      <c r="U41" s="556"/>
      <c r="V41" s="556"/>
      <c r="W41" s="556"/>
      <c r="X41" s="556"/>
      <c r="Y41" s="556"/>
      <c r="Z41" s="556"/>
    </row>
    <row r="42" spans="1:26" ht="14.4" x14ac:dyDescent="0.3">
      <c r="A42" s="902"/>
      <c r="B42" s="903"/>
      <c r="C42" s="903"/>
      <c r="D42" s="903"/>
      <c r="E42" s="903"/>
      <c r="F42" s="903"/>
      <c r="G42" s="903"/>
      <c r="H42" s="903"/>
      <c r="I42" s="903"/>
      <c r="J42" s="903"/>
      <c r="K42" s="903"/>
      <c r="L42" s="903"/>
      <c r="M42" s="903"/>
      <c r="N42" s="903"/>
      <c r="O42" s="903"/>
      <c r="P42" s="556"/>
      <c r="Q42" s="68"/>
      <c r="R42" s="68"/>
      <c r="T42" s="556"/>
      <c r="U42" s="556"/>
      <c r="V42" s="556"/>
      <c r="W42" s="556"/>
      <c r="X42" s="556"/>
      <c r="Y42" s="556"/>
      <c r="Z42" s="556"/>
    </row>
    <row r="43" spans="1:26" x14ac:dyDescent="0.3">
      <c r="A43" s="902"/>
      <c r="B43" s="903"/>
      <c r="C43" s="903"/>
      <c r="D43" s="903"/>
      <c r="E43" s="903"/>
      <c r="F43" s="903"/>
      <c r="G43" s="903"/>
      <c r="H43" s="903"/>
      <c r="I43" s="903"/>
      <c r="J43" s="903"/>
      <c r="K43" s="903"/>
      <c r="L43" s="903"/>
      <c r="M43" s="903"/>
      <c r="N43" s="903"/>
      <c r="O43" s="903"/>
      <c r="P43" s="556"/>
      <c r="Q43" s="556"/>
      <c r="R43" s="556"/>
      <c r="S43" s="556"/>
      <c r="T43" s="556"/>
      <c r="U43" s="556"/>
      <c r="V43" s="556"/>
      <c r="W43" s="556"/>
      <c r="X43" s="556"/>
      <c r="Y43" s="556"/>
      <c r="Z43" s="556"/>
    </row>
    <row r="44" spans="1:26" ht="14.4" x14ac:dyDescent="0.3">
      <c r="A44" s="902"/>
      <c r="B44" s="903"/>
      <c r="C44" s="903"/>
      <c r="D44" s="903"/>
      <c r="E44" s="903"/>
      <c r="F44" s="903"/>
      <c r="G44" s="903"/>
      <c r="H44" s="903"/>
      <c r="I44" s="903"/>
      <c r="J44" s="903"/>
      <c r="K44" s="903"/>
      <c r="L44" s="903"/>
      <c r="M44" s="903"/>
      <c r="N44" s="903"/>
      <c r="O44" s="903"/>
      <c r="P44" s="556"/>
      <c r="Q44" s="556"/>
      <c r="R44" s="556"/>
      <c r="S44" s="556"/>
      <c r="T44" s="106"/>
      <c r="U44" s="106"/>
      <c r="V44" s="106"/>
      <c r="W44" s="106"/>
      <c r="X44" s="556"/>
      <c r="Y44" s="556"/>
      <c r="Z44" s="556"/>
    </row>
    <row r="45" spans="1:26" x14ac:dyDescent="0.3">
      <c r="A45" s="902"/>
      <c r="B45" s="903"/>
      <c r="C45" s="903"/>
      <c r="D45" s="903"/>
      <c r="E45" s="903"/>
      <c r="F45" s="903"/>
      <c r="G45" s="903"/>
      <c r="H45" s="903"/>
      <c r="I45" s="903"/>
      <c r="J45" s="903"/>
      <c r="K45" s="903"/>
      <c r="L45" s="903"/>
      <c r="M45" s="903"/>
      <c r="N45" s="903"/>
      <c r="O45" s="903"/>
      <c r="P45" s="556"/>
      <c r="Q45" s="556"/>
      <c r="R45" s="556"/>
      <c r="S45" s="556"/>
      <c r="T45" s="556"/>
      <c r="U45" s="556"/>
      <c r="V45" s="556"/>
      <c r="W45" s="556"/>
      <c r="X45" s="556"/>
      <c r="Y45" s="556"/>
      <c r="Z45" s="556"/>
    </row>
    <row r="46" spans="1:26" x14ac:dyDescent="0.3">
      <c r="A46" s="902"/>
      <c r="B46" s="903"/>
      <c r="C46" s="903"/>
      <c r="D46" s="903"/>
      <c r="E46" s="903"/>
      <c r="F46" s="903"/>
      <c r="G46" s="903"/>
      <c r="H46" s="903"/>
      <c r="I46" s="903"/>
      <c r="J46" s="903"/>
      <c r="K46" s="903"/>
      <c r="L46" s="903"/>
      <c r="M46" s="903"/>
      <c r="N46" s="903"/>
      <c r="O46" s="903"/>
      <c r="P46" s="556"/>
      <c r="Q46" s="556"/>
      <c r="R46" s="556"/>
      <c r="S46" s="556"/>
      <c r="T46" s="556"/>
      <c r="U46" s="556"/>
      <c r="V46" s="556"/>
      <c r="W46" s="556"/>
      <c r="X46" s="556"/>
      <c r="Y46" s="556"/>
      <c r="Z46" s="556"/>
    </row>
    <row r="47" spans="1:26" x14ac:dyDescent="0.3">
      <c r="A47" s="902"/>
      <c r="B47" s="903"/>
      <c r="C47" s="903"/>
      <c r="D47" s="903"/>
      <c r="E47" s="903"/>
      <c r="F47" s="903"/>
      <c r="G47" s="903"/>
      <c r="H47" s="903"/>
      <c r="I47" s="903"/>
      <c r="J47" s="903"/>
      <c r="K47" s="903"/>
      <c r="L47" s="903"/>
      <c r="M47" s="903"/>
      <c r="N47" s="903"/>
      <c r="O47" s="903"/>
      <c r="P47" s="556"/>
      <c r="Q47" s="556"/>
      <c r="R47" s="556"/>
      <c r="S47" s="556"/>
      <c r="T47" s="556"/>
      <c r="U47" s="556"/>
      <c r="V47" s="556"/>
      <c r="W47" s="556"/>
      <c r="X47" s="556"/>
      <c r="Y47" s="556"/>
      <c r="Z47" s="556"/>
    </row>
    <row r="48" spans="1:26" x14ac:dyDescent="0.3">
      <c r="A48" s="902"/>
      <c r="B48" s="903"/>
      <c r="C48" s="903"/>
      <c r="D48" s="903"/>
      <c r="E48" s="903"/>
      <c r="F48" s="903"/>
      <c r="G48" s="903"/>
      <c r="H48" s="903"/>
      <c r="I48" s="903"/>
      <c r="J48" s="903"/>
      <c r="K48" s="903"/>
      <c r="L48" s="903"/>
      <c r="M48" s="903"/>
      <c r="N48" s="903"/>
      <c r="O48" s="903"/>
      <c r="P48" s="556"/>
      <c r="Q48" s="556"/>
      <c r="R48" s="556"/>
      <c r="S48" s="556"/>
      <c r="T48" s="556"/>
      <c r="U48" s="556"/>
      <c r="V48" s="556"/>
      <c r="W48" s="556"/>
      <c r="X48" s="556"/>
      <c r="Y48" s="556"/>
      <c r="Z48" s="556"/>
    </row>
    <row r="49" spans="1:26" x14ac:dyDescent="0.3">
      <c r="A49" s="902"/>
      <c r="B49" s="903"/>
      <c r="C49" s="903"/>
      <c r="D49" s="903"/>
      <c r="E49" s="903"/>
      <c r="F49" s="903"/>
      <c r="G49" s="903"/>
      <c r="H49" s="903"/>
      <c r="I49" s="903"/>
      <c r="J49" s="903"/>
      <c r="K49" s="903"/>
      <c r="L49" s="903"/>
      <c r="M49" s="903"/>
      <c r="N49" s="903"/>
      <c r="O49" s="903"/>
      <c r="P49" s="556"/>
      <c r="Q49" s="556"/>
      <c r="R49" s="556"/>
      <c r="S49" s="556"/>
      <c r="T49" s="556"/>
      <c r="U49" s="556"/>
      <c r="V49" s="556"/>
      <c r="W49" s="556"/>
      <c r="X49" s="556"/>
      <c r="Y49" s="556"/>
      <c r="Z49" s="556"/>
    </row>
    <row r="50" spans="1:26" x14ac:dyDescent="0.3">
      <c r="A50" s="902"/>
      <c r="B50" s="903"/>
      <c r="C50" s="903"/>
      <c r="D50" s="903"/>
      <c r="E50" s="903"/>
      <c r="F50" s="903"/>
      <c r="G50" s="903"/>
      <c r="H50" s="903"/>
      <c r="I50" s="903"/>
      <c r="J50" s="903"/>
      <c r="K50" s="903"/>
      <c r="L50" s="903"/>
      <c r="M50" s="903"/>
      <c r="N50" s="903"/>
      <c r="O50" s="903"/>
      <c r="P50" s="556"/>
      <c r="Q50" s="556"/>
      <c r="R50" s="556"/>
      <c r="S50" s="556"/>
      <c r="T50" s="556"/>
      <c r="U50" s="556"/>
      <c r="V50" s="556"/>
      <c r="W50" s="556"/>
      <c r="X50" s="556"/>
      <c r="Y50" s="556"/>
      <c r="Z50" s="556"/>
    </row>
    <row r="51" spans="1:26" x14ac:dyDescent="0.3">
      <c r="A51" s="902"/>
      <c r="B51" s="903"/>
      <c r="C51" s="903"/>
      <c r="D51" s="903"/>
      <c r="E51" s="903"/>
      <c r="F51" s="903"/>
      <c r="G51" s="903"/>
      <c r="H51" s="903"/>
      <c r="I51" s="903"/>
      <c r="J51" s="903"/>
      <c r="K51" s="903"/>
      <c r="L51" s="903"/>
      <c r="M51" s="903"/>
      <c r="N51" s="903"/>
      <c r="O51" s="903"/>
      <c r="P51" s="556"/>
      <c r="Q51" s="556"/>
      <c r="R51" s="556"/>
      <c r="S51" s="556"/>
      <c r="T51" s="556"/>
      <c r="U51" s="556"/>
      <c r="V51" s="556"/>
      <c r="W51" s="556"/>
      <c r="X51" s="556"/>
      <c r="Y51" s="556"/>
      <c r="Z51" s="556"/>
    </row>
    <row r="52" spans="1:26" x14ac:dyDescent="0.3">
      <c r="A52" s="902"/>
      <c r="B52" s="903"/>
      <c r="C52" s="903"/>
      <c r="D52" s="903"/>
      <c r="E52" s="903"/>
      <c r="F52" s="903"/>
      <c r="G52" s="903"/>
      <c r="H52" s="903"/>
      <c r="I52" s="903"/>
      <c r="J52" s="903"/>
      <c r="K52" s="903"/>
      <c r="L52" s="903"/>
      <c r="M52" s="903"/>
      <c r="N52" s="903"/>
      <c r="O52" s="903"/>
      <c r="P52" s="556"/>
      <c r="Q52" s="556"/>
      <c r="R52" s="556"/>
      <c r="S52" s="556"/>
      <c r="T52" s="556"/>
      <c r="U52" s="556"/>
      <c r="V52" s="556"/>
      <c r="W52" s="556"/>
      <c r="X52" s="556"/>
      <c r="Y52" s="556"/>
      <c r="Z52" s="556"/>
    </row>
    <row r="53" spans="1:26" x14ac:dyDescent="0.3">
      <c r="A53" s="902"/>
      <c r="B53" s="903"/>
      <c r="C53" s="903"/>
      <c r="D53" s="903"/>
      <c r="E53" s="903"/>
      <c r="F53" s="903"/>
      <c r="G53" s="903"/>
      <c r="H53" s="903"/>
      <c r="I53" s="903"/>
      <c r="J53" s="903"/>
      <c r="K53" s="903"/>
      <c r="L53" s="903"/>
      <c r="M53" s="903"/>
      <c r="N53" s="903"/>
      <c r="O53" s="903"/>
      <c r="P53" s="556"/>
      <c r="Q53" s="556"/>
      <c r="R53" s="556"/>
      <c r="S53" s="556"/>
      <c r="T53" s="556"/>
      <c r="U53" s="556"/>
      <c r="V53" s="556"/>
      <c r="W53" s="556"/>
      <c r="X53" s="556"/>
      <c r="Y53" s="556"/>
      <c r="Z53" s="556"/>
    </row>
    <row r="54" spans="1:26" x14ac:dyDescent="0.3">
      <c r="A54" s="902"/>
      <c r="B54" s="903"/>
      <c r="C54" s="903"/>
      <c r="D54" s="903"/>
      <c r="E54" s="903"/>
      <c r="F54" s="903"/>
      <c r="G54" s="903"/>
      <c r="H54" s="903"/>
      <c r="I54" s="903"/>
      <c r="J54" s="903"/>
      <c r="K54" s="903"/>
      <c r="L54" s="903"/>
      <c r="M54" s="903"/>
      <c r="N54" s="903"/>
      <c r="O54" s="903"/>
      <c r="P54" s="556"/>
      <c r="Q54" s="556"/>
      <c r="R54" s="556"/>
      <c r="S54" s="556"/>
      <c r="T54" s="556"/>
      <c r="U54" s="556"/>
      <c r="V54" s="556"/>
      <c r="W54" s="556"/>
      <c r="X54" s="556"/>
      <c r="Y54" s="556"/>
      <c r="Z54" s="556"/>
    </row>
    <row r="55" spans="1:26" x14ac:dyDescent="0.3">
      <c r="A55" s="902"/>
      <c r="B55" s="903"/>
      <c r="C55" s="903"/>
      <c r="D55" s="903"/>
      <c r="E55" s="903"/>
      <c r="F55" s="903"/>
      <c r="G55" s="903"/>
      <c r="H55" s="903"/>
      <c r="I55" s="903"/>
      <c r="J55" s="903"/>
      <c r="K55" s="903"/>
      <c r="L55" s="903"/>
      <c r="M55" s="903"/>
      <c r="N55" s="903"/>
      <c r="O55" s="903"/>
      <c r="P55" s="556"/>
      <c r="Q55" s="556"/>
      <c r="R55" s="556"/>
      <c r="S55" s="556"/>
      <c r="T55" s="556"/>
      <c r="U55" s="556"/>
      <c r="V55" s="556"/>
      <c r="W55" s="556"/>
      <c r="X55" s="556"/>
      <c r="Y55" s="556"/>
      <c r="Z55" s="556"/>
    </row>
    <row r="56" spans="1:26" x14ac:dyDescent="0.3">
      <c r="A56" s="902"/>
      <c r="B56" s="903"/>
      <c r="C56" s="903"/>
      <c r="D56" s="903"/>
      <c r="E56" s="903"/>
      <c r="F56" s="903"/>
      <c r="G56" s="903"/>
      <c r="H56" s="903"/>
      <c r="I56" s="903"/>
      <c r="J56" s="903"/>
      <c r="K56" s="903"/>
      <c r="L56" s="903"/>
      <c r="M56" s="903"/>
      <c r="N56" s="903"/>
      <c r="O56" s="903"/>
      <c r="P56" s="556"/>
      <c r="Q56" s="556"/>
      <c r="R56" s="556"/>
      <c r="S56" s="556"/>
      <c r="T56" s="556"/>
      <c r="U56" s="556"/>
      <c r="V56" s="556"/>
      <c r="W56" s="556"/>
      <c r="X56" s="556"/>
      <c r="Y56" s="556"/>
      <c r="Z56" s="556"/>
    </row>
    <row r="57" spans="1:26" x14ac:dyDescent="0.3">
      <c r="A57" s="902"/>
      <c r="B57" s="903"/>
      <c r="C57" s="903"/>
      <c r="D57" s="903"/>
      <c r="E57" s="903"/>
      <c r="F57" s="903"/>
      <c r="G57" s="903"/>
      <c r="H57" s="903"/>
      <c r="I57" s="903"/>
      <c r="J57" s="903"/>
      <c r="K57" s="903"/>
      <c r="L57" s="903"/>
      <c r="M57" s="903"/>
      <c r="N57" s="903"/>
      <c r="O57" s="903"/>
      <c r="P57" s="556"/>
      <c r="Q57" s="556"/>
      <c r="R57" s="556"/>
      <c r="S57" s="556"/>
      <c r="T57" s="556"/>
      <c r="U57" s="556"/>
      <c r="V57" s="556"/>
      <c r="W57" s="556"/>
      <c r="X57" s="556"/>
      <c r="Y57" s="556"/>
      <c r="Z57" s="556"/>
    </row>
    <row r="58" spans="1:26" x14ac:dyDescent="0.3">
      <c r="A58" s="902"/>
      <c r="B58" s="903"/>
      <c r="C58" s="903"/>
      <c r="D58" s="903"/>
      <c r="E58" s="903"/>
      <c r="F58" s="903"/>
      <c r="G58" s="903"/>
      <c r="H58" s="903"/>
      <c r="I58" s="903"/>
      <c r="J58" s="903"/>
      <c r="K58" s="903"/>
      <c r="L58" s="903"/>
      <c r="M58" s="903"/>
      <c r="N58" s="903"/>
      <c r="O58" s="903"/>
      <c r="P58" s="556"/>
      <c r="Q58" s="556"/>
      <c r="R58" s="556"/>
      <c r="S58" s="556"/>
      <c r="T58" s="556"/>
      <c r="U58" s="556"/>
      <c r="V58" s="556"/>
      <c r="W58" s="556"/>
      <c r="X58" s="556"/>
      <c r="Y58" s="556"/>
      <c r="Z58" s="556"/>
    </row>
    <row r="59" spans="1:26" x14ac:dyDescent="0.3">
      <c r="A59" s="902"/>
      <c r="B59" s="903"/>
      <c r="C59" s="903"/>
      <c r="D59" s="903"/>
      <c r="E59" s="903"/>
      <c r="F59" s="903"/>
      <c r="G59" s="903"/>
      <c r="H59" s="903"/>
      <c r="I59" s="903"/>
      <c r="J59" s="903"/>
      <c r="K59" s="903"/>
      <c r="L59" s="903"/>
      <c r="M59" s="903"/>
      <c r="N59" s="903"/>
      <c r="O59" s="903"/>
      <c r="P59" s="556"/>
      <c r="Q59" s="556"/>
      <c r="R59" s="556"/>
      <c r="S59" s="556"/>
      <c r="T59" s="556"/>
      <c r="U59" s="556"/>
      <c r="V59" s="556"/>
      <c r="W59" s="556"/>
      <c r="X59" s="556"/>
      <c r="Y59" s="556"/>
      <c r="Z59" s="556"/>
    </row>
    <row r="60" spans="1:26" x14ac:dyDescent="0.3">
      <c r="A60" s="902"/>
      <c r="B60" s="903"/>
      <c r="C60" s="903"/>
      <c r="D60" s="903"/>
      <c r="E60" s="903"/>
      <c r="F60" s="903"/>
      <c r="G60" s="903"/>
      <c r="H60" s="903"/>
      <c r="I60" s="903"/>
      <c r="J60" s="903"/>
      <c r="K60" s="903"/>
      <c r="L60" s="903"/>
      <c r="M60" s="903"/>
      <c r="N60" s="903"/>
      <c r="O60" s="903"/>
      <c r="P60" s="556"/>
      <c r="Q60" s="556"/>
      <c r="R60" s="556"/>
      <c r="S60" s="556"/>
      <c r="T60" s="556"/>
      <c r="U60" s="556"/>
      <c r="V60" s="556"/>
      <c r="W60" s="556"/>
      <c r="X60" s="556"/>
      <c r="Y60" s="556"/>
      <c r="Z60" s="556"/>
    </row>
    <row r="61" spans="1:26" x14ac:dyDescent="0.3">
      <c r="A61" s="902"/>
      <c r="B61" s="903"/>
      <c r="C61" s="903"/>
      <c r="D61" s="903"/>
      <c r="E61" s="903"/>
      <c r="F61" s="903"/>
      <c r="G61" s="903"/>
      <c r="H61" s="903"/>
      <c r="I61" s="903"/>
      <c r="J61" s="903"/>
      <c r="K61" s="903"/>
      <c r="L61" s="903"/>
      <c r="M61" s="903"/>
      <c r="N61" s="903"/>
      <c r="O61" s="903"/>
      <c r="P61" s="556"/>
      <c r="Q61" s="556"/>
      <c r="R61" s="556"/>
      <c r="S61" s="556"/>
      <c r="T61" s="556"/>
      <c r="U61" s="556"/>
      <c r="V61" s="556"/>
      <c r="W61" s="556"/>
      <c r="X61" s="556"/>
      <c r="Y61" s="556"/>
      <c r="Z61" s="556"/>
    </row>
    <row r="62" spans="1:26" x14ac:dyDescent="0.3">
      <c r="A62" s="902"/>
      <c r="B62" s="903"/>
      <c r="C62" s="903"/>
      <c r="D62" s="903"/>
      <c r="E62" s="903"/>
      <c r="F62" s="903"/>
      <c r="G62" s="903"/>
      <c r="H62" s="903"/>
      <c r="I62" s="903"/>
      <c r="J62" s="903"/>
      <c r="K62" s="903"/>
      <c r="L62" s="903"/>
      <c r="M62" s="903"/>
      <c r="N62" s="903"/>
      <c r="O62" s="903"/>
      <c r="P62" s="556"/>
      <c r="Q62" s="556"/>
      <c r="R62" s="556"/>
      <c r="S62" s="556"/>
      <c r="T62" s="556"/>
      <c r="U62" s="556"/>
      <c r="V62" s="556"/>
      <c r="W62" s="556"/>
      <c r="X62" s="556"/>
      <c r="Y62" s="556"/>
      <c r="Z62" s="556"/>
    </row>
    <row r="63" spans="1:26" x14ac:dyDescent="0.3">
      <c r="A63" s="902"/>
      <c r="B63" s="903"/>
      <c r="C63" s="903"/>
      <c r="D63" s="903"/>
      <c r="E63" s="903"/>
      <c r="F63" s="903"/>
      <c r="G63" s="903"/>
      <c r="H63" s="903"/>
      <c r="I63" s="903"/>
      <c r="J63" s="903"/>
      <c r="K63" s="903"/>
      <c r="L63" s="903"/>
      <c r="M63" s="903"/>
      <c r="N63" s="903"/>
      <c r="O63" s="903"/>
      <c r="P63" s="556"/>
      <c r="Q63" s="556"/>
      <c r="R63" s="556"/>
      <c r="S63" s="556"/>
      <c r="T63" s="556"/>
      <c r="U63" s="556"/>
      <c r="V63" s="556"/>
      <c r="W63" s="556"/>
      <c r="X63" s="556"/>
      <c r="Y63" s="556"/>
      <c r="Z63" s="556"/>
    </row>
    <row r="64" spans="1:26" x14ac:dyDescent="0.3">
      <c r="A64" s="902"/>
      <c r="B64" s="903"/>
      <c r="C64" s="903"/>
      <c r="D64" s="903"/>
      <c r="E64" s="903"/>
      <c r="F64" s="903"/>
      <c r="G64" s="903"/>
      <c r="H64" s="903"/>
      <c r="I64" s="903"/>
      <c r="J64" s="903"/>
      <c r="K64" s="903"/>
      <c r="L64" s="903"/>
      <c r="M64" s="903"/>
      <c r="N64" s="903"/>
      <c r="O64" s="903"/>
      <c r="P64" s="556"/>
      <c r="Q64" s="556"/>
      <c r="R64" s="556"/>
      <c r="S64" s="556"/>
      <c r="T64" s="556"/>
      <c r="U64" s="556"/>
      <c r="V64" s="556"/>
      <c r="W64" s="556"/>
      <c r="X64" s="556"/>
      <c r="Y64" s="556"/>
      <c r="Z64" s="556"/>
    </row>
    <row r="65" spans="1:26" x14ac:dyDescent="0.3">
      <c r="A65" s="902"/>
      <c r="B65" s="903"/>
      <c r="C65" s="903"/>
      <c r="D65" s="903"/>
      <c r="E65" s="903"/>
      <c r="F65" s="903"/>
      <c r="G65" s="903"/>
      <c r="H65" s="903"/>
      <c r="I65" s="903"/>
      <c r="J65" s="903"/>
      <c r="K65" s="903"/>
      <c r="L65" s="903"/>
      <c r="M65" s="903"/>
      <c r="N65" s="903"/>
      <c r="O65" s="903"/>
      <c r="P65" s="556"/>
      <c r="Q65" s="556"/>
      <c r="R65" s="556"/>
      <c r="S65" s="556"/>
      <c r="T65" s="556"/>
      <c r="U65" s="556"/>
      <c r="V65" s="556"/>
      <c r="W65" s="556"/>
      <c r="X65" s="556"/>
      <c r="Y65" s="556"/>
      <c r="Z65" s="556"/>
    </row>
    <row r="66" spans="1:26" x14ac:dyDescent="0.3">
      <c r="A66" s="902"/>
      <c r="B66" s="903"/>
      <c r="C66" s="903"/>
      <c r="D66" s="903"/>
      <c r="E66" s="903"/>
      <c r="F66" s="903"/>
      <c r="G66" s="903"/>
      <c r="H66" s="903"/>
      <c r="I66" s="903"/>
      <c r="J66" s="903"/>
      <c r="K66" s="903"/>
      <c r="L66" s="903"/>
      <c r="M66" s="903"/>
      <c r="N66" s="903"/>
      <c r="O66" s="903"/>
      <c r="P66" s="556"/>
      <c r="Q66" s="556"/>
      <c r="R66" s="556"/>
      <c r="S66" s="556"/>
      <c r="T66" s="556"/>
      <c r="U66" s="556"/>
      <c r="V66" s="556"/>
      <c r="W66" s="556"/>
      <c r="X66" s="556"/>
      <c r="Y66" s="556"/>
      <c r="Z66" s="556"/>
    </row>
    <row r="67" spans="1:26" x14ac:dyDescent="0.3">
      <c r="A67" s="902"/>
      <c r="B67" s="903"/>
      <c r="C67" s="903"/>
      <c r="D67" s="903"/>
      <c r="E67" s="903"/>
      <c r="F67" s="903"/>
      <c r="G67" s="903"/>
      <c r="H67" s="903"/>
      <c r="I67" s="903"/>
      <c r="J67" s="903"/>
      <c r="K67" s="903"/>
      <c r="L67" s="903"/>
      <c r="M67" s="903"/>
      <c r="N67" s="903"/>
      <c r="O67" s="903"/>
      <c r="P67" s="556"/>
      <c r="Q67" s="556"/>
      <c r="R67" s="556"/>
      <c r="S67" s="556"/>
      <c r="T67" s="556"/>
      <c r="U67" s="556"/>
      <c r="V67" s="556"/>
      <c r="W67" s="556"/>
      <c r="X67" s="556"/>
      <c r="Y67" s="556"/>
      <c r="Z67" s="556"/>
    </row>
    <row r="68" spans="1:26" x14ac:dyDescent="0.3">
      <c r="A68" s="902"/>
      <c r="B68" s="903"/>
      <c r="C68" s="903"/>
      <c r="D68" s="903"/>
      <c r="E68" s="903"/>
      <c r="F68" s="903"/>
      <c r="G68" s="903"/>
      <c r="H68" s="903"/>
      <c r="I68" s="903"/>
      <c r="J68" s="903"/>
      <c r="K68" s="903"/>
      <c r="L68" s="903"/>
      <c r="M68" s="903"/>
      <c r="N68" s="903"/>
      <c r="O68" s="903"/>
      <c r="P68" s="556"/>
      <c r="Q68" s="556"/>
      <c r="R68" s="556"/>
      <c r="S68" s="556"/>
      <c r="T68" s="556"/>
      <c r="U68" s="556"/>
      <c r="V68" s="556"/>
      <c r="W68" s="556"/>
      <c r="X68" s="556"/>
      <c r="Y68" s="556"/>
      <c r="Z68" s="556"/>
    </row>
    <row r="69" spans="1:26" x14ac:dyDescent="0.3">
      <c r="A69" s="902"/>
      <c r="B69" s="903"/>
      <c r="C69" s="903"/>
      <c r="D69" s="903"/>
      <c r="E69" s="903"/>
      <c r="F69" s="903"/>
      <c r="G69" s="903"/>
      <c r="H69" s="903"/>
      <c r="I69" s="903"/>
      <c r="J69" s="903"/>
      <c r="K69" s="903"/>
      <c r="L69" s="903"/>
      <c r="M69" s="903"/>
      <c r="N69" s="903"/>
      <c r="O69" s="903"/>
      <c r="P69" s="556"/>
      <c r="Q69" s="556"/>
      <c r="R69" s="556"/>
      <c r="S69" s="556"/>
      <c r="T69" s="556"/>
      <c r="U69" s="556"/>
      <c r="V69" s="556"/>
      <c r="W69" s="556"/>
      <c r="X69" s="556"/>
      <c r="Y69" s="556"/>
      <c r="Z69" s="556"/>
    </row>
    <row r="70" spans="1:26" x14ac:dyDescent="0.3">
      <c r="A70" s="902"/>
      <c r="B70" s="903"/>
      <c r="C70" s="903"/>
      <c r="D70" s="903"/>
      <c r="E70" s="903"/>
      <c r="F70" s="903"/>
      <c r="G70" s="903"/>
      <c r="H70" s="903"/>
      <c r="I70" s="903"/>
      <c r="J70" s="903"/>
      <c r="K70" s="903"/>
      <c r="L70" s="903"/>
      <c r="M70" s="903"/>
      <c r="N70" s="903"/>
      <c r="O70" s="903"/>
      <c r="P70" s="556"/>
      <c r="Q70" s="556"/>
      <c r="R70" s="556"/>
      <c r="S70" s="556"/>
      <c r="T70" s="556"/>
      <c r="U70" s="556"/>
      <c r="V70" s="556"/>
      <c r="W70" s="556"/>
      <c r="X70" s="556"/>
      <c r="Y70" s="556"/>
      <c r="Z70" s="556"/>
    </row>
    <row r="71" spans="1:26" x14ac:dyDescent="0.3">
      <c r="A71" s="902"/>
      <c r="B71" s="903"/>
      <c r="C71" s="903"/>
      <c r="D71" s="903"/>
      <c r="E71" s="903"/>
      <c r="F71" s="903"/>
      <c r="G71" s="903"/>
      <c r="H71" s="903"/>
      <c r="I71" s="903"/>
      <c r="J71" s="903"/>
      <c r="K71" s="903"/>
      <c r="L71" s="903"/>
      <c r="M71" s="903"/>
      <c r="N71" s="903"/>
      <c r="O71" s="903"/>
      <c r="P71" s="556"/>
      <c r="Q71" s="556"/>
      <c r="R71" s="556"/>
      <c r="S71" s="556"/>
      <c r="T71" s="556"/>
      <c r="U71" s="556"/>
      <c r="V71" s="556"/>
      <c r="W71" s="556"/>
      <c r="X71" s="556"/>
      <c r="Y71" s="556"/>
      <c r="Z71" s="556"/>
    </row>
    <row r="72" spans="1:26" x14ac:dyDescent="0.3">
      <c r="A72" s="902"/>
      <c r="B72" s="903"/>
      <c r="C72" s="903"/>
      <c r="D72" s="903"/>
      <c r="E72" s="903"/>
      <c r="F72" s="903"/>
      <c r="G72" s="903"/>
      <c r="H72" s="903"/>
      <c r="I72" s="903"/>
      <c r="J72" s="903"/>
      <c r="K72" s="903"/>
      <c r="L72" s="903"/>
      <c r="M72" s="903"/>
      <c r="N72" s="903"/>
      <c r="O72" s="903"/>
      <c r="P72" s="556"/>
      <c r="Q72" s="556"/>
      <c r="R72" s="556"/>
      <c r="S72" s="556"/>
      <c r="T72" s="556"/>
      <c r="U72" s="556"/>
      <c r="V72" s="556"/>
      <c r="W72" s="556"/>
      <c r="X72" s="556"/>
      <c r="Y72" s="556"/>
      <c r="Z72" s="556"/>
    </row>
    <row r="73" spans="1:26" x14ac:dyDescent="0.3">
      <c r="A73" s="902"/>
      <c r="B73" s="903"/>
      <c r="C73" s="903"/>
      <c r="D73" s="903"/>
      <c r="E73" s="903"/>
      <c r="F73" s="903"/>
      <c r="G73" s="903"/>
      <c r="H73" s="903"/>
      <c r="I73" s="903"/>
      <c r="J73" s="903"/>
      <c r="K73" s="903"/>
      <c r="L73" s="903"/>
      <c r="M73" s="903"/>
      <c r="N73" s="903"/>
      <c r="O73" s="903"/>
      <c r="P73" s="556"/>
      <c r="Q73" s="556"/>
      <c r="R73" s="556"/>
      <c r="S73" s="556"/>
      <c r="T73" s="556"/>
      <c r="U73" s="556"/>
      <c r="V73" s="556"/>
      <c r="W73" s="556"/>
      <c r="X73" s="556"/>
      <c r="Y73" s="556"/>
      <c r="Z73" s="556"/>
    </row>
    <row r="74" spans="1:26" x14ac:dyDescent="0.3">
      <c r="A74" s="902"/>
      <c r="B74" s="903"/>
      <c r="C74" s="903"/>
      <c r="D74" s="903"/>
      <c r="E74" s="903"/>
      <c r="F74" s="903"/>
      <c r="G74" s="903"/>
      <c r="H74" s="903"/>
      <c r="I74" s="903"/>
      <c r="J74" s="903"/>
      <c r="K74" s="903"/>
      <c r="L74" s="903"/>
      <c r="M74" s="903"/>
      <c r="N74" s="903"/>
      <c r="O74" s="903"/>
      <c r="P74" s="556"/>
      <c r="Q74" s="556"/>
      <c r="R74" s="556"/>
      <c r="S74" s="556"/>
      <c r="T74" s="556"/>
      <c r="U74" s="556"/>
      <c r="V74" s="556"/>
      <c r="W74" s="556"/>
      <c r="X74" s="556"/>
      <c r="Y74" s="556"/>
      <c r="Z74" s="556"/>
    </row>
    <row r="75" spans="1:26" x14ac:dyDescent="0.3">
      <c r="A75" s="902"/>
      <c r="B75" s="903"/>
      <c r="C75" s="903"/>
      <c r="D75" s="903"/>
      <c r="E75" s="903"/>
      <c r="F75" s="903"/>
      <c r="G75" s="903"/>
      <c r="H75" s="903"/>
      <c r="I75" s="903"/>
      <c r="J75" s="903"/>
      <c r="K75" s="903"/>
      <c r="L75" s="903"/>
      <c r="M75" s="903"/>
      <c r="N75" s="903"/>
      <c r="O75" s="903"/>
      <c r="P75" s="556"/>
      <c r="Q75" s="556"/>
      <c r="R75" s="556"/>
      <c r="S75" s="556"/>
      <c r="T75" s="556"/>
      <c r="U75" s="556"/>
      <c r="V75" s="556"/>
      <c r="W75" s="556"/>
      <c r="X75" s="556"/>
      <c r="Y75" s="556"/>
      <c r="Z75" s="556"/>
    </row>
    <row r="76" spans="1:26" x14ac:dyDescent="0.3">
      <c r="A76" s="902"/>
      <c r="B76" s="903"/>
      <c r="C76" s="903"/>
      <c r="D76" s="903"/>
      <c r="E76" s="903"/>
      <c r="F76" s="903"/>
      <c r="G76" s="903"/>
      <c r="H76" s="903"/>
      <c r="I76" s="903"/>
      <c r="J76" s="903"/>
      <c r="K76" s="903"/>
      <c r="L76" s="903"/>
      <c r="M76" s="903"/>
      <c r="N76" s="903"/>
      <c r="O76" s="903"/>
      <c r="P76" s="556"/>
      <c r="Q76" s="556"/>
      <c r="R76" s="556"/>
      <c r="S76" s="556"/>
      <c r="T76" s="556"/>
      <c r="U76" s="556"/>
      <c r="V76" s="556"/>
      <c r="W76" s="556"/>
      <c r="X76" s="556"/>
      <c r="Y76" s="556"/>
      <c r="Z76" s="556"/>
    </row>
    <row r="77" spans="1:26" x14ac:dyDescent="0.3">
      <c r="A77" s="902"/>
      <c r="B77" s="903"/>
      <c r="C77" s="903"/>
      <c r="D77" s="903"/>
      <c r="E77" s="903"/>
      <c r="F77" s="903"/>
      <c r="G77" s="903"/>
      <c r="H77" s="903"/>
      <c r="I77" s="903"/>
      <c r="J77" s="903"/>
      <c r="K77" s="903"/>
      <c r="L77" s="903"/>
      <c r="M77" s="903"/>
      <c r="N77" s="903"/>
      <c r="O77" s="903"/>
      <c r="P77" s="556"/>
      <c r="Q77" s="556"/>
      <c r="R77" s="556"/>
      <c r="S77" s="556"/>
      <c r="T77" s="556"/>
      <c r="U77" s="556"/>
      <c r="V77" s="556"/>
      <c r="W77" s="556"/>
      <c r="X77" s="556"/>
      <c r="Y77" s="556"/>
      <c r="Z77" s="556"/>
    </row>
    <row r="78" spans="1:26" x14ac:dyDescent="0.3">
      <c r="A78" s="902"/>
      <c r="B78" s="903"/>
      <c r="C78" s="903"/>
      <c r="D78" s="903"/>
      <c r="E78" s="903"/>
      <c r="F78" s="903"/>
      <c r="G78" s="903"/>
      <c r="H78" s="903"/>
      <c r="I78" s="903"/>
      <c r="J78" s="903"/>
      <c r="K78" s="903"/>
      <c r="L78" s="903"/>
      <c r="M78" s="903"/>
      <c r="N78" s="903"/>
      <c r="O78" s="903"/>
      <c r="P78" s="556"/>
      <c r="Q78" s="556"/>
      <c r="R78" s="556"/>
      <c r="S78" s="556"/>
      <c r="T78" s="556"/>
      <c r="U78" s="556"/>
      <c r="V78" s="556"/>
      <c r="W78" s="556"/>
      <c r="X78" s="556"/>
      <c r="Y78" s="556"/>
      <c r="Z78" s="556"/>
    </row>
    <row r="79" spans="1:26" x14ac:dyDescent="0.3">
      <c r="A79" s="902"/>
      <c r="B79" s="903"/>
      <c r="C79" s="903"/>
      <c r="D79" s="903"/>
      <c r="E79" s="903"/>
      <c r="F79" s="903"/>
      <c r="G79" s="903"/>
      <c r="H79" s="903"/>
      <c r="I79" s="903"/>
      <c r="J79" s="903"/>
      <c r="K79" s="903"/>
      <c r="L79" s="903"/>
      <c r="M79" s="903"/>
      <c r="N79" s="903"/>
      <c r="O79" s="903"/>
      <c r="P79" s="556"/>
      <c r="Q79" s="556"/>
      <c r="R79" s="556"/>
      <c r="S79" s="556"/>
      <c r="T79" s="556"/>
      <c r="U79" s="556"/>
      <c r="V79" s="556"/>
      <c r="W79" s="556"/>
      <c r="X79" s="556"/>
      <c r="Y79" s="556"/>
      <c r="Z79" s="556"/>
    </row>
    <row r="80" spans="1:26" x14ac:dyDescent="0.3">
      <c r="A80" s="902"/>
      <c r="B80" s="903"/>
      <c r="C80" s="903"/>
      <c r="D80" s="903"/>
      <c r="E80" s="903"/>
      <c r="F80" s="903"/>
      <c r="G80" s="903"/>
      <c r="H80" s="903"/>
      <c r="I80" s="903"/>
      <c r="J80" s="903"/>
      <c r="K80" s="903"/>
      <c r="L80" s="903"/>
      <c r="M80" s="903"/>
      <c r="N80" s="903"/>
      <c r="O80" s="903"/>
      <c r="P80" s="556"/>
      <c r="Q80" s="556"/>
      <c r="R80" s="556"/>
      <c r="S80" s="556"/>
      <c r="T80" s="556"/>
      <c r="U80" s="556"/>
      <c r="V80" s="556"/>
      <c r="W80" s="556"/>
      <c r="X80" s="556"/>
      <c r="Y80" s="556"/>
      <c r="Z80" s="556"/>
    </row>
    <row r="81" spans="1:26" x14ac:dyDescent="0.3">
      <c r="A81" s="902"/>
      <c r="B81" s="903"/>
      <c r="C81" s="903"/>
      <c r="D81" s="903"/>
      <c r="E81" s="903"/>
      <c r="F81" s="903"/>
      <c r="G81" s="903"/>
      <c r="H81" s="903"/>
      <c r="I81" s="903"/>
      <c r="J81" s="903"/>
      <c r="K81" s="903"/>
      <c r="L81" s="903"/>
      <c r="M81" s="903"/>
      <c r="N81" s="903"/>
      <c r="O81" s="903"/>
      <c r="P81" s="556"/>
      <c r="Q81" s="556"/>
      <c r="R81" s="556"/>
      <c r="S81" s="556"/>
      <c r="T81" s="556"/>
      <c r="U81" s="556"/>
      <c r="V81" s="556"/>
      <c r="W81" s="556"/>
      <c r="X81" s="556"/>
      <c r="Y81" s="556"/>
      <c r="Z81" s="556"/>
    </row>
    <row r="82" spans="1:26" x14ac:dyDescent="0.3">
      <c r="A82" s="902"/>
      <c r="B82" s="903"/>
      <c r="C82" s="903"/>
      <c r="D82" s="903"/>
      <c r="E82" s="903"/>
      <c r="F82" s="903"/>
      <c r="G82" s="903"/>
      <c r="H82" s="903"/>
      <c r="I82" s="903"/>
      <c r="J82" s="903"/>
      <c r="K82" s="903"/>
      <c r="L82" s="903"/>
      <c r="M82" s="903"/>
      <c r="N82" s="903"/>
      <c r="O82" s="903"/>
      <c r="P82" s="556"/>
      <c r="Q82" s="556"/>
      <c r="R82" s="556"/>
      <c r="S82" s="556"/>
      <c r="T82" s="556"/>
      <c r="U82" s="556"/>
      <c r="V82" s="556"/>
      <c r="W82" s="556"/>
      <c r="X82" s="556"/>
      <c r="Y82" s="556"/>
      <c r="Z82" s="556"/>
    </row>
    <row r="83" spans="1:26" x14ac:dyDescent="0.3">
      <c r="A83" s="902"/>
      <c r="B83" s="903"/>
      <c r="C83" s="903"/>
      <c r="D83" s="903"/>
      <c r="E83" s="903"/>
      <c r="F83" s="903"/>
      <c r="G83" s="903"/>
      <c r="H83" s="903"/>
      <c r="I83" s="903"/>
      <c r="J83" s="903"/>
      <c r="K83" s="903"/>
      <c r="L83" s="903"/>
      <c r="M83" s="903"/>
      <c r="N83" s="903"/>
      <c r="O83" s="903"/>
      <c r="P83" s="556"/>
      <c r="Q83" s="556"/>
      <c r="R83" s="556"/>
      <c r="S83" s="556"/>
      <c r="T83" s="556"/>
      <c r="U83" s="556"/>
      <c r="V83" s="556"/>
      <c r="W83" s="556"/>
      <c r="X83" s="556"/>
      <c r="Y83" s="556"/>
      <c r="Z83" s="556"/>
    </row>
    <row r="84" spans="1:26" x14ac:dyDescent="0.3">
      <c r="A84" s="902"/>
      <c r="B84" s="903"/>
      <c r="C84" s="903"/>
      <c r="D84" s="903"/>
      <c r="E84" s="903"/>
      <c r="F84" s="903"/>
      <c r="G84" s="903"/>
      <c r="H84" s="903"/>
      <c r="I84" s="903"/>
      <c r="J84" s="903"/>
      <c r="K84" s="903"/>
      <c r="L84" s="903"/>
      <c r="M84" s="903"/>
      <c r="N84" s="903"/>
      <c r="O84" s="903"/>
      <c r="P84" s="556"/>
      <c r="Q84" s="556"/>
      <c r="R84" s="556"/>
      <c r="S84" s="556"/>
      <c r="T84" s="556"/>
      <c r="U84" s="556"/>
      <c r="V84" s="556"/>
      <c r="W84" s="556"/>
      <c r="X84" s="556"/>
      <c r="Y84" s="556"/>
      <c r="Z84" s="556"/>
    </row>
    <row r="85" spans="1:26" x14ac:dyDescent="0.3">
      <c r="A85" s="902"/>
      <c r="B85" s="903"/>
      <c r="C85" s="903"/>
      <c r="D85" s="903"/>
      <c r="E85" s="903"/>
      <c r="F85" s="903"/>
      <c r="G85" s="903"/>
      <c r="H85" s="903"/>
      <c r="I85" s="903"/>
      <c r="J85" s="903"/>
      <c r="K85" s="903"/>
      <c r="L85" s="903"/>
      <c r="M85" s="903"/>
      <c r="N85" s="903"/>
      <c r="O85" s="903"/>
      <c r="P85" s="556"/>
      <c r="Q85" s="556"/>
      <c r="R85" s="556"/>
      <c r="S85" s="556"/>
      <c r="T85" s="556"/>
      <c r="U85" s="556"/>
      <c r="V85" s="556"/>
      <c r="W85" s="556"/>
      <c r="X85" s="556"/>
      <c r="Y85" s="556"/>
      <c r="Z85" s="556"/>
    </row>
    <row r="86" spans="1:26" x14ac:dyDescent="0.3">
      <c r="A86" s="902"/>
      <c r="B86" s="903"/>
      <c r="C86" s="903"/>
      <c r="D86" s="903"/>
      <c r="E86" s="903"/>
      <c r="F86" s="903"/>
      <c r="G86" s="903"/>
      <c r="H86" s="903"/>
      <c r="I86" s="903"/>
      <c r="J86" s="903"/>
      <c r="K86" s="903"/>
      <c r="L86" s="903"/>
      <c r="M86" s="903"/>
      <c r="N86" s="903"/>
      <c r="O86" s="903"/>
      <c r="P86" s="556"/>
      <c r="Q86" s="556"/>
      <c r="R86" s="556"/>
      <c r="S86" s="556"/>
      <c r="T86" s="556"/>
      <c r="U86" s="556"/>
      <c r="V86" s="556"/>
      <c r="W86" s="556"/>
      <c r="X86" s="556"/>
      <c r="Y86" s="556"/>
      <c r="Z86" s="556"/>
    </row>
    <row r="87" spans="1:26" x14ac:dyDescent="0.3">
      <c r="A87" s="902"/>
      <c r="B87" s="903"/>
      <c r="C87" s="903"/>
      <c r="D87" s="903"/>
      <c r="E87" s="903"/>
      <c r="F87" s="903"/>
      <c r="G87" s="903"/>
      <c r="H87" s="903"/>
      <c r="I87" s="903"/>
      <c r="J87" s="903"/>
      <c r="K87" s="903"/>
      <c r="L87" s="903"/>
      <c r="M87" s="903"/>
      <c r="N87" s="903"/>
      <c r="O87" s="903"/>
      <c r="P87" s="556"/>
      <c r="Q87" s="556"/>
      <c r="R87" s="556"/>
      <c r="S87" s="556"/>
      <c r="T87" s="556"/>
      <c r="U87" s="556"/>
      <c r="V87" s="556"/>
      <c r="W87" s="556"/>
      <c r="X87" s="556"/>
      <c r="Y87" s="556"/>
      <c r="Z87" s="556"/>
    </row>
  </sheetData>
  <customSheetViews>
    <customSheetView guid="{5F8FD084-40FB-49AA-B447-CD935F604D55}" scale="89">
      <selection activeCell="T38" sqref="T38"/>
      <pageMargins left="0.7" right="0.7" top="0.75" bottom="0.75" header="0.3" footer="0.3"/>
      <pageSetup orientation="portrait" r:id="rId1"/>
    </customSheetView>
    <customSheetView guid="{5FD7D287-AC38-49FE-8AA5-C4506E353DCC}" scale="89" showPageBreaks="1" topLeftCell="H27">
      <selection activeCell="S40" sqref="S40"/>
      <pageMargins left="0.7" right="0.7" top="0.75" bottom="0.75" header="0.3" footer="0.3"/>
      <pageSetup orientation="portrait" r:id="rId2"/>
    </customSheetView>
  </customSheetViews>
  <mergeCells count="2">
    <mergeCell ref="A2:O2"/>
    <mergeCell ref="T30:X30"/>
  </mergeCells>
  <conditionalFormatting sqref="B6:M16">
    <cfRule type="colorScale" priority="9">
      <colorScale>
        <cfvo type="min"/>
        <cfvo type="max"/>
        <color rgb="FFFCFCFF"/>
        <color rgb="FF63BE7B"/>
      </colorScale>
    </cfRule>
  </conditionalFormatting>
  <conditionalFormatting sqref="P24">
    <cfRule type="cellIs" dxfId="6" priority="4" operator="greaterThan">
      <formula>0</formula>
    </cfRule>
  </conditionalFormatting>
  <conditionalFormatting sqref="B21:M31">
    <cfRule type="colorScale" priority="1">
      <colorScale>
        <cfvo type="min"/>
        <cfvo type="max"/>
        <color rgb="FFFCFCFF"/>
        <color rgb="FF63BE7B"/>
      </colorScale>
    </cfRule>
    <cfRule type="cellIs" dxfId="5" priority="3" operator="greaterThan">
      <formula>0</formula>
    </cfRule>
  </conditionalFormatting>
  <conditionalFormatting sqref="B6:H16">
    <cfRule type="colorScale" priority="2">
      <colorScale>
        <cfvo type="min"/>
        <cfvo type="max"/>
        <color rgb="FFFCFCFF"/>
        <color rgb="FF63BE7B"/>
      </colorScale>
    </cfRule>
  </conditionalFormatting>
  <pageMargins left="0.7" right="0.7" top="0.75" bottom="0.75" header="0.3" footer="0.3"/>
  <pageSetup orientation="portrait" r:id="rId3"/>
  <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96D1FF-9E24-4649-968F-4E442BA5D101}">
  <sheetPr codeName="Sheet12">
    <tabColor theme="1" tint="0.499984740745262"/>
  </sheetPr>
  <dimension ref="A1:P114"/>
  <sheetViews>
    <sheetView topLeftCell="A10" zoomScale="85" zoomScaleNormal="85" workbookViewId="0">
      <selection activeCell="K37" sqref="K37"/>
    </sheetView>
  </sheetViews>
  <sheetFormatPr defaultRowHeight="14.4" x14ac:dyDescent="0.3"/>
  <cols>
    <col min="1" max="1" width="26.109375" customWidth="1"/>
    <col min="2" max="2" width="28.5546875" style="483" customWidth="1"/>
    <col min="3" max="3" width="45.6640625" style="61" customWidth="1"/>
    <col min="4" max="4" width="27.6640625" style="62" customWidth="1"/>
    <col min="5" max="5" width="13.88671875" style="7" bestFit="1" customWidth="1"/>
    <col min="6" max="6" width="13.109375" style="63" customWidth="1"/>
    <col min="7" max="7" width="14" style="63" customWidth="1"/>
    <col min="8" max="8" width="6.6640625" style="63" customWidth="1"/>
    <col min="9" max="9" width="6.6640625" customWidth="1"/>
    <col min="10" max="10" width="14" customWidth="1"/>
    <col min="11" max="11" width="16.44140625" customWidth="1"/>
    <col min="12" max="12" width="11.6640625" customWidth="1"/>
    <col min="15" max="15" width="6.88671875" customWidth="1"/>
  </cols>
  <sheetData>
    <row r="1" spans="1:16" ht="19.2" customHeight="1" thickBot="1" x14ac:dyDescent="0.35">
      <c r="A1" s="66"/>
      <c r="B1" s="963" t="s">
        <v>416</v>
      </c>
      <c r="C1" s="964"/>
      <c r="D1" s="965"/>
      <c r="E1" s="965"/>
      <c r="F1" s="965"/>
      <c r="G1" s="965"/>
      <c r="H1" s="965"/>
      <c r="I1" s="66"/>
      <c r="J1" s="66"/>
      <c r="K1" s="66"/>
      <c r="L1" s="66"/>
      <c r="M1" s="66"/>
      <c r="N1" s="66"/>
      <c r="O1" s="66"/>
      <c r="P1" s="66"/>
    </row>
    <row r="2" spans="1:16" ht="24" thickBot="1" x14ac:dyDescent="0.35">
      <c r="A2" s="1243" t="s">
        <v>1007</v>
      </c>
      <c r="B2" s="1244"/>
      <c r="C2" s="1244"/>
      <c r="D2" s="1244"/>
      <c r="E2" s="1244"/>
      <c r="F2" s="1244"/>
      <c r="G2" s="1245"/>
      <c r="H2" s="140"/>
      <c r="I2" s="66"/>
      <c r="J2" s="66"/>
      <c r="K2" s="66"/>
      <c r="L2" s="66"/>
      <c r="M2" s="66"/>
      <c r="N2" s="66"/>
      <c r="P2" s="66"/>
    </row>
    <row r="3" spans="1:16" ht="27" thickBot="1" x14ac:dyDescent="0.35">
      <c r="A3" s="966" t="s">
        <v>3545</v>
      </c>
      <c r="B3" s="84" t="s">
        <v>1974</v>
      </c>
      <c r="C3" s="83" t="s">
        <v>295</v>
      </c>
      <c r="D3" s="95" t="s">
        <v>1003</v>
      </c>
      <c r="E3" s="83" t="s">
        <v>296</v>
      </c>
      <c r="F3" s="482" t="s">
        <v>1004</v>
      </c>
      <c r="G3" s="967" t="s">
        <v>3719</v>
      </c>
      <c r="H3" s="150"/>
      <c r="I3" s="85"/>
      <c r="J3" s="86" t="str">
        <f>MID($V14,6,2)</f>
        <v/>
      </c>
      <c r="K3" s="86"/>
      <c r="L3" s="86"/>
      <c r="M3" s="86"/>
      <c r="N3" s="86"/>
      <c r="O3" s="959"/>
      <c r="P3" s="66"/>
    </row>
    <row r="4" spans="1:16" x14ac:dyDescent="0.3">
      <c r="A4" s="968" t="s">
        <v>2093</v>
      </c>
      <c r="B4" s="484" t="s">
        <v>16</v>
      </c>
      <c r="C4" s="484" t="s">
        <v>1999</v>
      </c>
      <c r="D4" s="63" t="s">
        <v>3645</v>
      </c>
      <c r="E4" s="63" t="s">
        <v>328</v>
      </c>
      <c r="F4" s="63" t="s">
        <v>332</v>
      </c>
      <c r="G4" s="831">
        <v>3</v>
      </c>
      <c r="H4" s="65"/>
      <c r="I4" s="87"/>
      <c r="J4" s="88"/>
      <c r="K4" s="88"/>
      <c r="L4" s="89"/>
      <c r="M4" s="88"/>
      <c r="N4" s="88"/>
      <c r="O4" s="960"/>
      <c r="P4" s="66"/>
    </row>
    <row r="5" spans="1:16" x14ac:dyDescent="0.3">
      <c r="A5" s="968" t="s">
        <v>744</v>
      </c>
      <c r="B5" s="484" t="s">
        <v>16</v>
      </c>
      <c r="C5" s="484" t="s">
        <v>578</v>
      </c>
      <c r="D5" s="63" t="s">
        <v>3637</v>
      </c>
      <c r="E5" s="63" t="s">
        <v>328</v>
      </c>
      <c r="F5" s="63" t="s">
        <v>332</v>
      </c>
      <c r="G5" s="833">
        <v>3</v>
      </c>
      <c r="H5" s="65"/>
      <c r="I5" s="87"/>
      <c r="J5" s="88"/>
      <c r="K5" s="88"/>
      <c r="L5" s="89"/>
      <c r="M5" s="88"/>
      <c r="N5" s="88"/>
      <c r="O5" s="960"/>
      <c r="P5" s="66"/>
    </row>
    <row r="6" spans="1:16" x14ac:dyDescent="0.3">
      <c r="A6" s="968" t="s">
        <v>4086</v>
      </c>
      <c r="B6" s="484" t="s">
        <v>16</v>
      </c>
      <c r="C6" s="484" t="s">
        <v>4221</v>
      </c>
      <c r="D6" s="63" t="s">
        <v>3642</v>
      </c>
      <c r="E6" s="63" t="s">
        <v>328</v>
      </c>
      <c r="F6" s="63" t="s">
        <v>332</v>
      </c>
      <c r="G6" s="833">
        <v>1</v>
      </c>
      <c r="H6" s="65"/>
      <c r="I6" s="87"/>
      <c r="J6" s="88"/>
      <c r="K6" s="88"/>
      <c r="L6" s="89"/>
      <c r="M6" s="88"/>
      <c r="N6" s="88"/>
      <c r="O6" s="960"/>
      <c r="P6" s="66"/>
    </row>
    <row r="7" spans="1:16" x14ac:dyDescent="0.3">
      <c r="A7" s="968" t="s">
        <v>512</v>
      </c>
      <c r="B7" s="484" t="s">
        <v>16</v>
      </c>
      <c r="C7" s="484" t="s">
        <v>514</v>
      </c>
      <c r="D7" s="63" t="s">
        <v>3704</v>
      </c>
      <c r="E7" s="63" t="s">
        <v>328</v>
      </c>
      <c r="F7" s="63" t="s">
        <v>336</v>
      </c>
      <c r="G7" s="833">
        <v>2</v>
      </c>
      <c r="H7" s="65"/>
      <c r="I7" s="87"/>
      <c r="J7" s="88"/>
      <c r="K7" s="88"/>
      <c r="L7" s="89"/>
      <c r="M7" s="88"/>
      <c r="N7" s="88"/>
      <c r="O7" s="960"/>
      <c r="P7" s="66"/>
    </row>
    <row r="8" spans="1:16" x14ac:dyDescent="0.3">
      <c r="A8" s="968" t="s">
        <v>322</v>
      </c>
      <c r="B8" s="484" t="s">
        <v>16</v>
      </c>
      <c r="C8" s="484" t="s">
        <v>2311</v>
      </c>
      <c r="D8" s="63" t="s">
        <v>3643</v>
      </c>
      <c r="E8" s="63" t="s">
        <v>328</v>
      </c>
      <c r="F8" s="63" t="s">
        <v>332</v>
      </c>
      <c r="G8" s="833">
        <v>8</v>
      </c>
      <c r="I8" s="87"/>
      <c r="J8" s="88"/>
      <c r="K8" s="88"/>
      <c r="L8" s="89"/>
      <c r="M8" s="88"/>
      <c r="N8" s="88"/>
      <c r="O8" s="960"/>
      <c r="P8" s="66"/>
    </row>
    <row r="9" spans="1:16" x14ac:dyDescent="0.3">
      <c r="A9" s="968" t="s">
        <v>351</v>
      </c>
      <c r="B9" s="484" t="s">
        <v>16</v>
      </c>
      <c r="C9" s="484" t="s">
        <v>576</v>
      </c>
      <c r="D9" s="63" t="s">
        <v>3650</v>
      </c>
      <c r="E9" s="63" t="s">
        <v>328</v>
      </c>
      <c r="F9" s="63" t="s">
        <v>336</v>
      </c>
      <c r="G9" s="833">
        <v>2</v>
      </c>
      <c r="H9" s="65"/>
      <c r="I9" s="961"/>
      <c r="J9" s="88"/>
      <c r="K9" s="88"/>
      <c r="L9" s="88"/>
      <c r="M9" s="88"/>
      <c r="N9" s="88"/>
      <c r="O9" s="960"/>
      <c r="P9" s="66"/>
    </row>
    <row r="10" spans="1:16" ht="43.8" thickBot="1" x14ac:dyDescent="0.35">
      <c r="A10" s="968" t="s">
        <v>642</v>
      </c>
      <c r="B10" s="484" t="s">
        <v>16</v>
      </c>
      <c r="C10" s="484" t="s">
        <v>1486</v>
      </c>
      <c r="D10" s="63" t="s">
        <v>3646</v>
      </c>
      <c r="E10" s="63" t="s">
        <v>328</v>
      </c>
      <c r="F10" s="63" t="s">
        <v>329</v>
      </c>
      <c r="G10" s="833">
        <v>2</v>
      </c>
      <c r="H10" s="65"/>
      <c r="I10" s="87"/>
      <c r="J10" s="88"/>
      <c r="K10" s="88"/>
      <c r="L10" s="88"/>
      <c r="M10" s="88"/>
      <c r="N10" s="88"/>
      <c r="O10" s="960"/>
      <c r="P10" s="66"/>
    </row>
    <row r="11" spans="1:16" ht="18" x14ac:dyDescent="0.3">
      <c r="A11" s="968" t="s">
        <v>3949</v>
      </c>
      <c r="B11" s="484" t="s">
        <v>16</v>
      </c>
      <c r="C11" s="484" t="s">
        <v>460</v>
      </c>
      <c r="D11" s="63" t="s">
        <v>3626</v>
      </c>
      <c r="E11" s="63" t="s">
        <v>328</v>
      </c>
      <c r="F11" s="63" t="s">
        <v>336</v>
      </c>
      <c r="G11" s="833">
        <v>1</v>
      </c>
      <c r="H11" s="65"/>
      <c r="I11" s="87"/>
      <c r="J11" s="576" t="s">
        <v>0</v>
      </c>
      <c r="K11" s="710">
        <v>45046</v>
      </c>
      <c r="L11" s="577"/>
      <c r="M11" s="577"/>
      <c r="N11" s="578"/>
      <c r="O11" s="960"/>
      <c r="P11" s="66"/>
    </row>
    <row r="12" spans="1:16" ht="29.4" thickBot="1" x14ac:dyDescent="0.35">
      <c r="A12" s="968" t="s">
        <v>865</v>
      </c>
      <c r="B12" s="484" t="s">
        <v>3718</v>
      </c>
      <c r="C12" s="484" t="s">
        <v>460</v>
      </c>
      <c r="D12" s="63" t="s">
        <v>3626</v>
      </c>
      <c r="E12" s="63" t="s">
        <v>328</v>
      </c>
      <c r="F12" s="63" t="s">
        <v>336</v>
      </c>
      <c r="G12" s="833">
        <v>5</v>
      </c>
      <c r="H12" s="65"/>
      <c r="I12" s="87"/>
      <c r="J12" s="579" t="s">
        <v>2</v>
      </c>
      <c r="K12" s="711">
        <v>45657</v>
      </c>
      <c r="L12" s="580"/>
      <c r="M12" s="580"/>
      <c r="N12" s="581"/>
      <c r="O12" s="960"/>
      <c r="P12" s="66"/>
    </row>
    <row r="13" spans="1:16" x14ac:dyDescent="0.3">
      <c r="A13" s="968" t="s">
        <v>1771</v>
      </c>
      <c r="B13" s="484" t="s">
        <v>16</v>
      </c>
      <c r="C13" s="484" t="s">
        <v>1773</v>
      </c>
      <c r="D13" s="63" t="s">
        <v>3631</v>
      </c>
      <c r="E13" s="63" t="s">
        <v>328</v>
      </c>
      <c r="F13" s="63" t="s">
        <v>336</v>
      </c>
      <c r="G13" s="833">
        <v>6</v>
      </c>
      <c r="H13" s="65"/>
      <c r="I13" s="87"/>
      <c r="J13" s="980"/>
      <c r="K13" s="981"/>
      <c r="L13" s="981"/>
      <c r="M13" s="981"/>
      <c r="N13" s="982"/>
      <c r="O13" s="960"/>
      <c r="P13" s="66"/>
    </row>
    <row r="14" spans="1:16" ht="18" x14ac:dyDescent="0.3">
      <c r="A14" s="968" t="s">
        <v>671</v>
      </c>
      <c r="B14" s="484" t="s">
        <v>876</v>
      </c>
      <c r="C14" s="484" t="s">
        <v>1992</v>
      </c>
      <c r="D14" s="63" t="s">
        <v>3627</v>
      </c>
      <c r="E14" s="63" t="s">
        <v>328</v>
      </c>
      <c r="F14" s="63" t="s">
        <v>332</v>
      </c>
      <c r="G14" s="833">
        <v>3</v>
      </c>
      <c r="H14" s="65"/>
      <c r="I14" s="87"/>
      <c r="J14" s="1246" t="s">
        <v>1</v>
      </c>
      <c r="K14" s="1247"/>
      <c r="L14" s="1247"/>
      <c r="M14" s="1247"/>
      <c r="N14" s="1248"/>
      <c r="O14" s="960"/>
      <c r="P14" s="66"/>
    </row>
    <row r="15" spans="1:16" ht="28.8" x14ac:dyDescent="0.3">
      <c r="A15" s="968" t="s">
        <v>2318</v>
      </c>
      <c r="B15" s="484" t="s">
        <v>4272</v>
      </c>
      <c r="C15" s="484" t="s">
        <v>1471</v>
      </c>
      <c r="D15" s="63" t="s">
        <v>3633</v>
      </c>
      <c r="E15" s="63" t="s">
        <v>328</v>
      </c>
      <c r="F15" s="63" t="s">
        <v>329</v>
      </c>
      <c r="G15" s="833">
        <v>4</v>
      </c>
      <c r="H15" s="65"/>
      <c r="I15" s="87"/>
      <c r="J15" s="1249"/>
      <c r="K15" s="1250"/>
      <c r="L15" s="1250"/>
      <c r="M15" s="1250"/>
      <c r="N15" s="1251"/>
      <c r="O15" s="960"/>
      <c r="P15" s="66"/>
    </row>
    <row r="16" spans="1:16" ht="28.8" x14ac:dyDescent="0.3">
      <c r="A16" s="968" t="s">
        <v>414</v>
      </c>
      <c r="B16" s="484" t="s">
        <v>16</v>
      </c>
      <c r="C16" s="484" t="s">
        <v>606</v>
      </c>
      <c r="D16" s="63" t="s">
        <v>3629</v>
      </c>
      <c r="E16" s="63" t="s">
        <v>328</v>
      </c>
      <c r="F16" s="63" t="s">
        <v>329</v>
      </c>
      <c r="G16" s="833">
        <v>5</v>
      </c>
      <c r="H16" s="65"/>
      <c r="I16" s="87"/>
      <c r="J16" s="1196" t="s">
        <v>3618</v>
      </c>
      <c r="K16" s="1197"/>
      <c r="L16" s="1197"/>
      <c r="M16" s="1197"/>
      <c r="N16" s="1198"/>
      <c r="O16" s="960"/>
      <c r="P16" s="66"/>
    </row>
    <row r="17" spans="1:16" x14ac:dyDescent="0.3">
      <c r="A17" s="968" t="s">
        <v>3935</v>
      </c>
      <c r="B17" s="484" t="s">
        <v>3868</v>
      </c>
      <c r="C17" s="484" t="s">
        <v>451</v>
      </c>
      <c r="D17" s="63" t="s">
        <v>3630</v>
      </c>
      <c r="E17" s="63" t="s">
        <v>328</v>
      </c>
      <c r="F17" s="63" t="s">
        <v>336</v>
      </c>
      <c r="G17" s="833">
        <v>1</v>
      </c>
      <c r="H17" s="65"/>
      <c r="I17" s="87"/>
      <c r="J17" s="1252" t="s">
        <v>3619</v>
      </c>
      <c r="K17" s="1253"/>
      <c r="L17" s="1253"/>
      <c r="M17" s="1253"/>
      <c r="N17" s="1254"/>
      <c r="O17" s="960"/>
      <c r="P17" s="66"/>
    </row>
    <row r="18" spans="1:16" x14ac:dyDescent="0.3">
      <c r="A18" s="968" t="s">
        <v>3926</v>
      </c>
      <c r="B18" s="484" t="s">
        <v>3854</v>
      </c>
      <c r="C18" s="484" t="s">
        <v>488</v>
      </c>
      <c r="D18" s="63" t="s">
        <v>4264</v>
      </c>
      <c r="E18" s="63" t="s">
        <v>328</v>
      </c>
      <c r="F18" s="63" t="s">
        <v>336</v>
      </c>
      <c r="G18" s="833">
        <v>1</v>
      </c>
      <c r="H18" s="65"/>
      <c r="I18" s="87"/>
      <c r="J18" s="1196" t="s">
        <v>3620</v>
      </c>
      <c r="K18" s="1197"/>
      <c r="L18" s="1197"/>
      <c r="M18" s="1197"/>
      <c r="N18" s="1198"/>
      <c r="O18" s="960"/>
      <c r="P18" s="66"/>
    </row>
    <row r="19" spans="1:16" x14ac:dyDescent="0.3">
      <c r="A19" s="968" t="s">
        <v>2327</v>
      </c>
      <c r="B19" s="484" t="s">
        <v>4273</v>
      </c>
      <c r="C19" s="484" t="s">
        <v>451</v>
      </c>
      <c r="D19" s="63" t="s">
        <v>3630</v>
      </c>
      <c r="E19" s="63" t="s">
        <v>328</v>
      </c>
      <c r="F19" s="63" t="s">
        <v>336</v>
      </c>
      <c r="G19" s="833">
        <v>2</v>
      </c>
      <c r="H19" s="65"/>
      <c r="I19" s="87"/>
      <c r="J19" s="1255" t="s">
        <v>3622</v>
      </c>
      <c r="K19" s="1256"/>
      <c r="L19" s="1256"/>
      <c r="M19" s="1256"/>
      <c r="N19" s="1257"/>
      <c r="O19" s="960"/>
      <c r="P19" s="66"/>
    </row>
    <row r="20" spans="1:16" x14ac:dyDescent="0.3">
      <c r="A20" s="968" t="s">
        <v>3913</v>
      </c>
      <c r="B20" s="484" t="s">
        <v>16</v>
      </c>
      <c r="C20" s="484" t="s">
        <v>3916</v>
      </c>
      <c r="D20" s="63" t="s">
        <v>4265</v>
      </c>
      <c r="E20" s="63" t="s">
        <v>328</v>
      </c>
      <c r="F20" s="63" t="s">
        <v>329</v>
      </c>
      <c r="G20" s="833">
        <v>1</v>
      </c>
      <c r="H20" s="65"/>
      <c r="I20" s="87"/>
      <c r="J20" s="1185" t="s">
        <v>3693</v>
      </c>
      <c r="K20" s="1186"/>
      <c r="L20" s="1186"/>
      <c r="M20" s="1186"/>
      <c r="N20" s="1187"/>
      <c r="O20" s="960"/>
      <c r="P20" s="66"/>
    </row>
    <row r="21" spans="1:16" ht="28.8" x14ac:dyDescent="0.3">
      <c r="A21" s="968" t="s">
        <v>2077</v>
      </c>
      <c r="B21" s="484" t="s">
        <v>4269</v>
      </c>
      <c r="C21" s="484" t="s">
        <v>964</v>
      </c>
      <c r="D21" s="63" t="s">
        <v>4070</v>
      </c>
      <c r="E21" s="63" t="s">
        <v>328</v>
      </c>
      <c r="F21" s="63" t="s">
        <v>336</v>
      </c>
      <c r="G21" s="833">
        <v>3</v>
      </c>
      <c r="H21" s="65"/>
      <c r="I21" s="87"/>
      <c r="J21" s="1185"/>
      <c r="K21" s="1186"/>
      <c r="L21" s="1186"/>
      <c r="M21" s="1186"/>
      <c r="N21" s="1187"/>
      <c r="O21" s="960"/>
      <c r="P21" s="66"/>
    </row>
    <row r="22" spans="1:16" x14ac:dyDescent="0.3">
      <c r="A22" s="968" t="s">
        <v>439</v>
      </c>
      <c r="B22" s="484" t="s">
        <v>2313</v>
      </c>
      <c r="C22" s="484" t="s">
        <v>1816</v>
      </c>
      <c r="D22" s="63" t="s">
        <v>3632</v>
      </c>
      <c r="E22" s="63" t="s">
        <v>328</v>
      </c>
      <c r="F22" s="63" t="s">
        <v>332</v>
      </c>
      <c r="G22" s="833">
        <v>12</v>
      </c>
      <c r="H22" s="65"/>
      <c r="I22" s="87"/>
      <c r="J22" s="1255"/>
      <c r="K22" s="1256"/>
      <c r="L22" s="1256"/>
      <c r="M22" s="1256"/>
      <c r="N22" s="1257"/>
      <c r="O22" s="960"/>
      <c r="P22" s="66"/>
    </row>
    <row r="23" spans="1:16" x14ac:dyDescent="0.3">
      <c r="A23" s="968" t="s">
        <v>411</v>
      </c>
      <c r="B23" s="484" t="s">
        <v>16</v>
      </c>
      <c r="C23" s="484" t="s">
        <v>502</v>
      </c>
      <c r="D23" s="63" t="s">
        <v>3699</v>
      </c>
      <c r="E23" s="63" t="s">
        <v>328</v>
      </c>
      <c r="F23" s="63" t="s">
        <v>336</v>
      </c>
      <c r="G23" s="833">
        <v>2</v>
      </c>
      <c r="H23" s="65"/>
      <c r="I23" s="87"/>
      <c r="J23" s="1255"/>
      <c r="K23" s="1256"/>
      <c r="L23" s="1256"/>
      <c r="M23" s="1256"/>
      <c r="N23" s="1257"/>
      <c r="O23" s="960"/>
      <c r="P23" s="66"/>
    </row>
    <row r="24" spans="1:16" x14ac:dyDescent="0.3">
      <c r="A24" s="968" t="s">
        <v>1526</v>
      </c>
      <c r="B24" s="484" t="s">
        <v>4268</v>
      </c>
      <c r="C24" s="484" t="s">
        <v>571</v>
      </c>
      <c r="D24" s="63" t="s">
        <v>3642</v>
      </c>
      <c r="E24" s="63" t="s">
        <v>328</v>
      </c>
      <c r="F24" s="63" t="s">
        <v>336</v>
      </c>
      <c r="G24" s="833">
        <v>6</v>
      </c>
      <c r="H24" s="65"/>
      <c r="I24" s="87"/>
      <c r="J24" s="1255"/>
      <c r="K24" s="1256"/>
      <c r="L24" s="1256"/>
      <c r="M24" s="1256"/>
      <c r="N24" s="1257"/>
      <c r="O24" s="960"/>
      <c r="P24" s="66"/>
    </row>
    <row r="25" spans="1:16" ht="28.8" x14ac:dyDescent="0.3">
      <c r="A25" s="968" t="s">
        <v>2254</v>
      </c>
      <c r="B25" s="484" t="s">
        <v>16</v>
      </c>
      <c r="C25" s="484" t="s">
        <v>606</v>
      </c>
      <c r="D25" s="63" t="s">
        <v>3629</v>
      </c>
      <c r="E25" s="63" t="s">
        <v>328</v>
      </c>
      <c r="F25" s="63" t="s">
        <v>329</v>
      </c>
      <c r="G25" s="833">
        <v>2</v>
      </c>
      <c r="H25" s="65"/>
      <c r="I25" s="87"/>
      <c r="J25" s="1255"/>
      <c r="K25" s="1256"/>
      <c r="L25" s="1256"/>
      <c r="M25" s="1256"/>
      <c r="N25" s="1257"/>
      <c r="O25" s="960"/>
      <c r="P25" s="66"/>
    </row>
    <row r="26" spans="1:16" ht="15" thickBot="1" x14ac:dyDescent="0.35">
      <c r="A26" s="968" t="s">
        <v>3907</v>
      </c>
      <c r="B26" s="484" t="s">
        <v>3817</v>
      </c>
      <c r="C26" s="484" t="s">
        <v>460</v>
      </c>
      <c r="D26" s="63" t="s">
        <v>3626</v>
      </c>
      <c r="E26" s="63" t="s">
        <v>328</v>
      </c>
      <c r="F26" s="63" t="s">
        <v>336</v>
      </c>
      <c r="G26" s="833">
        <v>1</v>
      </c>
      <c r="H26" s="65"/>
      <c r="I26" s="87"/>
      <c r="J26" s="1258"/>
      <c r="K26" s="1259"/>
      <c r="L26" s="1259"/>
      <c r="M26" s="1259"/>
      <c r="N26" s="1260"/>
      <c r="O26" s="960"/>
      <c r="P26" s="66"/>
    </row>
    <row r="27" spans="1:16" ht="15" thickBot="1" x14ac:dyDescent="0.35">
      <c r="A27" s="968" t="s">
        <v>602</v>
      </c>
      <c r="B27" s="484" t="s">
        <v>16</v>
      </c>
      <c r="C27" s="484" t="s">
        <v>2004</v>
      </c>
      <c r="D27" s="63" t="s">
        <v>3629</v>
      </c>
      <c r="E27" s="63" t="s">
        <v>328</v>
      </c>
      <c r="F27" s="63" t="s">
        <v>332</v>
      </c>
      <c r="G27" s="833">
        <v>3</v>
      </c>
      <c r="H27" s="65"/>
      <c r="I27" s="90"/>
      <c r="J27" s="91"/>
      <c r="K27" s="91"/>
      <c r="L27" s="91"/>
      <c r="M27" s="91"/>
      <c r="N27" s="91"/>
      <c r="O27" s="962"/>
      <c r="P27" s="66"/>
    </row>
    <row r="28" spans="1:16" x14ac:dyDescent="0.3">
      <c r="A28" s="968" t="s">
        <v>3894</v>
      </c>
      <c r="B28" s="484" t="s">
        <v>3800</v>
      </c>
      <c r="C28" s="484" t="s">
        <v>3897</v>
      </c>
      <c r="D28" s="63" t="s">
        <v>4266</v>
      </c>
      <c r="E28" s="63" t="s">
        <v>341</v>
      </c>
      <c r="F28" s="63" t="s">
        <v>347</v>
      </c>
      <c r="G28" s="833">
        <v>1</v>
      </c>
      <c r="H28" s="65"/>
      <c r="I28" s="66"/>
      <c r="J28" s="66"/>
      <c r="K28" s="66"/>
      <c r="L28" s="66"/>
      <c r="M28" s="66"/>
      <c r="N28" s="66"/>
      <c r="O28" s="66"/>
      <c r="P28" s="66"/>
    </row>
    <row r="29" spans="1:16" ht="15" thickBot="1" x14ac:dyDescent="0.35">
      <c r="A29" s="968" t="s">
        <v>1812</v>
      </c>
      <c r="B29" s="484" t="s">
        <v>3793</v>
      </c>
      <c r="C29" s="484" t="s">
        <v>1804</v>
      </c>
      <c r="D29" s="63" t="s">
        <v>3635</v>
      </c>
      <c r="E29" s="63" t="s">
        <v>328</v>
      </c>
      <c r="F29" s="63" t="s">
        <v>332</v>
      </c>
      <c r="G29" s="833">
        <v>2</v>
      </c>
      <c r="H29" s="65"/>
      <c r="I29" s="66"/>
      <c r="J29" s="66"/>
      <c r="K29" s="66"/>
      <c r="L29" s="66"/>
      <c r="M29" s="66"/>
      <c r="N29" s="66"/>
      <c r="O29" s="66"/>
      <c r="P29" s="66"/>
    </row>
    <row r="30" spans="1:16" ht="16.2" thickBot="1" x14ac:dyDescent="0.35">
      <c r="A30" s="968" t="s">
        <v>810</v>
      </c>
      <c r="B30" s="484" t="s">
        <v>2058</v>
      </c>
      <c r="C30" s="484" t="s">
        <v>460</v>
      </c>
      <c r="D30" s="63" t="s">
        <v>3626</v>
      </c>
      <c r="E30" s="63" t="s">
        <v>328</v>
      </c>
      <c r="F30" s="63" t="s">
        <v>336</v>
      </c>
      <c r="G30" s="833">
        <v>5</v>
      </c>
      <c r="H30" s="65"/>
      <c r="I30" s="1240" t="s">
        <v>287</v>
      </c>
      <c r="J30" s="1241"/>
      <c r="K30" s="1241"/>
      <c r="L30" s="1241"/>
      <c r="M30" s="1241"/>
      <c r="N30" s="1242"/>
      <c r="O30" s="66"/>
      <c r="P30" s="66"/>
    </row>
    <row r="31" spans="1:16" x14ac:dyDescent="0.3">
      <c r="A31" s="968" t="s">
        <v>2156</v>
      </c>
      <c r="B31" s="484" t="s">
        <v>16</v>
      </c>
      <c r="C31" s="484" t="s">
        <v>1355</v>
      </c>
      <c r="D31" s="63" t="s">
        <v>3713</v>
      </c>
      <c r="E31" s="63" t="s">
        <v>328</v>
      </c>
      <c r="F31" s="63" t="s">
        <v>332</v>
      </c>
      <c r="G31" s="833">
        <v>3</v>
      </c>
      <c r="H31" s="65"/>
      <c r="I31" s="972" t="s">
        <v>4232</v>
      </c>
      <c r="J31" s="973"/>
      <c r="K31" s="973"/>
      <c r="L31" s="973"/>
      <c r="M31" s="974"/>
      <c r="N31" s="978">
        <v>109</v>
      </c>
      <c r="O31" s="66"/>
      <c r="P31" s="66"/>
    </row>
    <row r="32" spans="1:16" x14ac:dyDescent="0.3">
      <c r="A32" s="968" t="s">
        <v>1898</v>
      </c>
      <c r="B32" s="484" t="s">
        <v>16</v>
      </c>
      <c r="C32" s="484" t="s">
        <v>474</v>
      </c>
      <c r="D32" s="63" t="s">
        <v>3654</v>
      </c>
      <c r="E32" s="63" t="s">
        <v>328</v>
      </c>
      <c r="F32" s="63" t="s">
        <v>332</v>
      </c>
      <c r="G32" s="833">
        <v>7</v>
      </c>
      <c r="H32" s="65"/>
      <c r="I32" s="972" t="s">
        <v>4233</v>
      </c>
      <c r="J32" s="973"/>
      <c r="K32" s="973"/>
      <c r="L32" s="973"/>
      <c r="M32" s="974"/>
      <c r="N32" s="978">
        <v>74</v>
      </c>
      <c r="O32" s="66"/>
      <c r="P32" s="66"/>
    </row>
    <row r="33" spans="1:16" x14ac:dyDescent="0.3">
      <c r="A33" s="968" t="s">
        <v>506</v>
      </c>
      <c r="B33" s="484" t="s">
        <v>2044</v>
      </c>
      <c r="C33" s="484" t="s">
        <v>451</v>
      </c>
      <c r="D33" s="63" t="s">
        <v>3630</v>
      </c>
      <c r="E33" s="63" t="s">
        <v>328</v>
      </c>
      <c r="F33" s="63" t="s">
        <v>336</v>
      </c>
      <c r="G33" s="833">
        <v>3</v>
      </c>
      <c r="H33" s="65"/>
      <c r="I33" s="972" t="s">
        <v>4234</v>
      </c>
      <c r="J33" s="973"/>
      <c r="K33" s="973"/>
      <c r="L33" s="973"/>
      <c r="M33" s="974"/>
      <c r="N33" s="978">
        <v>183</v>
      </c>
      <c r="O33" s="66"/>
      <c r="P33" s="66"/>
    </row>
    <row r="34" spans="1:16" ht="15" thickBot="1" x14ac:dyDescent="0.35">
      <c r="A34" s="968" t="s">
        <v>3564</v>
      </c>
      <c r="B34" s="484" t="s">
        <v>1796</v>
      </c>
      <c r="C34" s="484" t="s">
        <v>1792</v>
      </c>
      <c r="D34" s="63" t="s">
        <v>3627</v>
      </c>
      <c r="E34" s="63" t="s">
        <v>328</v>
      </c>
      <c r="F34" s="63" t="s">
        <v>332</v>
      </c>
      <c r="G34" s="833">
        <v>1</v>
      </c>
      <c r="H34" s="65"/>
      <c r="I34" s="975" t="s">
        <v>4235</v>
      </c>
      <c r="J34" s="976"/>
      <c r="K34" s="976"/>
      <c r="L34" s="976"/>
      <c r="M34" s="977"/>
      <c r="N34" s="979">
        <v>226</v>
      </c>
      <c r="O34" s="66"/>
      <c r="P34" s="66"/>
    </row>
    <row r="35" spans="1:16" ht="28.8" x14ac:dyDescent="0.3">
      <c r="A35" s="968" t="s">
        <v>392</v>
      </c>
      <c r="B35" s="484" t="s">
        <v>4270</v>
      </c>
      <c r="C35" s="484" t="s">
        <v>451</v>
      </c>
      <c r="D35" s="63" t="s">
        <v>3630</v>
      </c>
      <c r="E35" s="63" t="s">
        <v>328</v>
      </c>
      <c r="F35" s="63" t="s">
        <v>336</v>
      </c>
      <c r="G35" s="833">
        <v>8</v>
      </c>
      <c r="H35" s="65"/>
      <c r="I35" s="66"/>
      <c r="J35" s="66"/>
      <c r="K35" s="66"/>
      <c r="L35" s="66"/>
      <c r="M35" s="66"/>
      <c r="N35" s="66"/>
      <c r="O35" s="66"/>
      <c r="P35" s="66"/>
    </row>
    <row r="36" spans="1:16" ht="43.2" x14ac:dyDescent="0.3">
      <c r="A36" s="968" t="s">
        <v>2329</v>
      </c>
      <c r="B36" s="484" t="s">
        <v>3521</v>
      </c>
      <c r="C36" s="484" t="s">
        <v>444</v>
      </c>
      <c r="D36" s="63" t="s">
        <v>3634</v>
      </c>
      <c r="E36" s="63" t="s">
        <v>328</v>
      </c>
      <c r="F36" s="63" t="s">
        <v>336</v>
      </c>
      <c r="G36" s="833">
        <v>2</v>
      </c>
      <c r="H36" s="65"/>
      <c r="I36" s="784"/>
      <c r="J36" s="66"/>
      <c r="K36" s="66"/>
      <c r="L36" s="66"/>
      <c r="M36" s="66"/>
      <c r="N36" s="66"/>
      <c r="O36" s="66"/>
      <c r="P36" s="66"/>
    </row>
    <row r="37" spans="1:16" x14ac:dyDescent="0.3">
      <c r="A37" s="968" t="s">
        <v>2330</v>
      </c>
      <c r="B37" s="484" t="s">
        <v>16</v>
      </c>
      <c r="C37" s="484" t="s">
        <v>966</v>
      </c>
      <c r="D37" s="63" t="s">
        <v>3635</v>
      </c>
      <c r="E37" s="63" t="s">
        <v>328</v>
      </c>
      <c r="F37" s="63" t="s">
        <v>336</v>
      </c>
      <c r="G37" s="833">
        <v>1</v>
      </c>
      <c r="H37" s="65"/>
      <c r="I37" s="66"/>
      <c r="J37" s="66"/>
      <c r="K37" s="66"/>
      <c r="L37" s="66"/>
      <c r="M37" s="66"/>
      <c r="N37" s="66"/>
      <c r="O37" s="66"/>
      <c r="P37" s="66"/>
    </row>
    <row r="38" spans="1:16" x14ac:dyDescent="0.3">
      <c r="A38" s="968" t="s">
        <v>2308</v>
      </c>
      <c r="B38" s="484" t="s">
        <v>16</v>
      </c>
      <c r="C38" s="484" t="s">
        <v>3955</v>
      </c>
      <c r="D38" s="63" t="s">
        <v>3636</v>
      </c>
      <c r="E38" s="63" t="s">
        <v>341</v>
      </c>
      <c r="F38" s="63" t="s">
        <v>347</v>
      </c>
      <c r="G38" s="833">
        <v>4</v>
      </c>
      <c r="H38" s="65"/>
      <c r="I38" s="66"/>
      <c r="J38" s="66"/>
      <c r="K38" s="66"/>
      <c r="L38" s="66"/>
      <c r="M38" s="66"/>
      <c r="N38" s="66"/>
      <c r="O38" s="66"/>
      <c r="P38" s="66"/>
    </row>
    <row r="39" spans="1:16" x14ac:dyDescent="0.3">
      <c r="A39" s="968" t="s">
        <v>2328</v>
      </c>
      <c r="B39" s="484" t="s">
        <v>2626</v>
      </c>
      <c r="C39" s="484" t="s">
        <v>1412</v>
      </c>
      <c r="D39" s="63" t="s">
        <v>3638</v>
      </c>
      <c r="E39" s="63" t="s">
        <v>328</v>
      </c>
      <c r="F39" s="63" t="s">
        <v>332</v>
      </c>
      <c r="G39" s="833">
        <v>1</v>
      </c>
      <c r="H39" s="65"/>
      <c r="I39" s="66"/>
      <c r="J39" s="66"/>
      <c r="K39" s="66"/>
      <c r="L39" s="66"/>
      <c r="M39" s="66"/>
      <c r="N39" s="66"/>
      <c r="O39" s="66"/>
      <c r="P39" s="66"/>
    </row>
    <row r="40" spans="1:16" x14ac:dyDescent="0.3">
      <c r="A40" s="968" t="s">
        <v>1522</v>
      </c>
      <c r="B40" s="484" t="s">
        <v>16</v>
      </c>
      <c r="C40" s="484" t="s">
        <v>536</v>
      </c>
      <c r="D40" s="63" t="s">
        <v>3639</v>
      </c>
      <c r="E40" s="63" t="s">
        <v>328</v>
      </c>
      <c r="F40" s="63" t="s">
        <v>336</v>
      </c>
      <c r="G40" s="833">
        <v>3</v>
      </c>
      <c r="H40" s="65"/>
      <c r="I40" s="66"/>
      <c r="J40" s="66"/>
      <c r="K40" s="66"/>
      <c r="L40" s="66"/>
      <c r="M40" s="66"/>
      <c r="N40" s="66"/>
      <c r="O40" s="66"/>
      <c r="P40" s="66"/>
    </row>
    <row r="41" spans="1:16" ht="28.8" x14ac:dyDescent="0.3">
      <c r="A41" s="968" t="s">
        <v>1591</v>
      </c>
      <c r="B41" s="484" t="s">
        <v>4271</v>
      </c>
      <c r="C41" s="484" t="s">
        <v>1583</v>
      </c>
      <c r="D41" s="63" t="s">
        <v>3640</v>
      </c>
      <c r="E41" s="63" t="s">
        <v>328</v>
      </c>
      <c r="F41" s="63" t="s">
        <v>336</v>
      </c>
      <c r="G41" s="833">
        <v>2</v>
      </c>
      <c r="H41" s="65"/>
      <c r="I41" s="66"/>
      <c r="K41" s="66"/>
      <c r="L41" s="66"/>
      <c r="M41" s="66"/>
      <c r="N41" s="66"/>
      <c r="O41" s="66"/>
      <c r="P41" s="66"/>
    </row>
    <row r="42" spans="1:16" x14ac:dyDescent="0.3">
      <c r="A42" s="968" t="s">
        <v>2315</v>
      </c>
      <c r="B42" s="484" t="s">
        <v>16</v>
      </c>
      <c r="C42" s="484" t="s">
        <v>573</v>
      </c>
      <c r="D42" s="63" t="s">
        <v>3641</v>
      </c>
      <c r="E42" s="63" t="s">
        <v>328</v>
      </c>
      <c r="F42" s="63" t="s">
        <v>336</v>
      </c>
      <c r="G42" s="833">
        <v>0</v>
      </c>
      <c r="H42" s="65"/>
      <c r="I42" s="66"/>
      <c r="J42" s="66"/>
      <c r="K42" s="66"/>
      <c r="L42" s="66"/>
      <c r="M42" s="66"/>
      <c r="N42" s="66"/>
      <c r="O42" s="66"/>
      <c r="P42" s="66"/>
    </row>
    <row r="43" spans="1:16" x14ac:dyDescent="0.3">
      <c r="A43" s="968" t="s">
        <v>651</v>
      </c>
      <c r="B43" s="484" t="s">
        <v>16</v>
      </c>
      <c r="C43" s="484" t="s">
        <v>573</v>
      </c>
      <c r="D43" s="63" t="s">
        <v>3641</v>
      </c>
      <c r="E43" s="63" t="s">
        <v>328</v>
      </c>
      <c r="F43" s="63" t="s">
        <v>336</v>
      </c>
      <c r="G43" s="833">
        <v>1</v>
      </c>
      <c r="H43" s="65"/>
      <c r="I43" s="66"/>
      <c r="J43" s="66"/>
      <c r="K43" s="66"/>
      <c r="L43" s="66"/>
      <c r="M43" s="66"/>
      <c r="N43" s="66"/>
      <c r="O43" s="66"/>
      <c r="P43" s="66"/>
    </row>
    <row r="44" spans="1:16" ht="28.8" x14ac:dyDescent="0.3">
      <c r="A44" s="968" t="s">
        <v>2206</v>
      </c>
      <c r="B44" s="484" t="s">
        <v>4267</v>
      </c>
      <c r="C44" s="484" t="s">
        <v>571</v>
      </c>
      <c r="D44" s="63" t="s">
        <v>3642</v>
      </c>
      <c r="E44" s="63" t="s">
        <v>328</v>
      </c>
      <c r="F44" s="63" t="s">
        <v>336</v>
      </c>
      <c r="G44" s="833">
        <v>2</v>
      </c>
      <c r="H44" s="65"/>
      <c r="I44" s="66"/>
      <c r="J44" s="66"/>
      <c r="K44" s="66"/>
      <c r="L44" s="66"/>
      <c r="M44" s="66"/>
      <c r="N44" s="66"/>
      <c r="O44" s="66"/>
      <c r="P44" s="66"/>
    </row>
    <row r="45" spans="1:16" x14ac:dyDescent="0.3">
      <c r="A45" s="968" t="s">
        <v>403</v>
      </c>
      <c r="B45" s="484" t="s">
        <v>16</v>
      </c>
      <c r="C45" s="484" t="s">
        <v>639</v>
      </c>
      <c r="D45" s="63" t="s">
        <v>3629</v>
      </c>
      <c r="E45" s="63" t="s">
        <v>328</v>
      </c>
      <c r="F45" s="63" t="s">
        <v>332</v>
      </c>
      <c r="G45" s="833">
        <v>4</v>
      </c>
      <c r="H45" s="65"/>
      <c r="I45" s="66"/>
      <c r="J45" s="66"/>
      <c r="K45" s="66"/>
      <c r="L45" s="66"/>
      <c r="M45" s="66"/>
      <c r="N45" s="66"/>
      <c r="O45" s="66"/>
      <c r="P45" s="66"/>
    </row>
    <row r="46" spans="1:16" x14ac:dyDescent="0.3">
      <c r="A46" s="968" t="s">
        <v>2326</v>
      </c>
      <c r="B46" s="484" t="s">
        <v>16</v>
      </c>
      <c r="C46" s="484" t="s">
        <v>2109</v>
      </c>
      <c r="D46" s="63" t="s">
        <v>3628</v>
      </c>
      <c r="E46" s="63" t="s">
        <v>328</v>
      </c>
      <c r="F46" s="63" t="s">
        <v>336</v>
      </c>
      <c r="G46" s="833">
        <v>1</v>
      </c>
      <c r="H46" s="65"/>
      <c r="I46" s="66"/>
      <c r="J46" s="66"/>
      <c r="K46" s="66"/>
      <c r="L46" s="66"/>
      <c r="M46" s="66"/>
      <c r="N46" s="66"/>
      <c r="O46" s="66"/>
      <c r="P46" s="66"/>
    </row>
    <row r="47" spans="1:16" ht="43.2" x14ac:dyDescent="0.3">
      <c r="A47" s="968" t="s">
        <v>354</v>
      </c>
      <c r="B47" s="484" t="s">
        <v>16</v>
      </c>
      <c r="C47" s="484" t="s">
        <v>1476</v>
      </c>
      <c r="D47" s="63" t="s">
        <v>3644</v>
      </c>
      <c r="E47" s="63" t="s">
        <v>328</v>
      </c>
      <c r="F47" s="63" t="s">
        <v>329</v>
      </c>
      <c r="G47" s="833">
        <v>1</v>
      </c>
      <c r="H47" s="65"/>
      <c r="I47" s="66"/>
      <c r="J47" s="66"/>
      <c r="K47" s="66"/>
      <c r="L47" s="66"/>
      <c r="M47" s="66"/>
      <c r="N47" s="66"/>
      <c r="O47" s="66"/>
      <c r="P47" s="66"/>
    </row>
    <row r="48" spans="1:16" x14ac:dyDescent="0.3">
      <c r="A48" s="968" t="s">
        <v>934</v>
      </c>
      <c r="B48" s="484" t="s">
        <v>2555</v>
      </c>
      <c r="C48" s="484" t="s">
        <v>444</v>
      </c>
      <c r="D48" s="63" t="s">
        <v>3634</v>
      </c>
      <c r="E48" s="63" t="s">
        <v>328</v>
      </c>
      <c r="F48" s="63" t="s">
        <v>336</v>
      </c>
      <c r="G48" s="833">
        <v>1</v>
      </c>
      <c r="H48" s="65"/>
      <c r="I48" s="66"/>
      <c r="J48" s="66"/>
      <c r="K48" s="66"/>
      <c r="L48" s="66"/>
      <c r="M48" s="66"/>
      <c r="N48" s="66"/>
      <c r="O48" s="66"/>
      <c r="P48" s="66"/>
    </row>
    <row r="49" spans="1:16" ht="28.8" x14ac:dyDescent="0.3">
      <c r="A49" s="968" t="s">
        <v>356</v>
      </c>
      <c r="B49" s="484" t="s">
        <v>16</v>
      </c>
      <c r="C49" s="484" t="s">
        <v>1459</v>
      </c>
      <c r="D49" s="63" t="s">
        <v>3646</v>
      </c>
      <c r="E49" s="63" t="s">
        <v>328</v>
      </c>
      <c r="F49" s="63" t="s">
        <v>329</v>
      </c>
      <c r="G49" s="833">
        <v>2</v>
      </c>
      <c r="H49" s="547"/>
      <c r="I49" s="66"/>
      <c r="J49" s="66"/>
      <c r="K49" s="66"/>
      <c r="L49" s="66"/>
      <c r="M49" s="66"/>
      <c r="N49" s="66"/>
      <c r="O49" s="66"/>
      <c r="P49" s="66"/>
    </row>
    <row r="50" spans="1:16" x14ac:dyDescent="0.3">
      <c r="A50" s="968" t="s">
        <v>2319</v>
      </c>
      <c r="B50" s="484" t="s">
        <v>16</v>
      </c>
      <c r="C50" s="484" t="s">
        <v>460</v>
      </c>
      <c r="D50" s="63" t="s">
        <v>3626</v>
      </c>
      <c r="E50" s="63" t="s">
        <v>328</v>
      </c>
      <c r="F50" s="63" t="s">
        <v>336</v>
      </c>
      <c r="G50" s="833">
        <v>1</v>
      </c>
      <c r="H50" s="547"/>
      <c r="I50" s="66"/>
      <c r="J50" s="66"/>
      <c r="K50" s="66"/>
      <c r="L50" s="66"/>
      <c r="M50" s="66"/>
      <c r="N50" s="66"/>
      <c r="O50" s="66"/>
      <c r="P50" s="66"/>
    </row>
    <row r="51" spans="1:16" x14ac:dyDescent="0.3">
      <c r="A51" s="968" t="s">
        <v>1868</v>
      </c>
      <c r="B51" s="484" t="s">
        <v>16</v>
      </c>
      <c r="C51" s="484" t="s">
        <v>1870</v>
      </c>
      <c r="D51" s="63" t="s">
        <v>3635</v>
      </c>
      <c r="E51" s="63" t="s">
        <v>328</v>
      </c>
      <c r="F51" s="63" t="s">
        <v>332</v>
      </c>
      <c r="G51" s="833">
        <v>2</v>
      </c>
      <c r="H51" s="547"/>
      <c r="I51" s="66"/>
      <c r="J51" s="66"/>
      <c r="K51" s="66"/>
      <c r="L51" s="66"/>
      <c r="M51" s="66"/>
      <c r="N51" s="66"/>
      <c r="O51" s="66"/>
      <c r="P51" s="66"/>
    </row>
    <row r="52" spans="1:16" x14ac:dyDescent="0.3">
      <c r="A52" s="968" t="s">
        <v>2309</v>
      </c>
      <c r="B52" s="484" t="s">
        <v>16</v>
      </c>
      <c r="C52" s="484" t="s">
        <v>2310</v>
      </c>
      <c r="D52" s="63" t="s">
        <v>3647</v>
      </c>
      <c r="E52" s="63" t="s">
        <v>341</v>
      </c>
      <c r="F52" s="63" t="s">
        <v>347</v>
      </c>
      <c r="G52" s="833">
        <v>2</v>
      </c>
      <c r="H52" s="547"/>
      <c r="I52" s="66"/>
      <c r="J52" s="66"/>
      <c r="K52" s="66"/>
      <c r="L52" s="66"/>
      <c r="M52" s="66"/>
      <c r="N52" s="66"/>
      <c r="O52" s="66"/>
      <c r="P52" s="66"/>
    </row>
    <row r="53" spans="1:16" x14ac:dyDescent="0.3">
      <c r="A53" s="968" t="s">
        <v>2317</v>
      </c>
      <c r="B53" s="484" t="s">
        <v>2399</v>
      </c>
      <c r="C53" s="484" t="s">
        <v>966</v>
      </c>
      <c r="D53" s="63" t="s">
        <v>3635</v>
      </c>
      <c r="E53" s="63" t="s">
        <v>328</v>
      </c>
      <c r="F53" s="63" t="s">
        <v>336</v>
      </c>
      <c r="G53" s="833">
        <v>1</v>
      </c>
      <c r="H53" s="547"/>
      <c r="I53" s="66"/>
      <c r="J53" s="66"/>
      <c r="K53" s="66"/>
      <c r="L53" s="66"/>
      <c r="M53" s="66"/>
      <c r="N53" s="66"/>
      <c r="O53" s="66"/>
      <c r="P53" s="66"/>
    </row>
    <row r="54" spans="1:16" x14ac:dyDescent="0.3">
      <c r="A54" s="968" t="s">
        <v>1674</v>
      </c>
      <c r="B54" s="484" t="s">
        <v>1491</v>
      </c>
      <c r="C54" s="484" t="s">
        <v>460</v>
      </c>
      <c r="D54" s="63" t="s">
        <v>3626</v>
      </c>
      <c r="E54" s="63" t="s">
        <v>328</v>
      </c>
      <c r="F54" s="130" t="s">
        <v>336</v>
      </c>
      <c r="G54" s="992">
        <v>2</v>
      </c>
      <c r="H54" s="547"/>
      <c r="I54" s="66"/>
      <c r="J54" s="66"/>
      <c r="K54" s="66"/>
      <c r="L54" s="66"/>
      <c r="M54" s="66"/>
      <c r="N54" s="66"/>
      <c r="O54" s="66"/>
      <c r="P54" s="66"/>
    </row>
    <row r="55" spans="1:16" x14ac:dyDescent="0.3">
      <c r="A55" s="968" t="s">
        <v>2544</v>
      </c>
      <c r="B55" s="484" t="s">
        <v>2455</v>
      </c>
      <c r="C55" s="484" t="s">
        <v>2255</v>
      </c>
      <c r="D55" s="63" t="s">
        <v>3648</v>
      </c>
      <c r="E55" s="63" t="s">
        <v>328</v>
      </c>
      <c r="F55" s="63" t="s">
        <v>336</v>
      </c>
      <c r="G55" s="833">
        <v>1</v>
      </c>
      <c r="H55" s="547"/>
      <c r="I55" s="66"/>
      <c r="J55" s="66"/>
      <c r="K55" s="66"/>
      <c r="L55" s="66"/>
      <c r="M55" s="66"/>
      <c r="N55" s="66"/>
      <c r="O55" s="66"/>
      <c r="P55" s="66"/>
    </row>
    <row r="56" spans="1:16" x14ac:dyDescent="0.3">
      <c r="A56" s="968" t="s">
        <v>722</v>
      </c>
      <c r="B56" s="484" t="s">
        <v>16</v>
      </c>
      <c r="C56" s="484" t="s">
        <v>436</v>
      </c>
      <c r="D56" s="63" t="s">
        <v>3649</v>
      </c>
      <c r="E56" s="63" t="s">
        <v>328</v>
      </c>
      <c r="F56" s="63" t="s">
        <v>336</v>
      </c>
      <c r="G56" s="833">
        <v>2</v>
      </c>
      <c r="H56" s="547"/>
      <c r="I56" s="66"/>
      <c r="J56" s="66"/>
      <c r="K56" s="66"/>
      <c r="L56" s="66"/>
      <c r="M56" s="66"/>
      <c r="N56" s="66"/>
      <c r="O56" s="66"/>
      <c r="P56" s="66"/>
    </row>
    <row r="57" spans="1:16" ht="28.8" x14ac:dyDescent="0.3">
      <c r="A57" s="968" t="s">
        <v>899</v>
      </c>
      <c r="B57" s="484" t="s">
        <v>2167</v>
      </c>
      <c r="C57" s="484" t="s">
        <v>901</v>
      </c>
      <c r="D57" s="63" t="s">
        <v>3629</v>
      </c>
      <c r="E57" s="63" t="s">
        <v>328</v>
      </c>
      <c r="F57" s="63" t="s">
        <v>336</v>
      </c>
      <c r="G57" s="833">
        <v>1</v>
      </c>
      <c r="H57" s="547"/>
      <c r="I57" s="66"/>
      <c r="J57" s="66"/>
      <c r="K57" s="66"/>
      <c r="L57" s="66"/>
      <c r="M57" s="66"/>
      <c r="N57" s="66"/>
      <c r="O57" s="66"/>
      <c r="P57" s="66"/>
    </row>
    <row r="58" spans="1:16" ht="28.8" x14ac:dyDescent="0.3">
      <c r="A58" s="968" t="s">
        <v>361</v>
      </c>
      <c r="B58" s="484" t="s">
        <v>16</v>
      </c>
      <c r="C58" s="484" t="s">
        <v>1471</v>
      </c>
      <c r="D58" s="63" t="s">
        <v>3633</v>
      </c>
      <c r="E58" s="63" t="s">
        <v>328</v>
      </c>
      <c r="F58" s="63" t="s">
        <v>329</v>
      </c>
      <c r="G58" s="833">
        <v>10</v>
      </c>
      <c r="H58" s="547"/>
      <c r="I58" s="66"/>
      <c r="J58" s="66"/>
      <c r="K58" s="66"/>
      <c r="L58" s="66"/>
      <c r="M58" s="66"/>
      <c r="N58" s="66"/>
      <c r="O58" s="66"/>
      <c r="P58" s="66"/>
    </row>
    <row r="59" spans="1:16" x14ac:dyDescent="0.3">
      <c r="A59" s="968" t="s">
        <v>343</v>
      </c>
      <c r="B59" s="484" t="s">
        <v>16</v>
      </c>
      <c r="C59" s="484" t="s">
        <v>767</v>
      </c>
      <c r="D59" s="63" t="s">
        <v>3650</v>
      </c>
      <c r="E59" s="63" t="s">
        <v>328</v>
      </c>
      <c r="F59" s="63" t="s">
        <v>329</v>
      </c>
      <c r="G59" s="833">
        <v>1</v>
      </c>
      <c r="H59" s="547"/>
      <c r="I59" s="66"/>
      <c r="J59" s="66"/>
      <c r="K59" s="66"/>
      <c r="L59" s="66"/>
      <c r="M59" s="66"/>
      <c r="N59" s="66"/>
      <c r="O59" s="66"/>
      <c r="P59" s="66"/>
    </row>
    <row r="60" spans="1:16" x14ac:dyDescent="0.3">
      <c r="A60" s="968" t="s">
        <v>2168</v>
      </c>
      <c r="B60" s="484" t="s">
        <v>389</v>
      </c>
      <c r="C60" s="484" t="s">
        <v>1416</v>
      </c>
      <c r="D60" s="63" t="s">
        <v>3628</v>
      </c>
      <c r="E60" s="63" t="s">
        <v>328</v>
      </c>
      <c r="F60" s="63" t="s">
        <v>329</v>
      </c>
      <c r="G60" s="833">
        <v>1</v>
      </c>
      <c r="H60" s="547"/>
      <c r="I60" s="66"/>
      <c r="J60" s="66"/>
      <c r="K60" s="66"/>
      <c r="L60" s="66"/>
      <c r="M60" s="66"/>
      <c r="N60" s="66"/>
      <c r="O60" s="66"/>
      <c r="P60" s="66"/>
    </row>
    <row r="61" spans="1:16" x14ac:dyDescent="0.3">
      <c r="A61" s="968" t="s">
        <v>2162</v>
      </c>
      <c r="B61" s="484" t="s">
        <v>2223</v>
      </c>
      <c r="C61" s="484" t="s">
        <v>488</v>
      </c>
      <c r="D61" s="63" t="s">
        <v>3642</v>
      </c>
      <c r="E61" s="63" t="s">
        <v>328</v>
      </c>
      <c r="F61" s="63" t="s">
        <v>336</v>
      </c>
      <c r="G61" s="833">
        <v>1</v>
      </c>
      <c r="H61" s="547"/>
      <c r="I61" s="66"/>
      <c r="J61" s="66"/>
      <c r="K61" s="66"/>
      <c r="L61" s="66"/>
      <c r="M61" s="66"/>
      <c r="N61" s="66"/>
      <c r="O61" s="66"/>
      <c r="P61" s="66"/>
    </row>
    <row r="62" spans="1:16" x14ac:dyDescent="0.3">
      <c r="A62" s="968" t="s">
        <v>2316</v>
      </c>
      <c r="B62" s="484" t="s">
        <v>2231</v>
      </c>
      <c r="C62" s="484" t="s">
        <v>448</v>
      </c>
      <c r="D62" s="63" t="s">
        <v>3651</v>
      </c>
      <c r="E62" s="63" t="s">
        <v>328</v>
      </c>
      <c r="F62" s="63" t="s">
        <v>336</v>
      </c>
      <c r="G62" s="833">
        <v>2</v>
      </c>
      <c r="H62" s="547"/>
      <c r="I62" s="66"/>
      <c r="J62" s="66"/>
      <c r="K62" s="66"/>
      <c r="L62" s="66"/>
      <c r="M62" s="66"/>
      <c r="N62" s="66"/>
      <c r="O62" s="66"/>
      <c r="P62" s="66"/>
    </row>
    <row r="63" spans="1:16" ht="28.8" x14ac:dyDescent="0.3">
      <c r="A63" s="968" t="s">
        <v>428</v>
      </c>
      <c r="B63" s="484" t="s">
        <v>414</v>
      </c>
      <c r="C63" s="484" t="s">
        <v>606</v>
      </c>
      <c r="D63" s="63" t="s">
        <v>3629</v>
      </c>
      <c r="E63" s="63" t="s">
        <v>328</v>
      </c>
      <c r="F63" s="63" t="s">
        <v>329</v>
      </c>
      <c r="G63" s="833">
        <v>4</v>
      </c>
      <c r="H63" s="547"/>
      <c r="I63" s="66"/>
      <c r="J63" s="66"/>
      <c r="K63" s="66"/>
      <c r="L63" s="66"/>
      <c r="M63" s="66"/>
      <c r="N63" s="66"/>
      <c r="O63" s="66"/>
      <c r="P63" s="66"/>
    </row>
    <row r="64" spans="1:16" x14ac:dyDescent="0.3">
      <c r="A64" s="968" t="s">
        <v>2064</v>
      </c>
      <c r="B64" s="484" t="s">
        <v>3605</v>
      </c>
      <c r="C64" s="484" t="s">
        <v>460</v>
      </c>
      <c r="D64" s="63" t="s">
        <v>3626</v>
      </c>
      <c r="E64" s="63" t="s">
        <v>328</v>
      </c>
      <c r="F64" s="63" t="s">
        <v>336</v>
      </c>
      <c r="G64" s="833">
        <v>2</v>
      </c>
      <c r="H64" s="547"/>
      <c r="I64" s="66"/>
      <c r="J64" s="66"/>
      <c r="K64" s="66"/>
      <c r="L64" s="66"/>
      <c r="M64" s="66"/>
      <c r="N64" s="66"/>
      <c r="O64" s="66"/>
      <c r="P64" s="66"/>
    </row>
    <row r="65" spans="1:16" ht="43.2" x14ac:dyDescent="0.3">
      <c r="A65" s="968" t="s">
        <v>2023</v>
      </c>
      <c r="B65" s="484" t="s">
        <v>16</v>
      </c>
      <c r="C65" s="484" t="s">
        <v>1486</v>
      </c>
      <c r="D65" s="63" t="s">
        <v>3646</v>
      </c>
      <c r="E65" s="63" t="s">
        <v>328</v>
      </c>
      <c r="F65" s="63" t="s">
        <v>329</v>
      </c>
      <c r="G65" s="833">
        <v>2</v>
      </c>
      <c r="H65" s="547"/>
      <c r="I65" s="66"/>
      <c r="J65" s="66"/>
      <c r="K65" s="66"/>
      <c r="L65" s="66"/>
      <c r="M65" s="66"/>
      <c r="N65" s="66"/>
      <c r="O65" s="66"/>
      <c r="P65" s="66"/>
    </row>
    <row r="66" spans="1:16" x14ac:dyDescent="0.3">
      <c r="A66" s="968" t="s">
        <v>592</v>
      </c>
      <c r="B66" s="484" t="s">
        <v>394</v>
      </c>
      <c r="C66" s="484" t="s">
        <v>594</v>
      </c>
      <c r="D66" s="63" t="s">
        <v>3645</v>
      </c>
      <c r="E66" s="63" t="s">
        <v>328</v>
      </c>
      <c r="F66" s="63" t="s">
        <v>332</v>
      </c>
      <c r="G66" s="833">
        <v>2</v>
      </c>
      <c r="H66" s="547"/>
      <c r="I66" s="66"/>
      <c r="J66" s="66"/>
      <c r="K66" s="66"/>
      <c r="L66" s="66"/>
      <c r="M66" s="66"/>
      <c r="N66" s="66"/>
      <c r="O66" s="66"/>
      <c r="P66" s="66"/>
    </row>
    <row r="67" spans="1:16" x14ac:dyDescent="0.3">
      <c r="A67" s="968" t="s">
        <v>2122</v>
      </c>
      <c r="B67" s="484" t="s">
        <v>2113</v>
      </c>
      <c r="C67" s="484" t="s">
        <v>1421</v>
      </c>
      <c r="D67" s="63" t="s">
        <v>3652</v>
      </c>
      <c r="E67" s="63" t="s">
        <v>328</v>
      </c>
      <c r="F67" s="63" t="s">
        <v>336</v>
      </c>
      <c r="G67" s="833">
        <v>2</v>
      </c>
      <c r="H67" s="547"/>
      <c r="I67" s="66"/>
      <c r="J67" s="66"/>
      <c r="K67" s="66"/>
      <c r="L67" s="66"/>
      <c r="M67" s="66"/>
      <c r="N67" s="66"/>
      <c r="O67" s="66"/>
      <c r="P67" s="66"/>
    </row>
    <row r="68" spans="1:16" ht="43.2" x14ac:dyDescent="0.3">
      <c r="A68" s="968" t="s">
        <v>748</v>
      </c>
      <c r="B68" s="484" t="s">
        <v>3717</v>
      </c>
      <c r="C68" s="484" t="s">
        <v>2420</v>
      </c>
      <c r="D68" s="63" t="s">
        <v>3629</v>
      </c>
      <c r="E68" s="63" t="s">
        <v>328</v>
      </c>
      <c r="F68" s="63" t="s">
        <v>336</v>
      </c>
      <c r="G68" s="833">
        <v>2</v>
      </c>
      <c r="H68" s="547"/>
      <c r="I68" s="66"/>
      <c r="J68" s="66"/>
      <c r="K68" s="66"/>
      <c r="L68" s="66"/>
      <c r="M68" s="66"/>
      <c r="N68" s="66"/>
      <c r="O68" s="66"/>
      <c r="P68" s="66"/>
    </row>
    <row r="69" spans="1:16" ht="28.8" x14ac:dyDescent="0.3">
      <c r="A69" s="968" t="s">
        <v>1719</v>
      </c>
      <c r="B69" s="484" t="s">
        <v>16</v>
      </c>
      <c r="C69" s="484" t="s">
        <v>1721</v>
      </c>
      <c r="D69" s="63" t="s">
        <v>3653</v>
      </c>
      <c r="E69" s="63" t="s">
        <v>328</v>
      </c>
      <c r="F69" s="63" t="s">
        <v>329</v>
      </c>
      <c r="G69" s="833">
        <v>2</v>
      </c>
      <c r="H69" s="547"/>
      <c r="I69" s="66"/>
      <c r="J69" s="66"/>
      <c r="K69" s="66"/>
      <c r="L69" s="66"/>
      <c r="M69" s="66"/>
      <c r="N69" s="66"/>
      <c r="O69" s="66"/>
      <c r="P69" s="66"/>
    </row>
    <row r="70" spans="1:16" ht="28.8" x14ac:dyDescent="0.3">
      <c r="A70" s="968" t="s">
        <v>1634</v>
      </c>
      <c r="B70" s="484" t="s">
        <v>3339</v>
      </c>
      <c r="C70" s="484" t="s">
        <v>966</v>
      </c>
      <c r="D70" s="63" t="s">
        <v>3635</v>
      </c>
      <c r="E70" s="63" t="s">
        <v>328</v>
      </c>
      <c r="F70" s="63" t="s">
        <v>336</v>
      </c>
      <c r="G70" s="833">
        <v>1</v>
      </c>
      <c r="H70" s="547"/>
      <c r="I70" s="66"/>
      <c r="J70" s="66"/>
      <c r="K70" s="66"/>
      <c r="L70" s="66"/>
      <c r="M70" s="66"/>
      <c r="N70" s="66"/>
      <c r="O70" s="66"/>
      <c r="P70" s="66"/>
    </row>
    <row r="71" spans="1:16" x14ac:dyDescent="0.3">
      <c r="A71" s="968" t="s">
        <v>779</v>
      </c>
      <c r="B71" s="484" t="s">
        <v>335</v>
      </c>
      <c r="C71" s="484" t="s">
        <v>573</v>
      </c>
      <c r="D71" s="63" t="s">
        <v>3641</v>
      </c>
      <c r="E71" s="63" t="s">
        <v>328</v>
      </c>
      <c r="F71" s="63" t="s">
        <v>336</v>
      </c>
      <c r="G71" s="833">
        <v>1</v>
      </c>
      <c r="H71" s="547"/>
      <c r="I71" s="66"/>
      <c r="J71" s="66"/>
      <c r="K71" s="66"/>
      <c r="L71" s="66"/>
      <c r="M71" s="66"/>
      <c r="N71" s="66"/>
      <c r="O71" s="66"/>
      <c r="P71" s="66"/>
    </row>
    <row r="72" spans="1:16" x14ac:dyDescent="0.3">
      <c r="A72" s="968" t="s">
        <v>412</v>
      </c>
      <c r="B72" s="484" t="s">
        <v>2096</v>
      </c>
      <c r="C72" s="484" t="s">
        <v>964</v>
      </c>
      <c r="D72" s="63" t="s">
        <v>3628</v>
      </c>
      <c r="E72" s="63" t="s">
        <v>328</v>
      </c>
      <c r="F72" s="63" t="s">
        <v>336</v>
      </c>
      <c r="G72" s="833">
        <v>1</v>
      </c>
      <c r="H72" s="547"/>
      <c r="I72" s="66"/>
      <c r="J72" s="66"/>
      <c r="K72" s="66"/>
      <c r="L72" s="66"/>
      <c r="M72" s="66"/>
      <c r="N72" s="66"/>
      <c r="O72" s="66"/>
      <c r="P72" s="66"/>
    </row>
    <row r="73" spans="1:16" x14ac:dyDescent="0.3">
      <c r="A73" s="968" t="s">
        <v>646</v>
      </c>
      <c r="B73" s="484" t="s">
        <v>822</v>
      </c>
      <c r="C73" s="484" t="s">
        <v>376</v>
      </c>
      <c r="D73" s="63" t="s">
        <v>3655</v>
      </c>
      <c r="E73" s="63" t="s">
        <v>328</v>
      </c>
      <c r="F73" s="63" t="s">
        <v>336</v>
      </c>
      <c r="G73" s="833">
        <v>1</v>
      </c>
      <c r="H73" s="547"/>
      <c r="I73" s="66"/>
      <c r="J73" s="66"/>
      <c r="K73" s="66"/>
      <c r="L73" s="66"/>
      <c r="M73" s="66"/>
      <c r="N73" s="66"/>
      <c r="O73" s="66"/>
      <c r="P73" s="66"/>
    </row>
    <row r="74" spans="1:16" x14ac:dyDescent="0.3">
      <c r="A74" s="968" t="s">
        <v>1945</v>
      </c>
      <c r="B74" s="484" t="s">
        <v>2155</v>
      </c>
      <c r="C74" s="484" t="s">
        <v>615</v>
      </c>
      <c r="D74" s="63" t="s">
        <v>3656</v>
      </c>
      <c r="E74" s="63" t="s">
        <v>328</v>
      </c>
      <c r="F74" s="63" t="s">
        <v>336</v>
      </c>
      <c r="G74" s="833">
        <v>1</v>
      </c>
      <c r="H74" s="547"/>
      <c r="I74" s="66"/>
      <c r="J74" s="66"/>
      <c r="K74" s="66"/>
      <c r="L74" s="66"/>
      <c r="M74" s="66"/>
      <c r="N74" s="66"/>
      <c r="O74" s="66"/>
      <c r="P74" s="66"/>
    </row>
    <row r="75" spans="1:16" x14ac:dyDescent="0.3">
      <c r="A75" s="968" t="s">
        <v>930</v>
      </c>
      <c r="B75" s="484" t="s">
        <v>1820</v>
      </c>
      <c r="C75" s="484" t="s">
        <v>1816</v>
      </c>
      <c r="D75" s="63" t="s">
        <v>3632</v>
      </c>
      <c r="E75" s="63" t="s">
        <v>328</v>
      </c>
      <c r="F75" s="63" t="s">
        <v>332</v>
      </c>
      <c r="G75" s="833">
        <v>1</v>
      </c>
      <c r="H75" s="547"/>
      <c r="I75" s="66"/>
      <c r="J75" s="66"/>
      <c r="K75" s="66"/>
      <c r="L75" s="66"/>
      <c r="M75" s="66"/>
      <c r="N75" s="66"/>
      <c r="O75" s="66"/>
      <c r="P75" s="66"/>
    </row>
    <row r="76" spans="1:16" x14ac:dyDescent="0.3">
      <c r="A76" s="968" t="s">
        <v>2314</v>
      </c>
      <c r="B76" s="484" t="s">
        <v>16</v>
      </c>
      <c r="C76" s="484" t="s">
        <v>610</v>
      </c>
      <c r="D76" s="63" t="s">
        <v>3700</v>
      </c>
      <c r="E76" s="63" t="s">
        <v>328</v>
      </c>
      <c r="F76" s="63" t="s">
        <v>336</v>
      </c>
      <c r="G76" s="833">
        <v>1</v>
      </c>
      <c r="H76" s="547"/>
      <c r="I76" s="66"/>
      <c r="J76" s="66"/>
      <c r="K76" s="66"/>
      <c r="L76" s="66"/>
      <c r="M76" s="66"/>
      <c r="N76" s="66"/>
      <c r="O76" s="66"/>
      <c r="P76" s="66"/>
    </row>
    <row r="77" spans="1:16" x14ac:dyDescent="0.3">
      <c r="A77" s="968" t="s">
        <v>309</v>
      </c>
      <c r="B77" s="484" t="s">
        <v>16</v>
      </c>
      <c r="C77" s="484" t="s">
        <v>1826</v>
      </c>
      <c r="D77" s="63" t="s">
        <v>3701</v>
      </c>
      <c r="E77" s="63" t="s">
        <v>328</v>
      </c>
      <c r="F77" s="63" t="s">
        <v>332</v>
      </c>
      <c r="G77" s="833">
        <v>3</v>
      </c>
      <c r="H77" s="547"/>
      <c r="I77" s="66"/>
      <c r="J77" s="66"/>
      <c r="K77" s="66"/>
      <c r="L77" s="66"/>
      <c r="M77" s="66"/>
      <c r="N77" s="66"/>
      <c r="O77" s="66"/>
      <c r="P77" s="66"/>
    </row>
    <row r="78" spans="1:16" x14ac:dyDescent="0.3">
      <c r="A78" s="968" t="s">
        <v>413</v>
      </c>
      <c r="B78" s="484" t="s">
        <v>2134</v>
      </c>
      <c r="C78" s="484" t="s">
        <v>460</v>
      </c>
      <c r="D78" s="63" t="s">
        <v>3626</v>
      </c>
      <c r="E78" s="63" t="s">
        <v>328</v>
      </c>
      <c r="F78" s="63" t="s">
        <v>336</v>
      </c>
      <c r="G78" s="833">
        <v>3</v>
      </c>
      <c r="H78" s="547"/>
      <c r="I78" s="66"/>
      <c r="J78" s="66"/>
      <c r="K78" s="66"/>
      <c r="L78" s="66"/>
      <c r="M78" s="66"/>
      <c r="N78" s="66"/>
      <c r="O78" s="66"/>
      <c r="P78" s="66"/>
    </row>
    <row r="79" spans="1:16" ht="28.8" x14ac:dyDescent="0.3">
      <c r="A79" s="968" t="s">
        <v>2132</v>
      </c>
      <c r="B79" s="484" t="s">
        <v>16</v>
      </c>
      <c r="C79" s="484" t="s">
        <v>1541</v>
      </c>
      <c r="D79" s="484" t="s">
        <v>4236</v>
      </c>
      <c r="E79" s="63" t="s">
        <v>418</v>
      </c>
      <c r="F79" s="63" t="s">
        <v>347</v>
      </c>
      <c r="G79" s="833">
        <v>1</v>
      </c>
      <c r="H79" s="547"/>
      <c r="I79" s="66"/>
      <c r="J79" s="66"/>
      <c r="K79" s="66"/>
      <c r="L79" s="66"/>
      <c r="M79" s="66"/>
      <c r="N79" s="66"/>
      <c r="O79" s="66"/>
      <c r="P79" s="66"/>
    </row>
    <row r="80" spans="1:16" ht="28.8" x14ac:dyDescent="0.3">
      <c r="A80" s="968" t="s">
        <v>660</v>
      </c>
      <c r="B80" s="484" t="s">
        <v>16</v>
      </c>
      <c r="C80" s="484" t="s">
        <v>661</v>
      </c>
      <c r="D80" s="63" t="s">
        <v>3702</v>
      </c>
      <c r="E80" s="63" t="s">
        <v>328</v>
      </c>
      <c r="F80" s="63" t="s">
        <v>329</v>
      </c>
      <c r="G80" s="833">
        <v>1</v>
      </c>
      <c r="H80" s="547"/>
      <c r="I80" s="66"/>
      <c r="J80" s="66"/>
      <c r="K80" s="66"/>
      <c r="L80" s="66"/>
      <c r="M80" s="66"/>
      <c r="N80" s="66"/>
      <c r="O80" s="66"/>
      <c r="P80" s="66"/>
    </row>
    <row r="81" spans="1:16" x14ac:dyDescent="0.3">
      <c r="A81" s="968" t="s">
        <v>1502</v>
      </c>
      <c r="B81" s="484" t="s">
        <v>16</v>
      </c>
      <c r="C81" s="484" t="s">
        <v>1504</v>
      </c>
      <c r="D81" s="63" t="s">
        <v>3634</v>
      </c>
      <c r="E81" s="63" t="s">
        <v>328</v>
      </c>
      <c r="F81" s="63" t="s">
        <v>336</v>
      </c>
      <c r="G81" s="833">
        <v>1</v>
      </c>
      <c r="H81" s="547"/>
      <c r="I81" s="66"/>
      <c r="J81" s="66"/>
      <c r="K81" s="66"/>
      <c r="L81" s="66"/>
      <c r="M81" s="66"/>
      <c r="N81" s="66"/>
      <c r="O81" s="66"/>
      <c r="P81" s="66"/>
    </row>
    <row r="82" spans="1:16" ht="28.8" x14ac:dyDescent="0.3">
      <c r="A82" s="968" t="s">
        <v>2179</v>
      </c>
      <c r="B82" s="484" t="s">
        <v>1362</v>
      </c>
      <c r="C82" s="484" t="s">
        <v>1373</v>
      </c>
      <c r="D82" s="63" t="s">
        <v>3703</v>
      </c>
      <c r="E82" s="63" t="s">
        <v>328</v>
      </c>
      <c r="F82" s="63" t="s">
        <v>336</v>
      </c>
      <c r="G82" s="833">
        <v>1</v>
      </c>
      <c r="H82" s="547"/>
      <c r="I82" s="66"/>
      <c r="J82" s="66"/>
      <c r="K82" s="66"/>
      <c r="L82" s="66"/>
      <c r="M82" s="66"/>
      <c r="N82" s="66"/>
      <c r="O82" s="66"/>
      <c r="P82" s="66"/>
    </row>
    <row r="83" spans="1:16" x14ac:dyDescent="0.3">
      <c r="A83" s="968" t="s">
        <v>1407</v>
      </c>
      <c r="B83" s="484" t="s">
        <v>16</v>
      </c>
      <c r="C83" s="484" t="s">
        <v>514</v>
      </c>
      <c r="D83" s="63" t="s">
        <v>3704</v>
      </c>
      <c r="E83" s="63" t="s">
        <v>328</v>
      </c>
      <c r="F83" s="63" t="s">
        <v>336</v>
      </c>
      <c r="G83" s="833">
        <v>1</v>
      </c>
      <c r="H83" s="547"/>
      <c r="I83" s="66"/>
      <c r="J83" s="66"/>
      <c r="K83" s="66"/>
      <c r="L83" s="66"/>
      <c r="M83" s="66"/>
      <c r="N83" s="66"/>
      <c r="O83" s="66"/>
      <c r="P83" s="66"/>
    </row>
    <row r="84" spans="1:16" x14ac:dyDescent="0.3">
      <c r="A84" s="968" t="s">
        <v>1849</v>
      </c>
      <c r="B84" s="484" t="s">
        <v>16</v>
      </c>
      <c r="C84" s="484" t="s">
        <v>695</v>
      </c>
      <c r="D84" s="63" t="s">
        <v>3648</v>
      </c>
      <c r="E84" s="63" t="s">
        <v>328</v>
      </c>
      <c r="F84" s="63" t="s">
        <v>336</v>
      </c>
      <c r="G84" s="833">
        <v>1</v>
      </c>
      <c r="H84" s="547"/>
      <c r="I84" s="66"/>
      <c r="J84" s="66"/>
      <c r="K84" s="66"/>
      <c r="L84" s="66"/>
      <c r="M84" s="66"/>
      <c r="N84" s="66"/>
      <c r="O84" s="66"/>
      <c r="P84" s="66"/>
    </row>
    <row r="85" spans="1:16" x14ac:dyDescent="0.3">
      <c r="A85" s="968" t="s">
        <v>404</v>
      </c>
      <c r="B85" s="484" t="s">
        <v>16</v>
      </c>
      <c r="C85" s="484" t="s">
        <v>573</v>
      </c>
      <c r="D85" s="63" t="s">
        <v>3641</v>
      </c>
      <c r="E85" s="63" t="s">
        <v>328</v>
      </c>
      <c r="F85" s="63" t="s">
        <v>336</v>
      </c>
      <c r="G85" s="833">
        <v>2</v>
      </c>
      <c r="H85" s="547"/>
      <c r="I85" s="66"/>
      <c r="J85" s="66"/>
      <c r="K85" s="66"/>
      <c r="L85" s="66"/>
      <c r="M85" s="66"/>
      <c r="N85" s="66"/>
      <c r="O85" s="66"/>
      <c r="P85" s="66"/>
    </row>
    <row r="86" spans="1:16" ht="28.8" x14ac:dyDescent="0.3">
      <c r="A86" s="968" t="s">
        <v>1681</v>
      </c>
      <c r="B86" s="484" t="s">
        <v>1691</v>
      </c>
      <c r="C86" s="484" t="s">
        <v>1683</v>
      </c>
      <c r="D86" s="63" t="s">
        <v>3651</v>
      </c>
      <c r="E86" s="63" t="s">
        <v>328</v>
      </c>
      <c r="F86" s="63" t="s">
        <v>336</v>
      </c>
      <c r="G86" s="833">
        <v>1</v>
      </c>
      <c r="H86" s="547"/>
      <c r="I86" s="66"/>
      <c r="J86" s="66"/>
      <c r="K86" s="66"/>
      <c r="L86" s="66"/>
      <c r="M86" s="66"/>
      <c r="N86" s="66"/>
      <c r="O86" s="66"/>
      <c r="P86" s="66"/>
    </row>
    <row r="87" spans="1:16" x14ac:dyDescent="0.3">
      <c r="A87" s="968" t="s">
        <v>925</v>
      </c>
      <c r="B87" s="484" t="s">
        <v>2189</v>
      </c>
      <c r="C87" s="484" t="s">
        <v>927</v>
      </c>
      <c r="D87" s="63" t="s">
        <v>4237</v>
      </c>
      <c r="E87" s="63" t="s">
        <v>350</v>
      </c>
      <c r="F87" s="63" t="s">
        <v>342</v>
      </c>
      <c r="G87" s="833">
        <v>1</v>
      </c>
      <c r="H87" s="547"/>
      <c r="I87" s="66"/>
      <c r="J87" s="66"/>
      <c r="K87" s="66"/>
      <c r="L87" s="66"/>
      <c r="M87" s="66"/>
      <c r="N87" s="66"/>
      <c r="O87" s="66"/>
      <c r="P87" s="66"/>
    </row>
    <row r="88" spans="1:16" x14ac:dyDescent="0.3">
      <c r="A88" s="968" t="s">
        <v>1596</v>
      </c>
      <c r="B88" s="484" t="s">
        <v>16</v>
      </c>
      <c r="C88" s="484" t="s">
        <v>704</v>
      </c>
      <c r="D88" s="63" t="s">
        <v>3705</v>
      </c>
      <c r="E88" s="63" t="s">
        <v>328</v>
      </c>
      <c r="F88" s="63" t="s">
        <v>336</v>
      </c>
      <c r="G88" s="833">
        <v>1</v>
      </c>
      <c r="H88" s="547"/>
      <c r="I88" s="66"/>
      <c r="J88" s="66"/>
      <c r="K88" s="66"/>
      <c r="L88" s="66"/>
      <c r="M88" s="66"/>
      <c r="N88" s="66"/>
      <c r="O88" s="66"/>
      <c r="P88" s="66"/>
    </row>
    <row r="89" spans="1:16" ht="28.8" x14ac:dyDescent="0.3">
      <c r="A89" s="968" t="s">
        <v>2127</v>
      </c>
      <c r="B89" s="484" t="s">
        <v>2117</v>
      </c>
      <c r="C89" s="484" t="s">
        <v>1781</v>
      </c>
      <c r="D89" s="63" t="s">
        <v>3703</v>
      </c>
      <c r="E89" s="63" t="s">
        <v>328</v>
      </c>
      <c r="F89" s="63" t="s">
        <v>329</v>
      </c>
      <c r="G89" s="833">
        <v>2</v>
      </c>
    </row>
    <row r="90" spans="1:16" x14ac:dyDescent="0.3">
      <c r="A90" s="968" t="s">
        <v>1612</v>
      </c>
      <c r="B90" s="484" t="s">
        <v>1623</v>
      </c>
      <c r="C90" s="484" t="s">
        <v>1614</v>
      </c>
      <c r="D90" s="63" t="s">
        <v>4238</v>
      </c>
      <c r="E90" s="63" t="s">
        <v>418</v>
      </c>
      <c r="F90" s="63" t="s">
        <v>379</v>
      </c>
      <c r="G90" s="833">
        <v>1</v>
      </c>
    </row>
    <row r="91" spans="1:16" x14ac:dyDescent="0.3">
      <c r="A91" s="968" t="s">
        <v>2239</v>
      </c>
      <c r="B91" s="484" t="s">
        <v>16</v>
      </c>
      <c r="C91" s="484" t="s">
        <v>482</v>
      </c>
      <c r="D91" s="63" t="s">
        <v>3706</v>
      </c>
      <c r="E91" s="63" t="s">
        <v>328</v>
      </c>
      <c r="F91" s="63" t="s">
        <v>336</v>
      </c>
      <c r="G91" s="833">
        <v>1</v>
      </c>
    </row>
    <row r="92" spans="1:16" x14ac:dyDescent="0.3">
      <c r="A92" s="968" t="s">
        <v>1800</v>
      </c>
      <c r="B92" s="484" t="s">
        <v>16</v>
      </c>
      <c r="C92" s="484" t="s">
        <v>1792</v>
      </c>
      <c r="D92" s="63" t="s">
        <v>3627</v>
      </c>
      <c r="E92" s="63" t="s">
        <v>328</v>
      </c>
      <c r="F92" s="63" t="s">
        <v>332</v>
      </c>
      <c r="G92" s="833">
        <v>1</v>
      </c>
    </row>
    <row r="93" spans="1:16" x14ac:dyDescent="0.3">
      <c r="A93" s="968" t="s">
        <v>2324</v>
      </c>
      <c r="B93" s="484" t="s">
        <v>16</v>
      </c>
      <c r="C93" s="484" t="s">
        <v>635</v>
      </c>
      <c r="D93" s="63" t="s">
        <v>3707</v>
      </c>
      <c r="E93" s="63" t="s">
        <v>328</v>
      </c>
      <c r="F93" s="63" t="s">
        <v>336</v>
      </c>
      <c r="G93" s="833">
        <v>1</v>
      </c>
    </row>
    <row r="94" spans="1:16" x14ac:dyDescent="0.3">
      <c r="A94" s="968" t="s">
        <v>1570</v>
      </c>
      <c r="B94" s="484" t="s">
        <v>16</v>
      </c>
      <c r="C94" s="484" t="s">
        <v>4156</v>
      </c>
      <c r="D94" s="63" t="s">
        <v>3708</v>
      </c>
      <c r="E94" s="63" t="s">
        <v>426</v>
      </c>
      <c r="F94" s="63" t="s">
        <v>347</v>
      </c>
      <c r="G94" s="833">
        <v>1</v>
      </c>
    </row>
    <row r="95" spans="1:16" ht="28.8" x14ac:dyDescent="0.3">
      <c r="A95" s="968" t="s">
        <v>616</v>
      </c>
      <c r="B95" s="484" t="s">
        <v>3080</v>
      </c>
      <c r="C95" s="484" t="s">
        <v>2420</v>
      </c>
      <c r="D95" s="63" t="s">
        <v>3629</v>
      </c>
      <c r="E95" s="63" t="s">
        <v>328</v>
      </c>
      <c r="F95" s="63" t="s">
        <v>336</v>
      </c>
      <c r="G95" s="833">
        <v>1</v>
      </c>
    </row>
    <row r="96" spans="1:16" x14ac:dyDescent="0.3">
      <c r="A96" s="968" t="s">
        <v>892</v>
      </c>
      <c r="B96" s="484" t="s">
        <v>2217</v>
      </c>
      <c r="C96" s="484" t="s">
        <v>889</v>
      </c>
      <c r="D96" s="63" t="s">
        <v>3709</v>
      </c>
      <c r="E96" s="63" t="s">
        <v>328</v>
      </c>
      <c r="F96" s="63" t="s">
        <v>336</v>
      </c>
      <c r="G96" s="833">
        <v>1</v>
      </c>
    </row>
    <row r="97" spans="1:7" x14ac:dyDescent="0.3">
      <c r="A97" s="968" t="s">
        <v>913</v>
      </c>
      <c r="B97" s="484" t="s">
        <v>2208</v>
      </c>
      <c r="C97" s="484" t="s">
        <v>523</v>
      </c>
      <c r="D97" s="63" t="s">
        <v>3710</v>
      </c>
      <c r="E97" s="63" t="s">
        <v>328</v>
      </c>
      <c r="F97" s="63" t="s">
        <v>336</v>
      </c>
      <c r="G97" s="833">
        <v>1</v>
      </c>
    </row>
    <row r="98" spans="1:7" x14ac:dyDescent="0.3">
      <c r="A98" s="968" t="s">
        <v>1854</v>
      </c>
      <c r="B98" s="484" t="s">
        <v>16</v>
      </c>
      <c r="C98" s="484" t="s">
        <v>1855</v>
      </c>
      <c r="D98" s="63" t="s">
        <v>3629</v>
      </c>
      <c r="E98" s="63" t="s">
        <v>328</v>
      </c>
      <c r="F98" s="63" t="s">
        <v>336</v>
      </c>
      <c r="G98" s="833">
        <v>1</v>
      </c>
    </row>
    <row r="99" spans="1:7" x14ac:dyDescent="0.3">
      <c r="A99" s="968" t="s">
        <v>1830</v>
      </c>
      <c r="B99" s="484" t="s">
        <v>2220</v>
      </c>
      <c r="C99" s="484" t="s">
        <v>1831</v>
      </c>
      <c r="D99" s="63" t="s">
        <v>3711</v>
      </c>
      <c r="E99" s="63" t="s">
        <v>328</v>
      </c>
      <c r="F99" s="63" t="s">
        <v>329</v>
      </c>
      <c r="G99" s="833">
        <v>1</v>
      </c>
    </row>
    <row r="100" spans="1:7" x14ac:dyDescent="0.3">
      <c r="A100" s="968" t="s">
        <v>397</v>
      </c>
      <c r="B100" s="484" t="s">
        <v>16</v>
      </c>
      <c r="C100" s="484" t="s">
        <v>665</v>
      </c>
      <c r="D100" s="63" t="s">
        <v>3644</v>
      </c>
      <c r="E100" s="63" t="s">
        <v>328</v>
      </c>
      <c r="F100" s="63" t="s">
        <v>336</v>
      </c>
      <c r="G100" s="833">
        <v>1</v>
      </c>
    </row>
    <row r="101" spans="1:7" x14ac:dyDescent="0.3">
      <c r="A101" s="968" t="s">
        <v>2307</v>
      </c>
      <c r="B101" s="484" t="s">
        <v>736</v>
      </c>
      <c r="C101" s="484" t="s">
        <v>562</v>
      </c>
      <c r="D101" s="63" t="s">
        <v>3626</v>
      </c>
      <c r="E101" s="63" t="s">
        <v>328</v>
      </c>
      <c r="F101" s="63" t="s">
        <v>332</v>
      </c>
      <c r="G101" s="833">
        <v>1</v>
      </c>
    </row>
    <row r="102" spans="1:7" x14ac:dyDescent="0.3">
      <c r="A102" s="968" t="s">
        <v>1745</v>
      </c>
      <c r="B102" s="484" t="s">
        <v>16</v>
      </c>
      <c r="C102" s="484" t="s">
        <v>523</v>
      </c>
      <c r="D102" s="63" t="s">
        <v>3712</v>
      </c>
      <c r="E102" s="63" t="s">
        <v>328</v>
      </c>
      <c r="F102" s="63" t="s">
        <v>336</v>
      </c>
      <c r="G102" s="833">
        <v>1</v>
      </c>
    </row>
    <row r="103" spans="1:7" x14ac:dyDescent="0.3">
      <c r="A103" s="968" t="s">
        <v>2007</v>
      </c>
      <c r="B103" s="484" t="s">
        <v>16</v>
      </c>
      <c r="C103" s="484" t="s">
        <v>1412</v>
      </c>
      <c r="D103" s="63" t="s">
        <v>3638</v>
      </c>
      <c r="E103" s="63" t="s">
        <v>328</v>
      </c>
      <c r="F103" s="63" t="s">
        <v>332</v>
      </c>
      <c r="G103" s="833">
        <v>1</v>
      </c>
    </row>
    <row r="104" spans="1:7" x14ac:dyDescent="0.3">
      <c r="A104" s="968" t="s">
        <v>389</v>
      </c>
      <c r="B104" s="484" t="s">
        <v>2159</v>
      </c>
      <c r="C104" s="484" t="s">
        <v>1416</v>
      </c>
      <c r="D104" s="63" t="s">
        <v>3628</v>
      </c>
      <c r="E104" s="63" t="s">
        <v>328</v>
      </c>
      <c r="F104" s="63" t="s">
        <v>329</v>
      </c>
      <c r="G104" s="833">
        <v>1</v>
      </c>
    </row>
    <row r="105" spans="1:7" x14ac:dyDescent="0.3">
      <c r="A105" s="968" t="s">
        <v>496</v>
      </c>
      <c r="B105" s="484" t="s">
        <v>2146</v>
      </c>
      <c r="C105" s="484" t="s">
        <v>488</v>
      </c>
      <c r="D105" s="63" t="s">
        <v>3642</v>
      </c>
      <c r="E105" s="63" t="s">
        <v>328</v>
      </c>
      <c r="F105" s="63" t="s">
        <v>336</v>
      </c>
      <c r="G105" s="833">
        <v>1</v>
      </c>
    </row>
    <row r="106" spans="1:7" x14ac:dyDescent="0.3">
      <c r="A106" s="968" t="s">
        <v>708</v>
      </c>
      <c r="B106" s="484" t="s">
        <v>2213</v>
      </c>
      <c r="C106" s="484" t="s">
        <v>523</v>
      </c>
      <c r="D106" s="63" t="s">
        <v>3628</v>
      </c>
      <c r="E106" s="63" t="s">
        <v>328</v>
      </c>
      <c r="F106" s="63" t="s">
        <v>336</v>
      </c>
      <c r="G106" s="833">
        <v>1</v>
      </c>
    </row>
    <row r="107" spans="1:7" x14ac:dyDescent="0.3">
      <c r="A107" s="968" t="s">
        <v>1889</v>
      </c>
      <c r="B107" s="484" t="s">
        <v>16</v>
      </c>
      <c r="C107" s="484" t="s">
        <v>545</v>
      </c>
      <c r="D107" s="63" t="s">
        <v>3714</v>
      </c>
      <c r="E107" s="63" t="s">
        <v>341</v>
      </c>
      <c r="F107" s="63" t="s">
        <v>347</v>
      </c>
      <c r="G107" s="833">
        <v>1</v>
      </c>
    </row>
    <row r="108" spans="1:7" x14ac:dyDescent="0.3">
      <c r="A108" s="968" t="s">
        <v>2322</v>
      </c>
      <c r="B108" s="484" t="s">
        <v>2195</v>
      </c>
      <c r="C108" s="484" t="s">
        <v>1561</v>
      </c>
      <c r="D108" s="63" t="s">
        <v>3637</v>
      </c>
      <c r="E108" s="63" t="s">
        <v>328</v>
      </c>
      <c r="F108" s="63" t="s">
        <v>336</v>
      </c>
      <c r="G108" s="833">
        <v>1</v>
      </c>
    </row>
    <row r="109" spans="1:7" ht="28.8" x14ac:dyDescent="0.3">
      <c r="A109" s="968" t="s">
        <v>1446</v>
      </c>
      <c r="B109" s="484" t="s">
        <v>2409</v>
      </c>
      <c r="C109" s="484" t="s">
        <v>1447</v>
      </c>
      <c r="D109" s="63" t="s">
        <v>3715</v>
      </c>
      <c r="E109" s="63" t="s">
        <v>328</v>
      </c>
      <c r="F109" s="63" t="s">
        <v>329</v>
      </c>
      <c r="G109" s="833">
        <v>1</v>
      </c>
    </row>
    <row r="110" spans="1:7" ht="43.2" x14ac:dyDescent="0.3">
      <c r="A110" s="968" t="s">
        <v>628</v>
      </c>
      <c r="B110" s="484" t="s">
        <v>16</v>
      </c>
      <c r="C110" s="484" t="s">
        <v>1479</v>
      </c>
      <c r="D110" s="63" t="s">
        <v>3716</v>
      </c>
      <c r="E110" s="63" t="s">
        <v>328</v>
      </c>
      <c r="F110" s="63" t="s">
        <v>329</v>
      </c>
      <c r="G110" s="833">
        <v>1</v>
      </c>
    </row>
    <row r="111" spans="1:7" x14ac:dyDescent="0.3">
      <c r="A111" s="968" t="s">
        <v>1706</v>
      </c>
      <c r="B111" s="484" t="s">
        <v>2138</v>
      </c>
      <c r="C111" s="484" t="s">
        <v>658</v>
      </c>
      <c r="D111" s="63" t="s">
        <v>3626</v>
      </c>
      <c r="E111" s="63" t="s">
        <v>328</v>
      </c>
      <c r="F111" s="63" t="s">
        <v>336</v>
      </c>
      <c r="G111" s="833">
        <v>1</v>
      </c>
    </row>
    <row r="112" spans="1:7" ht="15" thickBot="1" x14ac:dyDescent="0.35">
      <c r="A112" s="969" t="s">
        <v>424</v>
      </c>
      <c r="B112" s="970" t="s">
        <v>2090</v>
      </c>
      <c r="C112" s="970" t="s">
        <v>460</v>
      </c>
      <c r="D112" s="971" t="s">
        <v>3626</v>
      </c>
      <c r="E112" s="971" t="s">
        <v>328</v>
      </c>
      <c r="F112" s="971" t="s">
        <v>336</v>
      </c>
      <c r="G112" s="836">
        <v>1</v>
      </c>
    </row>
    <row r="113" spans="1:7" x14ac:dyDescent="0.3">
      <c r="A113" s="60"/>
      <c r="B113" s="484"/>
      <c r="C113" s="484"/>
      <c r="D113" s="63"/>
      <c r="E113" s="63"/>
    </row>
    <row r="114" spans="1:7" x14ac:dyDescent="0.3">
      <c r="A114" s="60"/>
      <c r="B114" s="484"/>
      <c r="C114" s="484"/>
      <c r="D114" s="63"/>
      <c r="E114" s="63"/>
      <c r="F114" s="130"/>
      <c r="G114" s="130"/>
    </row>
  </sheetData>
  <autoFilter ref="A3:G3" xr:uid="{7796D1FF-9E24-4649-968F-4E442BA5D101}">
    <sortState xmlns:xlrd2="http://schemas.microsoft.com/office/spreadsheetml/2017/richdata2" ref="A4:G88">
      <sortCondition ref="A3"/>
    </sortState>
  </autoFilter>
  <customSheetViews>
    <customSheetView guid="{5F8FD084-40FB-49AA-B447-CD935F604D55}" scale="85" showAutoFilter="1" topLeftCell="A3">
      <selection activeCell="I29" sqref="I29"/>
      <pageMargins left="0.7" right="0.7" top="0.75" bottom="0.75" header="0.3" footer="0.3"/>
      <pageSetup orientation="portrait" r:id="rId1"/>
      <autoFilter ref="A3:G3" xr:uid="{AD49D17F-D86A-4037-92F9-86F289242CA8}">
        <sortState xmlns:xlrd2="http://schemas.microsoft.com/office/spreadsheetml/2017/richdata2" ref="A4:G88">
          <sortCondition ref="A3"/>
        </sortState>
      </autoFilter>
    </customSheetView>
    <customSheetView guid="{5FD7D287-AC38-49FE-8AA5-C4506E353DCC}" scale="85" showPageBreaks="1" showAutoFilter="1" topLeftCell="B11">
      <selection activeCell="J29" sqref="J29"/>
      <pageMargins left="0.7" right="0.7" top="0.75" bottom="0.75" header="0.3" footer="0.3"/>
      <pageSetup orientation="portrait" r:id="rId2"/>
      <autoFilter ref="A3:G3" xr:uid="{57B56998-E96C-429E-82C1-789254E27A71}">
        <sortState xmlns:xlrd2="http://schemas.microsoft.com/office/spreadsheetml/2017/richdata2" ref="A4:G88">
          <sortCondition ref="A3"/>
        </sortState>
      </autoFilter>
    </customSheetView>
  </customSheetViews>
  <mergeCells count="15">
    <mergeCell ref="I30:N30"/>
    <mergeCell ref="A2:G2"/>
    <mergeCell ref="J14:N14"/>
    <mergeCell ref="J15:N15"/>
    <mergeCell ref="J16:N16"/>
    <mergeCell ref="J17:N17"/>
    <mergeCell ref="J24:N24"/>
    <mergeCell ref="J25:N25"/>
    <mergeCell ref="J26:N26"/>
    <mergeCell ref="J18:N18"/>
    <mergeCell ref="J21:N21"/>
    <mergeCell ref="J22:N22"/>
    <mergeCell ref="J23:N23"/>
    <mergeCell ref="J19:N19"/>
    <mergeCell ref="J20:N20"/>
  </mergeCells>
  <conditionalFormatting sqref="A3">
    <cfRule type="duplicateValues" dxfId="4" priority="3"/>
    <cfRule type="duplicateValues" dxfId="3" priority="4"/>
  </conditionalFormatting>
  <conditionalFormatting sqref="A54:A1048576 A1:A3">
    <cfRule type="duplicateValues" dxfId="2" priority="1"/>
  </conditionalFormatting>
  <pageMargins left="0.7" right="0.7" top="0.75" bottom="0.75" header="0.3" footer="0.3"/>
  <pageSetup orientation="portrait" r:id="rId3"/>
  <drawing r:id="rId4"/>
  <legacyDrawing r:id="rId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E309EE-42F6-4DCD-B82F-F37D02D82FB5}">
  <sheetPr codeName="Sheet16">
    <tabColor theme="0" tint="-0.499984740745262"/>
  </sheetPr>
  <dimension ref="A1:N99"/>
  <sheetViews>
    <sheetView topLeftCell="A6" zoomScaleNormal="100" workbookViewId="0">
      <selection activeCell="C27" sqref="C27"/>
    </sheetView>
  </sheetViews>
  <sheetFormatPr defaultRowHeight="14.4" x14ac:dyDescent="0.3"/>
  <cols>
    <col min="1" max="1" width="51.6640625" customWidth="1"/>
    <col min="2" max="2" width="50.6640625" customWidth="1"/>
    <col min="3" max="3" width="25.109375" style="63" bestFit="1" customWidth="1"/>
    <col min="4" max="4" width="11.33203125" style="63" bestFit="1" customWidth="1"/>
    <col min="5" max="5" width="27.109375" style="63" bestFit="1" customWidth="1"/>
    <col min="6" max="6" width="6.88671875" customWidth="1"/>
    <col min="7" max="7" width="6.6640625" customWidth="1"/>
    <col min="8" max="8" width="13" customWidth="1"/>
    <col min="9" max="9" width="13.6640625" customWidth="1"/>
    <col min="11" max="11" width="40" customWidth="1"/>
    <col min="13" max="13" width="6.6640625" customWidth="1"/>
  </cols>
  <sheetData>
    <row r="1" spans="1:14" ht="18.600000000000001" customHeight="1" thickBot="1" x14ac:dyDescent="0.35">
      <c r="A1" s="1261"/>
      <c r="B1" s="1261"/>
      <c r="C1" s="1261"/>
      <c r="D1" s="1261"/>
      <c r="E1" s="1261"/>
      <c r="F1" s="66"/>
      <c r="G1" s="66"/>
      <c r="H1" s="66"/>
      <c r="I1" s="66"/>
      <c r="J1" s="66"/>
      <c r="K1" s="66"/>
      <c r="L1" s="66"/>
      <c r="M1" s="66"/>
      <c r="N1" s="66"/>
    </row>
    <row r="2" spans="1:14" ht="44.4" customHeight="1" thickBot="1" x14ac:dyDescent="0.35">
      <c r="A2" s="1262" t="s">
        <v>1008</v>
      </c>
      <c r="B2" s="1263"/>
      <c r="C2" s="1263"/>
      <c r="D2" s="1263"/>
      <c r="E2" s="1264"/>
      <c r="F2" s="66"/>
      <c r="G2" s="66"/>
      <c r="H2" s="66"/>
      <c r="I2" s="66"/>
      <c r="J2" s="66"/>
      <c r="K2" s="66"/>
      <c r="L2" s="66"/>
      <c r="M2" s="66"/>
      <c r="N2" s="66"/>
    </row>
    <row r="3" spans="1:14" ht="30" customHeight="1" thickBot="1" x14ac:dyDescent="0.35">
      <c r="A3" s="984" t="s">
        <v>1001</v>
      </c>
      <c r="B3" s="985" t="s">
        <v>1002</v>
      </c>
      <c r="C3" s="985" t="s">
        <v>296</v>
      </c>
      <c r="D3" s="986" t="s">
        <v>1005</v>
      </c>
      <c r="E3" s="987" t="s">
        <v>1006</v>
      </c>
      <c r="F3" s="66"/>
      <c r="G3" s="85"/>
      <c r="H3" s="86"/>
      <c r="I3" s="86"/>
      <c r="J3" s="86"/>
      <c r="K3" s="86"/>
      <c r="L3" s="86"/>
      <c r="M3" s="959"/>
      <c r="N3" s="66"/>
    </row>
    <row r="4" spans="1:14" x14ac:dyDescent="0.3">
      <c r="A4" s="983"/>
      <c r="B4" s="983"/>
      <c r="C4" s="484"/>
      <c r="D4" s="484"/>
      <c r="E4" s="1059"/>
      <c r="F4" s="66"/>
      <c r="G4" s="87"/>
      <c r="H4" s="88"/>
      <c r="I4" s="88"/>
      <c r="J4" s="88"/>
      <c r="K4" s="88"/>
      <c r="L4" s="88"/>
      <c r="M4" s="960"/>
      <c r="N4" s="66"/>
    </row>
    <row r="5" spans="1:14" x14ac:dyDescent="0.3">
      <c r="A5" s="1056" t="s">
        <v>1009</v>
      </c>
      <c r="B5" s="1057"/>
      <c r="C5" s="1058"/>
      <c r="D5" s="1058"/>
      <c r="E5" s="1060"/>
      <c r="F5" s="66"/>
      <c r="G5" s="87"/>
      <c r="H5" s="88"/>
      <c r="I5" s="88"/>
      <c r="J5" s="88"/>
      <c r="K5" s="88"/>
      <c r="L5" s="88"/>
      <c r="M5" s="960"/>
      <c r="N5" s="66"/>
    </row>
    <row r="6" spans="1:14" x14ac:dyDescent="0.3">
      <c r="A6" s="983" t="s">
        <v>514</v>
      </c>
      <c r="B6" s="983" t="s">
        <v>4310</v>
      </c>
      <c r="C6" s="484" t="s">
        <v>3726</v>
      </c>
      <c r="D6" s="484" t="s">
        <v>336</v>
      </c>
      <c r="E6" s="1061">
        <v>3</v>
      </c>
      <c r="F6" s="66"/>
      <c r="G6" s="87"/>
      <c r="H6" s="88"/>
      <c r="I6" s="88"/>
      <c r="J6" s="88"/>
      <c r="K6" s="88"/>
      <c r="L6" s="88"/>
      <c r="M6" s="960"/>
      <c r="N6" s="66"/>
    </row>
    <row r="7" spans="1:14" ht="15" thickBot="1" x14ac:dyDescent="0.35">
      <c r="A7" s="983" t="s">
        <v>576</v>
      </c>
      <c r="B7" s="983" t="s">
        <v>351</v>
      </c>
      <c r="C7" s="484" t="s">
        <v>3684</v>
      </c>
      <c r="D7" s="484" t="s">
        <v>336</v>
      </c>
      <c r="E7" s="1061">
        <v>2</v>
      </c>
      <c r="F7" s="66"/>
      <c r="G7" s="87"/>
      <c r="H7" s="88"/>
      <c r="I7" s="88"/>
      <c r="J7" s="88"/>
      <c r="K7" s="88"/>
      <c r="L7" s="88"/>
      <c r="M7" s="960"/>
      <c r="N7" s="66"/>
    </row>
    <row r="8" spans="1:14" ht="86.4" x14ac:dyDescent="0.3">
      <c r="A8" s="983" t="s">
        <v>460</v>
      </c>
      <c r="B8" s="983" t="s">
        <v>4318</v>
      </c>
      <c r="C8" s="484" t="s">
        <v>3657</v>
      </c>
      <c r="D8" s="484" t="s">
        <v>336</v>
      </c>
      <c r="E8" s="1061">
        <v>21</v>
      </c>
      <c r="F8" s="66"/>
      <c r="G8" s="87"/>
      <c r="H8" s="1265"/>
      <c r="I8" s="1266"/>
      <c r="J8" s="1266"/>
      <c r="K8" s="1266"/>
      <c r="L8" s="1267"/>
      <c r="M8" s="960"/>
      <c r="N8" s="66"/>
    </row>
    <row r="9" spans="1:14" x14ac:dyDescent="0.3">
      <c r="A9" s="983" t="s">
        <v>1773</v>
      </c>
      <c r="B9" s="983" t="s">
        <v>1771</v>
      </c>
      <c r="C9" s="484" t="s">
        <v>3660</v>
      </c>
      <c r="D9" s="484" t="s">
        <v>336</v>
      </c>
      <c r="E9" s="1061">
        <v>6</v>
      </c>
      <c r="F9" s="66"/>
      <c r="G9" s="87"/>
      <c r="H9" s="1185" t="s">
        <v>3621</v>
      </c>
      <c r="I9" s="1186"/>
      <c r="J9" s="1186"/>
      <c r="K9" s="1186"/>
      <c r="L9" s="1187"/>
      <c r="M9" s="960"/>
      <c r="N9" s="66"/>
    </row>
    <row r="10" spans="1:14" ht="43.2" x14ac:dyDescent="0.3">
      <c r="A10" s="983" t="s">
        <v>451</v>
      </c>
      <c r="B10" s="983" t="s">
        <v>4317</v>
      </c>
      <c r="C10" s="484" t="s">
        <v>3659</v>
      </c>
      <c r="D10" s="484" t="s">
        <v>336</v>
      </c>
      <c r="E10" s="1061">
        <v>14</v>
      </c>
      <c r="F10" s="66"/>
      <c r="G10" s="87"/>
      <c r="H10" s="792" t="s">
        <v>4260</v>
      </c>
      <c r="I10" s="106"/>
      <c r="J10" s="106"/>
      <c r="K10" s="106"/>
      <c r="L10" s="800"/>
      <c r="M10" s="960"/>
      <c r="N10" s="66"/>
    </row>
    <row r="11" spans="1:14" ht="28.8" x14ac:dyDescent="0.3">
      <c r="A11" s="983" t="s">
        <v>488</v>
      </c>
      <c r="B11" s="983" t="s">
        <v>4312</v>
      </c>
      <c r="C11" s="484" t="s">
        <v>4305</v>
      </c>
      <c r="D11" s="484" t="s">
        <v>336</v>
      </c>
      <c r="E11" s="1061">
        <v>3</v>
      </c>
      <c r="F11" s="66"/>
      <c r="G11" s="87"/>
      <c r="H11" s="990" t="s">
        <v>4261</v>
      </c>
      <c r="I11" s="105"/>
      <c r="J11" s="105"/>
      <c r="K11" s="105"/>
      <c r="L11" s="796"/>
      <c r="M11" s="960"/>
      <c r="N11" s="66"/>
    </row>
    <row r="12" spans="1:14" ht="28.8" x14ac:dyDescent="0.3">
      <c r="A12" s="983" t="s">
        <v>964</v>
      </c>
      <c r="B12" s="983" t="s">
        <v>4311</v>
      </c>
      <c r="C12" s="484" t="s">
        <v>4306</v>
      </c>
      <c r="D12" s="484" t="s">
        <v>336</v>
      </c>
      <c r="E12" s="1061">
        <v>4</v>
      </c>
      <c r="F12" s="66"/>
      <c r="G12" s="87"/>
      <c r="H12" s="990" t="s">
        <v>4263</v>
      </c>
      <c r="I12" s="105"/>
      <c r="J12" s="105"/>
      <c r="K12" s="105"/>
      <c r="L12" s="796"/>
      <c r="M12" s="960"/>
      <c r="N12" s="66"/>
    </row>
    <row r="13" spans="1:14" x14ac:dyDescent="0.3">
      <c r="A13" s="983" t="s">
        <v>502</v>
      </c>
      <c r="B13" s="983" t="s">
        <v>411</v>
      </c>
      <c r="C13" s="484" t="s">
        <v>3722</v>
      </c>
      <c r="D13" s="484" t="s">
        <v>336</v>
      </c>
      <c r="E13" s="1061">
        <v>2</v>
      </c>
      <c r="F13" s="66"/>
      <c r="G13" s="87"/>
      <c r="H13" s="844" t="s">
        <v>4262</v>
      </c>
      <c r="I13" s="66"/>
      <c r="J13" s="66"/>
      <c r="K13" s="66"/>
      <c r="L13" s="988"/>
      <c r="M13" s="960"/>
      <c r="N13" s="66"/>
    </row>
    <row r="14" spans="1:14" ht="28.8" x14ac:dyDescent="0.3">
      <c r="A14" s="983" t="s">
        <v>571</v>
      </c>
      <c r="B14" s="983" t="s">
        <v>4315</v>
      </c>
      <c r="C14" s="484" t="s">
        <v>3666</v>
      </c>
      <c r="D14" s="484" t="s">
        <v>336</v>
      </c>
      <c r="E14" s="1061">
        <v>8</v>
      </c>
      <c r="F14" s="66"/>
      <c r="G14" s="87"/>
      <c r="H14" s="844"/>
      <c r="I14" s="66"/>
      <c r="J14" s="66"/>
      <c r="K14" s="66"/>
      <c r="L14" s="988"/>
      <c r="M14" s="960"/>
      <c r="N14" s="66"/>
    </row>
    <row r="15" spans="1:14" ht="43.2" x14ac:dyDescent="0.3">
      <c r="A15" s="983" t="s">
        <v>444</v>
      </c>
      <c r="B15" s="983" t="s">
        <v>4314</v>
      </c>
      <c r="C15" s="484" t="s">
        <v>3661</v>
      </c>
      <c r="D15" s="484" t="s">
        <v>336</v>
      </c>
      <c r="E15" s="1061">
        <v>3</v>
      </c>
      <c r="F15" s="66"/>
      <c r="G15" s="87"/>
      <c r="H15" s="991"/>
      <c r="I15" s="66"/>
      <c r="J15" s="66"/>
      <c r="K15" s="66"/>
      <c r="L15" s="988"/>
      <c r="M15" s="960"/>
      <c r="N15" s="66"/>
    </row>
    <row r="16" spans="1:14" ht="14.4" customHeight="1" thickBot="1" x14ac:dyDescent="0.35">
      <c r="A16" s="983" t="s">
        <v>966</v>
      </c>
      <c r="B16" s="983" t="s">
        <v>4313</v>
      </c>
      <c r="C16" s="484" t="s">
        <v>3662</v>
      </c>
      <c r="D16" s="484" t="s">
        <v>336</v>
      </c>
      <c r="E16" s="1061">
        <v>3</v>
      </c>
      <c r="F16" s="66"/>
      <c r="G16" s="87"/>
      <c r="H16" s="862"/>
      <c r="I16" s="841"/>
      <c r="J16" s="841"/>
      <c r="K16" s="841"/>
      <c r="L16" s="989"/>
      <c r="M16" s="960"/>
      <c r="N16" s="66"/>
    </row>
    <row r="17" spans="1:14" ht="15" thickBot="1" x14ac:dyDescent="0.35">
      <c r="A17" s="983" t="s">
        <v>536</v>
      </c>
      <c r="B17" s="983" t="s">
        <v>1522</v>
      </c>
      <c r="C17" s="484" t="s">
        <v>3663</v>
      </c>
      <c r="D17" s="484" t="s">
        <v>336</v>
      </c>
      <c r="E17" s="1061">
        <v>3</v>
      </c>
      <c r="F17" s="66"/>
      <c r="G17" s="90"/>
      <c r="H17" s="91"/>
      <c r="I17" s="91"/>
      <c r="J17" s="91"/>
      <c r="K17" s="91"/>
      <c r="L17" s="91"/>
      <c r="M17" s="962"/>
      <c r="N17" s="66"/>
    </row>
    <row r="18" spans="1:14" ht="28.8" x14ac:dyDescent="0.3">
      <c r="A18" s="983" t="s">
        <v>1583</v>
      </c>
      <c r="B18" s="983" t="s">
        <v>4307</v>
      </c>
      <c r="C18" s="484" t="s">
        <v>3664</v>
      </c>
      <c r="D18" s="484" t="s">
        <v>336</v>
      </c>
      <c r="E18" s="1061">
        <v>2</v>
      </c>
      <c r="F18" s="66"/>
      <c r="G18" s="66"/>
      <c r="H18" s="66"/>
      <c r="I18" s="66"/>
      <c r="J18" s="66"/>
      <c r="K18" s="66"/>
      <c r="L18" s="66"/>
      <c r="M18" s="66"/>
      <c r="N18" s="66"/>
    </row>
    <row r="19" spans="1:14" ht="28.8" x14ac:dyDescent="0.3">
      <c r="A19" s="983" t="s">
        <v>573</v>
      </c>
      <c r="B19" s="983" t="s">
        <v>4316</v>
      </c>
      <c r="C19" s="484" t="s">
        <v>3665</v>
      </c>
      <c r="D19" s="484" t="s">
        <v>336</v>
      </c>
      <c r="E19" s="1061">
        <v>4</v>
      </c>
      <c r="F19" s="66"/>
      <c r="G19" s="66"/>
      <c r="H19" s="784"/>
      <c r="I19" s="66"/>
      <c r="J19" s="66"/>
      <c r="K19" s="66"/>
      <c r="L19" s="66"/>
      <c r="M19" s="66"/>
      <c r="N19" s="66"/>
    </row>
    <row r="20" spans="1:14" x14ac:dyDescent="0.3">
      <c r="A20" s="983" t="s">
        <v>2109</v>
      </c>
      <c r="B20" s="983" t="s">
        <v>2326</v>
      </c>
      <c r="C20" s="484" t="s">
        <v>3658</v>
      </c>
      <c r="D20" s="484" t="s">
        <v>336</v>
      </c>
      <c r="E20" s="1061">
        <v>1</v>
      </c>
      <c r="F20" s="66"/>
      <c r="G20" s="66"/>
      <c r="H20" s="66"/>
      <c r="I20" s="66"/>
      <c r="J20" s="66"/>
      <c r="K20" s="66"/>
      <c r="L20" s="66"/>
      <c r="M20" s="66"/>
      <c r="N20" s="66"/>
    </row>
    <row r="21" spans="1:14" x14ac:dyDescent="0.3">
      <c r="A21" s="983" t="s">
        <v>2255</v>
      </c>
      <c r="B21" s="983" t="s">
        <v>4308</v>
      </c>
      <c r="C21" s="484" t="s">
        <v>3667</v>
      </c>
      <c r="D21" s="484" t="s">
        <v>336</v>
      </c>
      <c r="E21" s="1061">
        <v>1</v>
      </c>
      <c r="F21" s="66"/>
      <c r="G21" s="66"/>
      <c r="H21" s="66"/>
      <c r="I21" s="66"/>
      <c r="J21" s="66"/>
      <c r="K21" s="66"/>
      <c r="L21" s="66"/>
      <c r="M21" s="66"/>
      <c r="N21" s="66"/>
    </row>
    <row r="22" spans="1:14" x14ac:dyDescent="0.3">
      <c r="A22" s="983" t="s">
        <v>436</v>
      </c>
      <c r="B22" s="983" t="s">
        <v>722</v>
      </c>
      <c r="C22" s="484" t="s">
        <v>3668</v>
      </c>
      <c r="D22" s="484" t="s">
        <v>336</v>
      </c>
      <c r="E22" s="1061">
        <v>2</v>
      </c>
      <c r="F22" s="66"/>
      <c r="G22" s="66"/>
      <c r="H22" s="66"/>
      <c r="I22" s="66"/>
      <c r="J22" s="66"/>
      <c r="K22" s="66"/>
      <c r="L22" s="66"/>
      <c r="M22" s="66"/>
      <c r="N22" s="66"/>
    </row>
    <row r="23" spans="1:14" ht="28.8" x14ac:dyDescent="0.3">
      <c r="A23" s="983" t="s">
        <v>901</v>
      </c>
      <c r="B23" s="983" t="s">
        <v>4309</v>
      </c>
      <c r="C23" s="484" t="s">
        <v>3669</v>
      </c>
      <c r="D23" s="484" t="s">
        <v>336</v>
      </c>
      <c r="E23" s="1061">
        <v>1</v>
      </c>
      <c r="F23" s="66"/>
      <c r="G23" s="66"/>
      <c r="H23" s="66"/>
      <c r="I23" s="66"/>
      <c r="J23" s="66"/>
      <c r="K23" s="66"/>
      <c r="L23" s="66"/>
      <c r="M23" s="66"/>
      <c r="N23" s="66"/>
    </row>
    <row r="24" spans="1:14" x14ac:dyDescent="0.3">
      <c r="A24" s="983" t="s">
        <v>448</v>
      </c>
      <c r="B24" s="983" t="s">
        <v>3721</v>
      </c>
      <c r="C24" s="484" t="s">
        <v>3670</v>
      </c>
      <c r="D24" s="484" t="s">
        <v>336</v>
      </c>
      <c r="E24" s="1061">
        <v>2</v>
      </c>
      <c r="F24" s="66"/>
      <c r="G24" s="66"/>
      <c r="H24" s="66"/>
      <c r="I24" s="66"/>
      <c r="J24" s="66"/>
      <c r="K24" s="66"/>
      <c r="L24" s="66"/>
      <c r="M24" s="66"/>
      <c r="N24" s="66"/>
    </row>
    <row r="25" spans="1:14" x14ac:dyDescent="0.3">
      <c r="A25" s="983" t="s">
        <v>1421</v>
      </c>
      <c r="B25" s="983" t="s">
        <v>3606</v>
      </c>
      <c r="C25" s="484" t="s">
        <v>3672</v>
      </c>
      <c r="D25" s="484" t="s">
        <v>336</v>
      </c>
      <c r="E25" s="1061">
        <v>2</v>
      </c>
      <c r="F25" s="66"/>
      <c r="G25" s="66"/>
      <c r="H25" s="66"/>
      <c r="I25" s="66"/>
      <c r="J25" s="66"/>
      <c r="K25" s="66"/>
      <c r="L25" s="66"/>
      <c r="M25" s="66"/>
      <c r="N25" s="66"/>
    </row>
    <row r="26" spans="1:14" ht="43.2" x14ac:dyDescent="0.3">
      <c r="A26" s="983" t="s">
        <v>2420</v>
      </c>
      <c r="B26" s="983" t="s">
        <v>3738</v>
      </c>
      <c r="C26" s="484" t="s">
        <v>3669</v>
      </c>
      <c r="D26" s="484" t="s">
        <v>336</v>
      </c>
      <c r="E26" s="1061">
        <v>3</v>
      </c>
      <c r="F26" s="66"/>
      <c r="G26" s="66"/>
      <c r="H26" s="66"/>
      <c r="I26" s="66"/>
      <c r="J26" s="66"/>
      <c r="K26" s="66"/>
      <c r="L26" s="66"/>
      <c r="M26" s="66"/>
      <c r="N26" s="66"/>
    </row>
    <row r="27" spans="1:14" x14ac:dyDescent="0.3">
      <c r="A27" s="983" t="s">
        <v>376</v>
      </c>
      <c r="B27" s="983" t="s">
        <v>3609</v>
      </c>
      <c r="C27" s="484" t="s">
        <v>3673</v>
      </c>
      <c r="D27" s="484" t="s">
        <v>336</v>
      </c>
      <c r="E27" s="1061">
        <v>1</v>
      </c>
      <c r="F27" s="66"/>
      <c r="G27" s="66"/>
      <c r="H27" s="66"/>
      <c r="I27" s="66"/>
      <c r="J27" s="66"/>
      <c r="K27" s="66"/>
      <c r="L27" s="66"/>
      <c r="M27" s="66"/>
      <c r="N27" s="66"/>
    </row>
    <row r="28" spans="1:14" x14ac:dyDescent="0.3">
      <c r="A28" s="983" t="s">
        <v>615</v>
      </c>
      <c r="B28" s="983" t="s">
        <v>3610</v>
      </c>
      <c r="C28" s="484" t="s">
        <v>3674</v>
      </c>
      <c r="D28" s="484" t="s">
        <v>336</v>
      </c>
      <c r="E28" s="1061">
        <v>1</v>
      </c>
      <c r="F28" s="66"/>
      <c r="G28" s="66"/>
      <c r="H28" s="66"/>
      <c r="I28" s="66"/>
      <c r="J28" s="66"/>
      <c r="K28" s="66"/>
      <c r="L28" s="66"/>
      <c r="M28" s="66"/>
      <c r="N28" s="66"/>
    </row>
    <row r="29" spans="1:14" x14ac:dyDescent="0.3">
      <c r="A29" s="983" t="s">
        <v>610</v>
      </c>
      <c r="B29" s="983" t="s">
        <v>2314</v>
      </c>
      <c r="C29" s="484" t="s">
        <v>3723</v>
      </c>
      <c r="D29" s="484" t="s">
        <v>336</v>
      </c>
      <c r="E29" s="1061">
        <v>1</v>
      </c>
      <c r="F29" s="66"/>
      <c r="G29" s="66"/>
      <c r="H29" s="66"/>
      <c r="I29" s="66"/>
      <c r="J29" s="66"/>
      <c r="K29" s="66"/>
      <c r="L29" s="66"/>
      <c r="M29" s="66"/>
      <c r="N29" s="66"/>
    </row>
    <row r="30" spans="1:14" x14ac:dyDescent="0.3">
      <c r="A30" s="983" t="s">
        <v>1504</v>
      </c>
      <c r="B30" s="983" t="s">
        <v>1502</v>
      </c>
      <c r="C30" s="484" t="s">
        <v>3661</v>
      </c>
      <c r="D30" s="484" t="s">
        <v>336</v>
      </c>
      <c r="E30" s="1061">
        <v>1</v>
      </c>
      <c r="F30" s="66"/>
      <c r="G30" s="66"/>
      <c r="H30" s="66"/>
      <c r="I30" s="66"/>
      <c r="J30" s="66"/>
      <c r="K30" s="66"/>
      <c r="L30" s="66"/>
      <c r="M30" s="66"/>
      <c r="N30" s="66"/>
    </row>
    <row r="31" spans="1:14" ht="28.8" x14ac:dyDescent="0.3">
      <c r="A31" s="983" t="s">
        <v>1373</v>
      </c>
      <c r="B31" s="983" t="s">
        <v>3724</v>
      </c>
      <c r="C31" s="484" t="s">
        <v>3725</v>
      </c>
      <c r="D31" s="484" t="s">
        <v>336</v>
      </c>
      <c r="E31" s="1061">
        <v>1</v>
      </c>
      <c r="F31" s="66"/>
      <c r="G31" s="66"/>
      <c r="H31" s="66"/>
      <c r="I31" s="66"/>
      <c r="J31" s="66"/>
      <c r="K31" s="66"/>
      <c r="L31" s="66"/>
      <c r="M31" s="66"/>
      <c r="N31" s="66"/>
    </row>
    <row r="32" spans="1:14" x14ac:dyDescent="0.3">
      <c r="A32" s="983" t="s">
        <v>695</v>
      </c>
      <c r="B32" s="983" t="s">
        <v>1849</v>
      </c>
      <c r="C32" s="484" t="s">
        <v>3667</v>
      </c>
      <c r="D32" s="484" t="s">
        <v>336</v>
      </c>
      <c r="E32" s="1061">
        <v>1</v>
      </c>
      <c r="F32" s="66"/>
      <c r="G32" s="66"/>
      <c r="H32" s="66"/>
      <c r="I32" s="66"/>
      <c r="J32" s="66"/>
      <c r="K32" s="66"/>
      <c r="L32" s="66"/>
      <c r="M32" s="66"/>
      <c r="N32" s="66"/>
    </row>
    <row r="33" spans="1:14" ht="28.8" x14ac:dyDescent="0.3">
      <c r="A33" s="983" t="s">
        <v>1683</v>
      </c>
      <c r="B33" s="983" t="s">
        <v>3727</v>
      </c>
      <c r="C33" s="484" t="s">
        <v>3670</v>
      </c>
      <c r="D33" s="484" t="s">
        <v>336</v>
      </c>
      <c r="E33" s="1061">
        <v>1</v>
      </c>
      <c r="F33" s="66"/>
      <c r="G33" s="66"/>
      <c r="H33" s="66"/>
      <c r="I33" s="66"/>
      <c r="J33" s="66"/>
      <c r="K33" s="66"/>
      <c r="L33" s="66"/>
      <c r="M33" s="66"/>
      <c r="N33" s="66"/>
    </row>
    <row r="34" spans="1:14" x14ac:dyDescent="0.3">
      <c r="A34" s="983" t="s">
        <v>704</v>
      </c>
      <c r="B34" s="983" t="s">
        <v>1596</v>
      </c>
      <c r="C34" s="484" t="s">
        <v>3728</v>
      </c>
      <c r="D34" s="484" t="s">
        <v>336</v>
      </c>
      <c r="E34" s="1061">
        <v>1</v>
      </c>
      <c r="F34" s="66"/>
      <c r="G34" s="66"/>
      <c r="H34" s="66"/>
      <c r="I34" s="66"/>
      <c r="J34" s="66"/>
      <c r="K34" s="66"/>
      <c r="L34" s="66"/>
      <c r="M34" s="66"/>
      <c r="N34" s="66"/>
    </row>
    <row r="35" spans="1:14" x14ac:dyDescent="0.3">
      <c r="A35" s="983" t="s">
        <v>482</v>
      </c>
      <c r="B35" s="983" t="s">
        <v>2239</v>
      </c>
      <c r="C35" s="484" t="s">
        <v>3729</v>
      </c>
      <c r="D35" s="484" t="s">
        <v>336</v>
      </c>
      <c r="E35" s="1061">
        <v>1</v>
      </c>
      <c r="F35" s="66"/>
      <c r="G35" s="66"/>
      <c r="H35" s="66"/>
      <c r="I35" s="66"/>
      <c r="J35" s="66"/>
      <c r="K35" s="66"/>
      <c r="L35" s="66"/>
      <c r="M35" s="66"/>
      <c r="N35" s="66"/>
    </row>
    <row r="36" spans="1:14" x14ac:dyDescent="0.3">
      <c r="A36" s="983" t="s">
        <v>635</v>
      </c>
      <c r="B36" s="983" t="s">
        <v>2324</v>
      </c>
      <c r="C36" s="484" t="s">
        <v>3730</v>
      </c>
      <c r="D36" s="484" t="s">
        <v>336</v>
      </c>
      <c r="E36" s="1061">
        <v>1</v>
      </c>
      <c r="F36" s="66"/>
      <c r="G36" s="66"/>
      <c r="H36" s="66"/>
      <c r="I36" s="66"/>
      <c r="J36" s="66"/>
      <c r="K36" s="66"/>
      <c r="L36" s="66"/>
      <c r="M36" s="66"/>
      <c r="N36" s="66"/>
    </row>
    <row r="37" spans="1:14" x14ac:dyDescent="0.3">
      <c r="A37" s="983" t="s">
        <v>889</v>
      </c>
      <c r="B37" s="983" t="s">
        <v>3731</v>
      </c>
      <c r="C37" s="484" t="s">
        <v>3732</v>
      </c>
      <c r="D37" s="484" t="s">
        <v>336</v>
      </c>
      <c r="E37" s="1061">
        <v>1</v>
      </c>
      <c r="F37" s="66"/>
      <c r="G37" s="66"/>
      <c r="H37" s="66"/>
      <c r="I37" s="66"/>
      <c r="J37" s="66"/>
      <c r="K37" s="66"/>
      <c r="L37" s="66"/>
      <c r="M37" s="66"/>
      <c r="N37" s="66"/>
    </row>
    <row r="38" spans="1:14" ht="28.8" x14ac:dyDescent="0.3">
      <c r="A38" s="983" t="s">
        <v>523</v>
      </c>
      <c r="B38" s="983" t="s">
        <v>3737</v>
      </c>
      <c r="C38" s="484" t="s">
        <v>3733</v>
      </c>
      <c r="D38" s="484" t="s">
        <v>336</v>
      </c>
      <c r="E38" s="1061">
        <v>3</v>
      </c>
      <c r="F38" s="66"/>
      <c r="G38" s="66"/>
      <c r="H38" s="66"/>
      <c r="I38" s="66"/>
      <c r="J38" s="66"/>
      <c r="K38" s="66"/>
      <c r="L38" s="66"/>
      <c r="M38" s="66"/>
      <c r="N38" s="66"/>
    </row>
    <row r="39" spans="1:14" x14ac:dyDescent="0.3">
      <c r="A39" s="983" t="s">
        <v>1855</v>
      </c>
      <c r="B39" s="983" t="s">
        <v>1854</v>
      </c>
      <c r="C39" s="484" t="s">
        <v>3669</v>
      </c>
      <c r="D39" s="484" t="s">
        <v>336</v>
      </c>
      <c r="E39" s="1061">
        <v>1</v>
      </c>
      <c r="F39" s="66"/>
      <c r="G39" s="66"/>
      <c r="H39" s="66"/>
      <c r="I39" s="66"/>
      <c r="J39" s="66"/>
      <c r="K39" s="66"/>
      <c r="L39" s="66"/>
      <c r="M39" s="66"/>
      <c r="N39" s="66"/>
    </row>
    <row r="40" spans="1:14" x14ac:dyDescent="0.3">
      <c r="A40" s="983" t="s">
        <v>665</v>
      </c>
      <c r="B40" s="983" t="s">
        <v>397</v>
      </c>
      <c r="C40" s="484" t="s">
        <v>3683</v>
      </c>
      <c r="D40" s="484" t="s">
        <v>336</v>
      </c>
      <c r="E40" s="1061">
        <v>1</v>
      </c>
      <c r="F40" s="66"/>
      <c r="G40" s="66"/>
      <c r="H40" s="66"/>
      <c r="I40" s="66"/>
      <c r="J40" s="66"/>
      <c r="K40" s="66"/>
      <c r="L40" s="66"/>
      <c r="M40" s="66"/>
      <c r="N40" s="66"/>
    </row>
    <row r="41" spans="1:14" x14ac:dyDescent="0.3">
      <c r="A41" s="983" t="s">
        <v>1561</v>
      </c>
      <c r="B41" s="983" t="s">
        <v>3735</v>
      </c>
      <c r="C41" s="484" t="s">
        <v>3677</v>
      </c>
      <c r="D41" s="484" t="s">
        <v>336</v>
      </c>
      <c r="E41" s="1061">
        <v>1</v>
      </c>
      <c r="F41" s="66"/>
      <c r="G41" s="66"/>
      <c r="H41" s="66"/>
      <c r="I41" s="66"/>
      <c r="J41" s="66"/>
      <c r="K41" s="66"/>
      <c r="L41" s="66"/>
      <c r="M41" s="66"/>
      <c r="N41" s="66"/>
    </row>
    <row r="42" spans="1:14" x14ac:dyDescent="0.3">
      <c r="A42" s="983" t="s">
        <v>658</v>
      </c>
      <c r="B42" s="983" t="s">
        <v>3736</v>
      </c>
      <c r="C42" s="484" t="s">
        <v>3657</v>
      </c>
      <c r="D42" s="484" t="s">
        <v>336</v>
      </c>
      <c r="E42" s="1061">
        <v>1</v>
      </c>
      <c r="F42" s="66"/>
      <c r="G42" s="66"/>
      <c r="H42" s="66"/>
      <c r="I42" s="66"/>
      <c r="J42" s="66"/>
      <c r="K42" s="66"/>
      <c r="L42" s="66"/>
      <c r="M42" s="66"/>
      <c r="N42" s="66"/>
    </row>
    <row r="43" spans="1:14" ht="28.8" x14ac:dyDescent="0.3">
      <c r="A43" s="1056" t="s">
        <v>4319</v>
      </c>
      <c r="B43" s="1057"/>
      <c r="C43" s="1058"/>
      <c r="D43" s="1058"/>
      <c r="E43" s="1062" t="s">
        <v>4320</v>
      </c>
      <c r="F43" s="66"/>
      <c r="G43" s="66"/>
      <c r="H43" s="66"/>
      <c r="I43" s="66"/>
      <c r="J43" s="66"/>
      <c r="K43" s="66"/>
      <c r="L43" s="66"/>
      <c r="M43" s="66"/>
      <c r="N43" s="66"/>
    </row>
    <row r="44" spans="1:14" x14ac:dyDescent="0.3">
      <c r="A44" s="983"/>
      <c r="B44" s="983"/>
      <c r="C44" s="484"/>
      <c r="D44" s="484"/>
      <c r="E44" s="1061"/>
      <c r="F44" s="66"/>
      <c r="G44" s="66"/>
      <c r="H44" s="66"/>
      <c r="I44" s="66"/>
      <c r="J44" s="66"/>
      <c r="K44" s="66"/>
      <c r="L44" s="66"/>
      <c r="M44" s="66"/>
      <c r="N44" s="66"/>
    </row>
    <row r="45" spans="1:14" x14ac:dyDescent="0.3">
      <c r="A45" s="1056" t="s">
        <v>1010</v>
      </c>
      <c r="B45" s="1057"/>
      <c r="C45" s="1058"/>
      <c r="D45" s="1058"/>
      <c r="E45" s="1060"/>
      <c r="F45" s="66"/>
      <c r="G45" s="66"/>
      <c r="H45" s="66"/>
      <c r="I45" s="66"/>
      <c r="J45" s="66"/>
      <c r="K45" s="66"/>
      <c r="L45" s="66"/>
      <c r="M45" s="66"/>
      <c r="N45" s="66"/>
    </row>
    <row r="46" spans="1:14" x14ac:dyDescent="0.3">
      <c r="A46" s="983" t="s">
        <v>1999</v>
      </c>
      <c r="B46" s="983" t="s">
        <v>2093</v>
      </c>
      <c r="C46" s="484" t="s">
        <v>3680</v>
      </c>
      <c r="D46" s="484" t="s">
        <v>332</v>
      </c>
      <c r="E46" s="1061">
        <v>3</v>
      </c>
      <c r="F46" s="66"/>
      <c r="G46" s="66"/>
      <c r="H46" s="66"/>
      <c r="I46" s="66"/>
      <c r="J46" s="66"/>
      <c r="K46" s="66"/>
      <c r="L46" s="66"/>
      <c r="M46" s="66"/>
      <c r="N46" s="66"/>
    </row>
    <row r="47" spans="1:14" x14ac:dyDescent="0.3">
      <c r="A47" s="983" t="s">
        <v>578</v>
      </c>
      <c r="B47" s="983" t="s">
        <v>744</v>
      </c>
      <c r="C47" s="484" t="s">
        <v>3677</v>
      </c>
      <c r="D47" s="484" t="s">
        <v>332</v>
      </c>
      <c r="E47" s="1061">
        <v>3</v>
      </c>
      <c r="F47" s="66"/>
      <c r="G47" s="66"/>
      <c r="H47" s="66"/>
      <c r="I47" s="66"/>
      <c r="J47" s="66"/>
      <c r="K47" s="66"/>
      <c r="L47" s="66"/>
      <c r="M47" s="66"/>
      <c r="N47" s="66"/>
    </row>
    <row r="48" spans="1:14" x14ac:dyDescent="0.3">
      <c r="A48" s="983" t="s">
        <v>4221</v>
      </c>
      <c r="B48" s="983" t="s">
        <v>4086</v>
      </c>
      <c r="C48" s="484" t="s">
        <v>3666</v>
      </c>
      <c r="D48" s="484" t="s">
        <v>332</v>
      </c>
      <c r="E48" s="1061">
        <v>1</v>
      </c>
      <c r="F48" s="66"/>
      <c r="G48" s="66"/>
      <c r="H48" s="66"/>
      <c r="I48" s="66"/>
      <c r="J48" s="66"/>
      <c r="K48" s="66"/>
      <c r="L48" s="66"/>
      <c r="M48" s="66"/>
      <c r="N48" s="66"/>
    </row>
    <row r="49" spans="1:14" x14ac:dyDescent="0.3">
      <c r="A49" s="983" t="s">
        <v>2311</v>
      </c>
      <c r="B49" s="983" t="s">
        <v>322</v>
      </c>
      <c r="C49" s="484" t="s">
        <v>3679</v>
      </c>
      <c r="D49" s="484" t="s">
        <v>332</v>
      </c>
      <c r="E49" s="1061">
        <v>8</v>
      </c>
      <c r="F49" s="66"/>
      <c r="G49" s="66"/>
      <c r="H49" s="66"/>
      <c r="I49" s="66"/>
      <c r="J49" s="66"/>
      <c r="K49" s="66"/>
      <c r="L49" s="66"/>
      <c r="M49" s="66"/>
      <c r="N49" s="66"/>
    </row>
    <row r="50" spans="1:14" x14ac:dyDescent="0.3">
      <c r="A50" s="983" t="s">
        <v>1992</v>
      </c>
      <c r="B50" s="983" t="s">
        <v>3607</v>
      </c>
      <c r="C50" s="484" t="s">
        <v>3675</v>
      </c>
      <c r="D50" s="484" t="s">
        <v>332</v>
      </c>
      <c r="E50" s="1061">
        <v>3</v>
      </c>
      <c r="F50" s="66"/>
      <c r="G50" s="66"/>
      <c r="H50" s="66"/>
      <c r="I50" s="66"/>
      <c r="J50" s="66"/>
      <c r="K50" s="66"/>
      <c r="L50" s="66"/>
      <c r="M50" s="66"/>
      <c r="N50" s="66"/>
    </row>
    <row r="51" spans="1:14" ht="28.8" x14ac:dyDescent="0.3">
      <c r="A51" s="983" t="s">
        <v>1816</v>
      </c>
      <c r="B51" s="983" t="s">
        <v>3611</v>
      </c>
      <c r="C51" s="484" t="s">
        <v>3676</v>
      </c>
      <c r="D51" s="484" t="s">
        <v>332</v>
      </c>
      <c r="E51" s="1061">
        <v>13</v>
      </c>
      <c r="F51" s="66"/>
      <c r="G51" s="66"/>
      <c r="H51" s="66"/>
      <c r="I51" s="66"/>
      <c r="J51" s="66"/>
      <c r="K51" s="66"/>
      <c r="L51" s="66"/>
      <c r="M51" s="66"/>
      <c r="N51" s="66"/>
    </row>
    <row r="52" spans="1:14" x14ac:dyDescent="0.3">
      <c r="A52" s="983" t="s">
        <v>2004</v>
      </c>
      <c r="B52" s="983" t="s">
        <v>602</v>
      </c>
      <c r="C52" s="484" t="s">
        <v>3669</v>
      </c>
      <c r="D52" s="484" t="s">
        <v>332</v>
      </c>
      <c r="E52" s="1061">
        <v>3</v>
      </c>
      <c r="F52" s="66"/>
      <c r="G52" s="66"/>
      <c r="H52" s="66"/>
      <c r="I52" s="66"/>
      <c r="J52" s="66"/>
      <c r="K52" s="66"/>
      <c r="L52" s="66"/>
      <c r="M52" s="66"/>
      <c r="N52" s="66"/>
    </row>
    <row r="53" spans="1:14" x14ac:dyDescent="0.3">
      <c r="A53" s="983" t="s">
        <v>1804</v>
      </c>
      <c r="B53" s="983" t="s">
        <v>4321</v>
      </c>
      <c r="C53" s="484" t="s">
        <v>3662</v>
      </c>
      <c r="D53" s="484" t="s">
        <v>332</v>
      </c>
      <c r="E53" s="1061">
        <v>2</v>
      </c>
      <c r="F53" s="66"/>
      <c r="G53" s="66"/>
      <c r="H53" s="66"/>
      <c r="I53" s="66"/>
      <c r="J53" s="66"/>
      <c r="K53" s="66"/>
      <c r="L53" s="66"/>
      <c r="M53" s="66"/>
      <c r="N53" s="66"/>
    </row>
    <row r="54" spans="1:14" x14ac:dyDescent="0.3">
      <c r="A54" s="983" t="s">
        <v>1355</v>
      </c>
      <c r="B54" s="983" t="s">
        <v>2156</v>
      </c>
      <c r="C54" s="484" t="s">
        <v>3734</v>
      </c>
      <c r="D54" s="484" t="s">
        <v>332</v>
      </c>
      <c r="E54" s="1061">
        <v>3</v>
      </c>
      <c r="F54" s="66"/>
      <c r="G54" s="66"/>
      <c r="H54" s="66"/>
      <c r="I54" s="66"/>
      <c r="J54" s="66"/>
      <c r="K54" s="66"/>
      <c r="L54" s="66"/>
      <c r="M54" s="66"/>
      <c r="N54" s="66"/>
    </row>
    <row r="55" spans="1:14" x14ac:dyDescent="0.3">
      <c r="A55" s="983" t="s">
        <v>474</v>
      </c>
      <c r="B55" s="983" t="s">
        <v>1898</v>
      </c>
      <c r="C55" s="484" t="s">
        <v>3681</v>
      </c>
      <c r="D55" s="484" t="s">
        <v>332</v>
      </c>
      <c r="E55" s="1061">
        <v>7</v>
      </c>
      <c r="F55" s="66"/>
      <c r="G55" s="66"/>
      <c r="H55" s="66"/>
      <c r="I55" s="66"/>
      <c r="J55" s="66"/>
      <c r="K55" s="66"/>
      <c r="L55" s="66"/>
      <c r="M55" s="66"/>
      <c r="N55" s="66"/>
    </row>
    <row r="56" spans="1:14" x14ac:dyDescent="0.3">
      <c r="A56" s="983" t="s">
        <v>1792</v>
      </c>
      <c r="B56" s="983" t="s">
        <v>4323</v>
      </c>
      <c r="C56" s="484" t="s">
        <v>3675</v>
      </c>
      <c r="D56" s="484" t="s">
        <v>332</v>
      </c>
      <c r="E56" s="1061">
        <v>2</v>
      </c>
      <c r="F56" s="66"/>
      <c r="G56" s="66"/>
      <c r="H56" s="66"/>
      <c r="I56" s="66"/>
      <c r="J56" s="66"/>
      <c r="K56" s="66"/>
      <c r="L56" s="66"/>
      <c r="M56" s="66"/>
      <c r="N56" s="66"/>
    </row>
    <row r="57" spans="1:14" x14ac:dyDescent="0.3">
      <c r="A57" s="983" t="s">
        <v>1412</v>
      </c>
      <c r="B57" s="983" t="s">
        <v>4322</v>
      </c>
      <c r="C57" s="484" t="s">
        <v>3678</v>
      </c>
      <c r="D57" s="484" t="s">
        <v>332</v>
      </c>
      <c r="E57" s="1061">
        <v>2</v>
      </c>
      <c r="F57" s="66"/>
      <c r="G57" s="66"/>
      <c r="H57" s="66"/>
      <c r="I57" s="66"/>
      <c r="J57" s="66"/>
      <c r="K57" s="66"/>
      <c r="L57" s="66"/>
      <c r="M57" s="66"/>
      <c r="N57" s="66"/>
    </row>
    <row r="58" spans="1:14" x14ac:dyDescent="0.3">
      <c r="A58" s="983" t="s">
        <v>639</v>
      </c>
      <c r="B58" s="983" t="s">
        <v>403</v>
      </c>
      <c r="C58" s="484" t="s">
        <v>3669</v>
      </c>
      <c r="D58" s="484" t="s">
        <v>332</v>
      </c>
      <c r="E58" s="1061">
        <v>4</v>
      </c>
      <c r="F58" s="66"/>
      <c r="G58" s="66"/>
      <c r="H58" s="66"/>
      <c r="I58" s="66"/>
      <c r="J58" s="66"/>
      <c r="K58" s="66"/>
      <c r="L58" s="66"/>
      <c r="M58" s="66"/>
      <c r="N58" s="66"/>
    </row>
    <row r="59" spans="1:14" x14ac:dyDescent="0.3">
      <c r="A59" s="983" t="s">
        <v>1870</v>
      </c>
      <c r="B59" s="983" t="s">
        <v>1868</v>
      </c>
      <c r="C59" s="484" t="s">
        <v>3662</v>
      </c>
      <c r="D59" s="484" t="s">
        <v>332</v>
      </c>
      <c r="E59" s="1061">
        <v>2</v>
      </c>
      <c r="F59" s="66"/>
      <c r="G59" s="66"/>
      <c r="H59" s="66"/>
      <c r="I59" s="66"/>
      <c r="J59" s="66"/>
      <c r="K59" s="66"/>
      <c r="L59" s="66"/>
      <c r="M59" s="66"/>
      <c r="N59" s="66"/>
    </row>
    <row r="60" spans="1:14" x14ac:dyDescent="0.3">
      <c r="A60" s="983" t="s">
        <v>594</v>
      </c>
      <c r="B60" s="983" t="s">
        <v>3608</v>
      </c>
      <c r="C60" s="484" t="s">
        <v>3680</v>
      </c>
      <c r="D60" s="484" t="s">
        <v>332</v>
      </c>
      <c r="E60" s="1061">
        <v>2</v>
      </c>
      <c r="F60" s="66"/>
      <c r="G60" s="66"/>
      <c r="H60" s="66"/>
      <c r="I60" s="66"/>
      <c r="J60" s="66"/>
      <c r="K60" s="66"/>
      <c r="L60" s="66"/>
      <c r="M60" s="66"/>
      <c r="N60" s="66"/>
    </row>
    <row r="61" spans="1:14" x14ac:dyDescent="0.3">
      <c r="A61" s="983" t="s">
        <v>1826</v>
      </c>
      <c r="B61" s="983" t="s">
        <v>309</v>
      </c>
      <c r="C61" s="484" t="s">
        <v>3739</v>
      </c>
      <c r="D61" s="484" t="s">
        <v>332</v>
      </c>
      <c r="E61" s="1061">
        <v>3</v>
      </c>
      <c r="F61" s="66"/>
      <c r="G61" s="66"/>
      <c r="H61" s="66"/>
      <c r="I61" s="66"/>
      <c r="J61" s="66"/>
      <c r="K61" s="66"/>
      <c r="L61" s="66"/>
      <c r="M61" s="66"/>
      <c r="N61" s="66"/>
    </row>
    <row r="62" spans="1:14" x14ac:dyDescent="0.3">
      <c r="A62" s="983" t="s">
        <v>562</v>
      </c>
      <c r="B62" s="983" t="s">
        <v>3740</v>
      </c>
      <c r="C62" s="484" t="s">
        <v>3657</v>
      </c>
      <c r="D62" s="484" t="s">
        <v>332</v>
      </c>
      <c r="E62" s="1061">
        <v>1</v>
      </c>
      <c r="F62" s="66"/>
      <c r="G62" s="66"/>
      <c r="H62" s="66"/>
      <c r="I62" s="66"/>
      <c r="J62" s="66"/>
      <c r="K62" s="66"/>
      <c r="L62" s="66"/>
      <c r="M62" s="66"/>
      <c r="N62" s="66"/>
    </row>
    <row r="63" spans="1:14" x14ac:dyDescent="0.3">
      <c r="A63" s="1056" t="s">
        <v>4324</v>
      </c>
      <c r="B63" s="1057"/>
      <c r="C63" s="1058"/>
      <c r="D63" s="1058"/>
      <c r="E63" s="1062" t="s">
        <v>4325</v>
      </c>
      <c r="F63" s="66"/>
      <c r="G63" s="66"/>
      <c r="H63" s="66"/>
      <c r="I63" s="66"/>
      <c r="J63" s="66"/>
      <c r="K63" s="66"/>
      <c r="L63" s="66"/>
      <c r="M63" s="66"/>
      <c r="N63" s="66"/>
    </row>
    <row r="64" spans="1:14" x14ac:dyDescent="0.3">
      <c r="A64" s="983"/>
      <c r="B64" s="983"/>
      <c r="C64" s="484"/>
      <c r="D64" s="484"/>
      <c r="E64" s="1061"/>
      <c r="F64" s="66"/>
      <c r="G64" s="66"/>
      <c r="H64" s="66"/>
      <c r="I64" s="66"/>
      <c r="J64" s="66"/>
      <c r="K64" s="66"/>
      <c r="L64" s="66"/>
      <c r="M64" s="66"/>
      <c r="N64" s="66"/>
    </row>
    <row r="65" spans="1:14" x14ac:dyDescent="0.3">
      <c r="A65" s="1056" t="s">
        <v>1011</v>
      </c>
      <c r="B65" s="1057"/>
      <c r="C65" s="1058"/>
      <c r="D65" s="1058"/>
      <c r="E65" s="1060"/>
      <c r="F65" s="66"/>
      <c r="G65" s="66"/>
      <c r="H65" s="66"/>
      <c r="I65" s="66"/>
      <c r="J65" s="66"/>
      <c r="K65" s="66"/>
      <c r="L65" s="66"/>
      <c r="M65" s="66"/>
      <c r="N65" s="66"/>
    </row>
    <row r="66" spans="1:14" ht="43.2" x14ac:dyDescent="0.3">
      <c r="A66" s="983" t="s">
        <v>1486</v>
      </c>
      <c r="B66" s="983" t="s">
        <v>4327</v>
      </c>
      <c r="C66" s="484" t="s">
        <v>3671</v>
      </c>
      <c r="D66" s="484" t="s">
        <v>329</v>
      </c>
      <c r="E66" s="1061">
        <v>4</v>
      </c>
      <c r="F66" s="66"/>
      <c r="G66" s="66"/>
      <c r="H66" s="66"/>
      <c r="I66" s="66"/>
      <c r="J66" s="66"/>
      <c r="K66" s="66"/>
      <c r="L66" s="66"/>
      <c r="M66" s="66"/>
      <c r="N66" s="66"/>
    </row>
    <row r="67" spans="1:14" ht="28.8" x14ac:dyDescent="0.3">
      <c r="A67" s="983" t="s">
        <v>1471</v>
      </c>
      <c r="B67" s="983" t="s">
        <v>4328</v>
      </c>
      <c r="C67" s="484" t="s">
        <v>3682</v>
      </c>
      <c r="D67" s="484" t="s">
        <v>329</v>
      </c>
      <c r="E67" s="1061">
        <v>14</v>
      </c>
      <c r="F67" s="66"/>
      <c r="G67" s="66"/>
      <c r="H67" s="66"/>
      <c r="I67" s="66"/>
      <c r="J67" s="66"/>
      <c r="K67" s="66"/>
      <c r="L67" s="66"/>
      <c r="M67" s="66"/>
      <c r="N67" s="66"/>
    </row>
    <row r="68" spans="1:14" ht="28.8" x14ac:dyDescent="0.3">
      <c r="A68" s="983" t="s">
        <v>606</v>
      </c>
      <c r="B68" s="983" t="s">
        <v>4329</v>
      </c>
      <c r="C68" s="484" t="s">
        <v>3669</v>
      </c>
      <c r="D68" s="484" t="s">
        <v>329</v>
      </c>
      <c r="E68" s="1061">
        <v>11</v>
      </c>
      <c r="F68" s="66"/>
      <c r="G68" s="66"/>
      <c r="H68" s="66"/>
      <c r="I68" s="66"/>
      <c r="J68" s="66"/>
      <c r="K68" s="66"/>
      <c r="L68" s="66"/>
      <c r="M68" s="66"/>
      <c r="N68" s="66"/>
    </row>
    <row r="69" spans="1:14" x14ac:dyDescent="0.3">
      <c r="A69" s="983" t="s">
        <v>3916</v>
      </c>
      <c r="B69" s="983" t="s">
        <v>3913</v>
      </c>
      <c r="C69" s="484" t="s">
        <v>4326</v>
      </c>
      <c r="D69" s="484" t="s">
        <v>329</v>
      </c>
      <c r="E69" s="1061">
        <v>1</v>
      </c>
      <c r="F69" s="66"/>
      <c r="G69" s="66"/>
      <c r="H69" s="66"/>
      <c r="I69" s="66"/>
      <c r="J69" s="66"/>
      <c r="K69" s="66"/>
      <c r="L69" s="66"/>
      <c r="M69" s="66"/>
      <c r="N69" s="66"/>
    </row>
    <row r="70" spans="1:14" ht="28.8" x14ac:dyDescent="0.3">
      <c r="A70" s="983" t="s">
        <v>1476</v>
      </c>
      <c r="B70" s="983" t="s">
        <v>354</v>
      </c>
      <c r="C70" s="484" t="s">
        <v>3683</v>
      </c>
      <c r="D70" s="484" t="s">
        <v>329</v>
      </c>
      <c r="E70" s="1061">
        <v>1</v>
      </c>
      <c r="F70" s="66"/>
      <c r="G70" s="66"/>
      <c r="H70" s="66"/>
      <c r="I70" s="66"/>
      <c r="J70" s="66"/>
      <c r="K70" s="66"/>
      <c r="L70" s="66"/>
      <c r="M70" s="66"/>
      <c r="N70" s="66"/>
    </row>
    <row r="71" spans="1:14" ht="28.8" x14ac:dyDescent="0.3">
      <c r="A71" s="983" t="s">
        <v>1459</v>
      </c>
      <c r="B71" s="983" t="s">
        <v>356</v>
      </c>
      <c r="C71" s="484" t="s">
        <v>3671</v>
      </c>
      <c r="D71" s="484" t="s">
        <v>329</v>
      </c>
      <c r="E71" s="1061">
        <v>2</v>
      </c>
      <c r="F71" s="66"/>
      <c r="G71" s="66"/>
      <c r="H71" s="66"/>
      <c r="I71" s="66"/>
      <c r="J71" s="66"/>
      <c r="K71" s="66"/>
      <c r="L71" s="66"/>
      <c r="M71" s="66"/>
      <c r="N71" s="66"/>
    </row>
    <row r="72" spans="1:14" x14ac:dyDescent="0.3">
      <c r="A72" s="983" t="s">
        <v>767</v>
      </c>
      <c r="B72" s="983" t="s">
        <v>343</v>
      </c>
      <c r="C72" s="484" t="s">
        <v>3684</v>
      </c>
      <c r="D72" s="484" t="s">
        <v>329</v>
      </c>
      <c r="E72" s="1061">
        <v>1</v>
      </c>
      <c r="F72" s="66"/>
      <c r="G72" s="66"/>
      <c r="H72" s="66"/>
      <c r="I72" s="66"/>
      <c r="J72" s="66"/>
      <c r="K72" s="66"/>
      <c r="L72" s="66"/>
      <c r="M72" s="66"/>
      <c r="N72" s="66"/>
    </row>
    <row r="73" spans="1:14" ht="28.8" x14ac:dyDescent="0.3">
      <c r="A73" s="983" t="s">
        <v>1416</v>
      </c>
      <c r="B73" s="983" t="s">
        <v>3748</v>
      </c>
      <c r="C73" s="484" t="s">
        <v>3658</v>
      </c>
      <c r="D73" s="484" t="s">
        <v>329</v>
      </c>
      <c r="E73" s="1061">
        <v>2</v>
      </c>
      <c r="F73" s="66"/>
      <c r="G73" s="66"/>
      <c r="H73" s="66"/>
      <c r="I73" s="66"/>
      <c r="J73" s="66"/>
      <c r="K73" s="66"/>
      <c r="L73" s="66"/>
      <c r="M73" s="66"/>
      <c r="N73" s="66"/>
    </row>
    <row r="74" spans="1:14" ht="28.8" x14ac:dyDescent="0.3">
      <c r="A74" s="983" t="s">
        <v>1721</v>
      </c>
      <c r="B74" s="983" t="s">
        <v>1719</v>
      </c>
      <c r="C74" s="484" t="s">
        <v>3685</v>
      </c>
      <c r="D74" s="484" t="s">
        <v>329</v>
      </c>
      <c r="E74" s="1061">
        <v>2</v>
      </c>
      <c r="F74" s="66"/>
      <c r="G74" s="66"/>
      <c r="H74" s="66"/>
      <c r="I74" s="66"/>
      <c r="J74" s="66"/>
      <c r="K74" s="66"/>
      <c r="L74" s="66"/>
      <c r="M74" s="66"/>
      <c r="N74" s="66"/>
    </row>
    <row r="75" spans="1:14" x14ac:dyDescent="0.3">
      <c r="A75" s="983" t="s">
        <v>661</v>
      </c>
      <c r="B75" s="983" t="s">
        <v>660</v>
      </c>
      <c r="C75" s="484" t="s">
        <v>3741</v>
      </c>
      <c r="D75" s="484" t="s">
        <v>329</v>
      </c>
      <c r="E75" s="1061">
        <v>1</v>
      </c>
      <c r="F75" s="66"/>
      <c r="G75" s="66"/>
      <c r="H75" s="66"/>
      <c r="I75" s="66"/>
      <c r="J75" s="66"/>
      <c r="K75" s="66"/>
      <c r="L75" s="66"/>
      <c r="M75" s="66"/>
      <c r="N75" s="66"/>
    </row>
    <row r="76" spans="1:14" ht="28.8" x14ac:dyDescent="0.3">
      <c r="A76" s="983" t="s">
        <v>1781</v>
      </c>
      <c r="B76" s="983" t="s">
        <v>3742</v>
      </c>
      <c r="C76" s="484" t="s">
        <v>3725</v>
      </c>
      <c r="D76" s="484" t="s">
        <v>329</v>
      </c>
      <c r="E76" s="1061">
        <v>2</v>
      </c>
      <c r="F76" s="66"/>
      <c r="G76" s="66"/>
      <c r="H76" s="66"/>
      <c r="I76" s="66"/>
      <c r="J76" s="66"/>
      <c r="K76" s="66"/>
      <c r="L76" s="66"/>
      <c r="M76" s="66"/>
      <c r="N76" s="66"/>
    </row>
    <row r="77" spans="1:14" x14ac:dyDescent="0.3">
      <c r="A77" s="983" t="s">
        <v>1831</v>
      </c>
      <c r="B77" s="983" t="s">
        <v>3743</v>
      </c>
      <c r="C77" s="484" t="s">
        <v>3744</v>
      </c>
      <c r="D77" s="484" t="s">
        <v>329</v>
      </c>
      <c r="E77" s="1061">
        <v>1</v>
      </c>
      <c r="F77" s="66"/>
      <c r="G77" s="66"/>
      <c r="H77" s="66"/>
      <c r="I77" s="66"/>
      <c r="J77" s="66"/>
      <c r="K77" s="66"/>
      <c r="L77" s="66"/>
      <c r="M77" s="66"/>
      <c r="N77" s="66"/>
    </row>
    <row r="78" spans="1:14" ht="28.8" x14ac:dyDescent="0.3">
      <c r="A78" s="983" t="s">
        <v>1447</v>
      </c>
      <c r="B78" s="983" t="s">
        <v>3745</v>
      </c>
      <c r="C78" s="484" t="s">
        <v>3746</v>
      </c>
      <c r="D78" s="484" t="s">
        <v>329</v>
      </c>
      <c r="E78" s="1061">
        <v>1</v>
      </c>
      <c r="F78" s="66"/>
      <c r="G78" s="66"/>
      <c r="H78" s="66"/>
      <c r="I78" s="66"/>
      <c r="J78" s="66"/>
      <c r="K78" s="66"/>
      <c r="L78" s="66"/>
      <c r="M78" s="66"/>
      <c r="N78" s="66"/>
    </row>
    <row r="79" spans="1:14" ht="28.8" x14ac:dyDescent="0.3">
      <c r="A79" s="983" t="s">
        <v>1479</v>
      </c>
      <c r="B79" s="983" t="s">
        <v>628</v>
      </c>
      <c r="C79" s="484" t="s">
        <v>3747</v>
      </c>
      <c r="D79" s="484" t="s">
        <v>329</v>
      </c>
      <c r="E79" s="1061">
        <v>1</v>
      </c>
      <c r="F79" s="66"/>
      <c r="G79" s="66"/>
      <c r="H79" s="66"/>
      <c r="I79" s="66"/>
      <c r="J79" s="66"/>
      <c r="K79" s="66"/>
      <c r="L79" s="66"/>
      <c r="M79" s="66"/>
      <c r="N79" s="66"/>
    </row>
    <row r="80" spans="1:14" x14ac:dyDescent="0.3">
      <c r="A80" s="1056" t="s">
        <v>4330</v>
      </c>
      <c r="B80" s="1057"/>
      <c r="C80" s="1058"/>
      <c r="D80" s="1058"/>
      <c r="E80" s="1062" t="s">
        <v>4331</v>
      </c>
      <c r="F80" s="66"/>
      <c r="G80" s="66"/>
      <c r="H80" s="66"/>
      <c r="I80" s="66"/>
      <c r="J80" s="66"/>
      <c r="K80" s="66"/>
      <c r="L80" s="66"/>
      <c r="M80" s="66"/>
      <c r="N80" s="66"/>
    </row>
    <row r="81" spans="1:14" x14ac:dyDescent="0.3">
      <c r="A81" s="983"/>
      <c r="B81" s="983"/>
      <c r="C81" s="484"/>
      <c r="D81" s="484"/>
      <c r="E81" s="1061"/>
      <c r="F81" s="66"/>
      <c r="G81" s="66"/>
      <c r="H81" s="66"/>
      <c r="I81" s="66"/>
      <c r="J81" s="66"/>
      <c r="K81" s="66"/>
      <c r="L81" s="66"/>
      <c r="M81" s="66"/>
      <c r="N81" s="66"/>
    </row>
    <row r="82" spans="1:14" x14ac:dyDescent="0.3">
      <c r="A82" s="1056" t="s">
        <v>3750</v>
      </c>
      <c r="B82" s="1057"/>
      <c r="C82" s="1058"/>
      <c r="D82" s="1058"/>
      <c r="E82" s="1060"/>
      <c r="F82" s="66"/>
      <c r="G82" s="66"/>
      <c r="H82" s="66"/>
      <c r="I82" s="66"/>
      <c r="J82" s="66"/>
      <c r="K82" s="66"/>
      <c r="L82" s="66"/>
      <c r="M82" s="66"/>
      <c r="N82" s="66"/>
    </row>
    <row r="83" spans="1:14" ht="28.8" x14ac:dyDescent="0.3">
      <c r="A83" s="983" t="s">
        <v>927</v>
      </c>
      <c r="B83" s="983" t="s">
        <v>3749</v>
      </c>
      <c r="C83" s="484" t="s">
        <v>4332</v>
      </c>
      <c r="D83" s="484" t="s">
        <v>342</v>
      </c>
      <c r="E83" s="1061">
        <v>1</v>
      </c>
      <c r="F83" s="66"/>
      <c r="G83" s="66"/>
      <c r="H83" s="66"/>
      <c r="I83" s="66"/>
      <c r="J83" s="66"/>
      <c r="K83" s="66"/>
      <c r="L83" s="66"/>
      <c r="M83" s="66"/>
      <c r="N83" s="66"/>
    </row>
    <row r="84" spans="1:14" x14ac:dyDescent="0.3">
      <c r="A84" s="1056" t="s">
        <v>3751</v>
      </c>
      <c r="B84" s="1057"/>
      <c r="C84" s="1058"/>
      <c r="D84" s="1058"/>
      <c r="E84" s="1062" t="s">
        <v>3752</v>
      </c>
      <c r="F84" s="66"/>
      <c r="G84" s="66"/>
      <c r="H84" s="66"/>
      <c r="I84" s="66"/>
      <c r="J84" s="66"/>
      <c r="K84" s="66"/>
      <c r="L84" s="66"/>
      <c r="M84" s="66"/>
      <c r="N84" s="66"/>
    </row>
    <row r="85" spans="1:14" x14ac:dyDescent="0.3">
      <c r="A85" s="983"/>
      <c r="B85" s="983"/>
      <c r="C85" s="484"/>
      <c r="D85" s="484"/>
      <c r="E85" s="1061"/>
      <c r="F85" s="66"/>
      <c r="G85" s="66"/>
      <c r="H85" s="66"/>
      <c r="I85" s="66"/>
      <c r="J85" s="66"/>
      <c r="K85" s="66"/>
      <c r="L85" s="66"/>
      <c r="M85" s="66"/>
      <c r="N85" s="66"/>
    </row>
    <row r="86" spans="1:14" x14ac:dyDescent="0.3">
      <c r="A86" s="1056" t="s">
        <v>1012</v>
      </c>
      <c r="B86" s="1057"/>
      <c r="C86" s="1058"/>
      <c r="D86" s="1058"/>
      <c r="E86" s="1060"/>
      <c r="F86" s="66"/>
      <c r="G86" s="66"/>
      <c r="H86" s="66"/>
      <c r="I86" s="66"/>
      <c r="J86" s="66"/>
      <c r="K86" s="66"/>
      <c r="L86" s="66"/>
      <c r="M86" s="66"/>
      <c r="N86" s="66"/>
    </row>
    <row r="87" spans="1:14" x14ac:dyDescent="0.3">
      <c r="A87" s="983" t="s">
        <v>3897</v>
      </c>
      <c r="B87" s="983" t="s">
        <v>4333</v>
      </c>
      <c r="C87" s="484" t="s">
        <v>4334</v>
      </c>
      <c r="D87" s="484" t="s">
        <v>347</v>
      </c>
      <c r="E87" s="1061">
        <v>1</v>
      </c>
      <c r="F87" s="66"/>
      <c r="G87" s="66"/>
      <c r="H87" s="66"/>
      <c r="I87" s="66"/>
      <c r="J87" s="66"/>
      <c r="K87" s="66"/>
      <c r="L87" s="66"/>
      <c r="M87" s="66"/>
      <c r="N87" s="66"/>
    </row>
    <row r="88" spans="1:14" x14ac:dyDescent="0.3">
      <c r="A88" s="983" t="s">
        <v>3955</v>
      </c>
      <c r="B88" s="983" t="s">
        <v>2308</v>
      </c>
      <c r="C88" s="484" t="s">
        <v>3686</v>
      </c>
      <c r="D88" s="484" t="s">
        <v>347</v>
      </c>
      <c r="E88" s="1061">
        <v>4</v>
      </c>
      <c r="F88" s="66"/>
      <c r="G88" s="66"/>
      <c r="H88" s="66"/>
      <c r="I88" s="66"/>
      <c r="J88" s="66"/>
      <c r="K88" s="66"/>
      <c r="L88" s="66"/>
      <c r="M88" s="66"/>
      <c r="N88" s="66"/>
    </row>
    <row r="89" spans="1:14" x14ac:dyDescent="0.3">
      <c r="A89" s="983" t="s">
        <v>2310</v>
      </c>
      <c r="B89" s="983" t="s">
        <v>2309</v>
      </c>
      <c r="C89" s="484" t="s">
        <v>3687</v>
      </c>
      <c r="D89" s="484" t="s">
        <v>347</v>
      </c>
      <c r="E89" s="1061">
        <v>2</v>
      </c>
      <c r="M89" s="66"/>
      <c r="N89" s="66"/>
    </row>
    <row r="90" spans="1:14" ht="28.8" x14ac:dyDescent="0.3">
      <c r="A90" s="983" t="s">
        <v>1541</v>
      </c>
      <c r="B90" s="983" t="s">
        <v>2132</v>
      </c>
      <c r="C90" s="484" t="s">
        <v>4335</v>
      </c>
      <c r="D90" s="484" t="s">
        <v>347</v>
      </c>
      <c r="E90" s="1061">
        <v>1</v>
      </c>
    </row>
    <row r="91" spans="1:14" x14ac:dyDescent="0.3">
      <c r="A91" s="983" t="s">
        <v>4156</v>
      </c>
      <c r="B91" s="983" t="s">
        <v>1570</v>
      </c>
      <c r="C91" s="484" t="s">
        <v>3753</v>
      </c>
      <c r="D91" s="484" t="s">
        <v>347</v>
      </c>
      <c r="E91" s="1061">
        <v>1</v>
      </c>
    </row>
    <row r="92" spans="1:14" x14ac:dyDescent="0.3">
      <c r="A92" s="983" t="s">
        <v>545</v>
      </c>
      <c r="B92" s="983" t="s">
        <v>1889</v>
      </c>
      <c r="C92" s="484" t="s">
        <v>3754</v>
      </c>
      <c r="D92" s="484" t="s">
        <v>347</v>
      </c>
      <c r="E92" s="1061">
        <v>1</v>
      </c>
    </row>
    <row r="93" spans="1:14" ht="28.8" x14ac:dyDescent="0.3">
      <c r="A93" s="1056" t="s">
        <v>4336</v>
      </c>
      <c r="B93" s="1057"/>
      <c r="C93" s="1058"/>
      <c r="D93" s="1058"/>
      <c r="E93" s="1062" t="s">
        <v>4337</v>
      </c>
    </row>
    <row r="94" spans="1:14" x14ac:dyDescent="0.3">
      <c r="A94" s="983"/>
      <c r="B94" s="983"/>
      <c r="C94" s="484"/>
      <c r="D94" s="484"/>
      <c r="E94" s="1061"/>
    </row>
    <row r="95" spans="1:14" x14ac:dyDescent="0.3">
      <c r="A95" s="1056" t="s">
        <v>3756</v>
      </c>
      <c r="B95" s="1057"/>
      <c r="C95" s="1058"/>
      <c r="D95" s="1058"/>
      <c r="E95" s="1060"/>
    </row>
    <row r="96" spans="1:14" ht="28.8" x14ac:dyDescent="0.3">
      <c r="A96" s="983" t="s">
        <v>1614</v>
      </c>
      <c r="B96" s="983" t="s">
        <v>3755</v>
      </c>
      <c r="C96" s="484" t="s">
        <v>4338</v>
      </c>
      <c r="D96" s="484" t="s">
        <v>379</v>
      </c>
      <c r="E96" s="1061">
        <v>1</v>
      </c>
    </row>
    <row r="97" spans="1:5" ht="28.8" x14ac:dyDescent="0.3">
      <c r="A97" s="1056" t="s">
        <v>3757</v>
      </c>
      <c r="B97" s="1057"/>
      <c r="C97" s="1058"/>
      <c r="D97" s="1058"/>
      <c r="E97" s="1062" t="s">
        <v>3758</v>
      </c>
    </row>
    <row r="98" spans="1:5" x14ac:dyDescent="0.3">
      <c r="A98" s="983"/>
      <c r="B98" s="983"/>
      <c r="C98" s="484"/>
      <c r="D98" s="484"/>
      <c r="E98" s="1061"/>
    </row>
    <row r="99" spans="1:5" x14ac:dyDescent="0.3">
      <c r="A99" s="1063" t="s">
        <v>4339</v>
      </c>
      <c r="B99" s="1064"/>
      <c r="C99" s="1065"/>
      <c r="D99" s="1065"/>
      <c r="E99" s="1066" t="s">
        <v>4340</v>
      </c>
    </row>
  </sheetData>
  <customSheetViews>
    <customSheetView guid="{5F8FD084-40FB-49AA-B447-CD935F604D55}" scale="78">
      <selection activeCell="A92" sqref="A92:E92"/>
      <pageMargins left="0.7" right="0.7" top="0.75" bottom="0.75" header="0.3" footer="0.3"/>
      <pageSetup orientation="portrait" r:id="rId1"/>
    </customSheetView>
    <customSheetView guid="{5FD7D287-AC38-49FE-8AA5-C4506E353DCC}" scale="78" showPageBreaks="1" showAutoFilter="1" topLeftCell="A4">
      <selection activeCell="F10" sqref="F10"/>
      <pageMargins left="0.7" right="0.7" top="0.75" bottom="0.75" header="0.3" footer="0.3"/>
      <pageSetup orientation="portrait" r:id="rId2"/>
      <autoFilter ref="A61:E73" xr:uid="{D41E38BA-62F4-426F-A358-559BE4981E8F}"/>
    </customSheetView>
  </customSheetViews>
  <mergeCells count="4">
    <mergeCell ref="A1:E1"/>
    <mergeCell ref="A2:E2"/>
    <mergeCell ref="H9:L9"/>
    <mergeCell ref="H8:L8"/>
  </mergeCells>
  <conditionalFormatting sqref="A63:A1048576 A1:A3">
    <cfRule type="duplicateValues" dxfId="1" priority="5"/>
  </conditionalFormatting>
  <conditionalFormatting sqref="A63:A1048576">
    <cfRule type="duplicateValues" dxfId="0" priority="4"/>
  </conditionalFormatting>
  <pageMargins left="0.7" right="0.7" top="0.75" bottom="0.75" header="0.3" footer="0.3"/>
  <pageSetup orientation="portrait" r:id="rId3"/>
  <drawing r:id="rId4"/>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B4AF93-5055-48ED-B113-84C57DDE6718}">
  <sheetPr codeName="Sheet2">
    <tabColor theme="2" tint="-0.499984740745262"/>
  </sheetPr>
  <dimension ref="A2:O48"/>
  <sheetViews>
    <sheetView zoomScaleNormal="100" workbookViewId="0">
      <selection activeCell="P57" sqref="P57"/>
    </sheetView>
  </sheetViews>
  <sheetFormatPr defaultColWidth="12.33203125" defaultRowHeight="13.2" x14ac:dyDescent="0.25"/>
  <cols>
    <col min="1" max="1" width="14.109375" style="387" customWidth="1"/>
    <col min="2" max="2" width="16.44140625" style="153" customWidth="1"/>
    <col min="3" max="3" width="18.5546875" style="153" customWidth="1"/>
    <col min="4" max="16384" width="12.33203125" style="153"/>
  </cols>
  <sheetData>
    <row r="2" spans="1:15" ht="25.5" customHeight="1" x14ac:dyDescent="0.25">
      <c r="A2" s="607" t="s">
        <v>2288</v>
      </c>
      <c r="B2" s="608"/>
      <c r="C2" s="609"/>
      <c r="D2" s="385"/>
      <c r="E2" s="698" t="s">
        <v>3759</v>
      </c>
      <c r="F2" s="1268" t="s">
        <v>4063</v>
      </c>
      <c r="G2" s="1268"/>
      <c r="H2" s="1268"/>
      <c r="I2" s="1268"/>
      <c r="J2" s="1268"/>
      <c r="K2" s="1268"/>
      <c r="L2" s="1268"/>
      <c r="M2" s="1268"/>
      <c r="N2" s="1268"/>
      <c r="O2" s="1268"/>
    </row>
    <row r="3" spans="1:15" ht="27.6" x14ac:dyDescent="0.25">
      <c r="A3" s="513" t="s">
        <v>2289</v>
      </c>
      <c r="B3" s="513" t="s">
        <v>2290</v>
      </c>
      <c r="C3" s="513" t="s">
        <v>2291</v>
      </c>
      <c r="D3" s="385"/>
      <c r="E3" s="477"/>
      <c r="F3" s="1269"/>
      <c r="G3" s="1269"/>
      <c r="H3" s="1269"/>
      <c r="I3" s="1269"/>
      <c r="J3" s="1269"/>
      <c r="K3" s="1269"/>
      <c r="L3" s="1269"/>
      <c r="M3" s="1269"/>
      <c r="N3" s="1269"/>
      <c r="O3" s="1269"/>
    </row>
    <row r="4" spans="1:15" ht="20.399999999999999" customHeight="1" x14ac:dyDescent="0.25">
      <c r="A4" s="496">
        <v>1988</v>
      </c>
      <c r="B4" s="509">
        <v>30</v>
      </c>
      <c r="C4" s="491">
        <v>30</v>
      </c>
      <c r="D4" s="385"/>
      <c r="F4" s="1269"/>
      <c r="G4" s="1269"/>
      <c r="H4" s="1269"/>
      <c r="I4" s="1269"/>
      <c r="J4" s="1269"/>
      <c r="K4" s="1269"/>
      <c r="L4" s="1269"/>
      <c r="M4" s="1269"/>
      <c r="N4" s="1269"/>
      <c r="O4" s="1269"/>
    </row>
    <row r="5" spans="1:15" ht="13.8" x14ac:dyDescent="0.25">
      <c r="A5" s="497"/>
      <c r="B5" s="510">
        <v>20</v>
      </c>
      <c r="C5" s="492">
        <f t="shared" ref="C5:C11" si="0">C6-B6</f>
        <v>50</v>
      </c>
      <c r="D5" s="385"/>
      <c r="E5" s="699" t="s">
        <v>4220</v>
      </c>
      <c r="F5" s="699"/>
      <c r="G5" s="699"/>
      <c r="H5" s="699"/>
      <c r="I5" s="385"/>
      <c r="J5" s="385"/>
      <c r="K5" s="385"/>
      <c r="L5" s="385"/>
      <c r="M5" s="385"/>
      <c r="N5" s="385"/>
      <c r="O5" s="385"/>
    </row>
    <row r="6" spans="1:15" ht="13.8" x14ac:dyDescent="0.25">
      <c r="A6" s="497">
        <v>1990</v>
      </c>
      <c r="B6" s="510">
        <v>12</v>
      </c>
      <c r="C6" s="492">
        <f t="shared" si="0"/>
        <v>62</v>
      </c>
      <c r="D6" s="385"/>
      <c r="E6" s="385"/>
      <c r="F6" s="385"/>
      <c r="G6" s="385"/>
      <c r="H6" s="385"/>
      <c r="I6" s="385"/>
      <c r="J6" s="385"/>
      <c r="K6" s="385"/>
      <c r="L6" s="385"/>
      <c r="M6" s="385"/>
      <c r="N6" s="385"/>
      <c r="O6" s="385"/>
    </row>
    <row r="7" spans="1:15" ht="13.8" x14ac:dyDescent="0.25">
      <c r="A7" s="497"/>
      <c r="B7" s="510">
        <v>26</v>
      </c>
      <c r="C7" s="492">
        <f t="shared" si="0"/>
        <v>88</v>
      </c>
      <c r="D7" s="385"/>
      <c r="E7" s="385"/>
      <c r="F7" s="385"/>
      <c r="G7" s="385"/>
      <c r="H7" s="385"/>
      <c r="I7" s="385"/>
      <c r="J7" s="385"/>
      <c r="K7" s="385"/>
      <c r="L7" s="385"/>
      <c r="M7" s="385"/>
      <c r="N7" s="385"/>
      <c r="O7" s="385"/>
    </row>
    <row r="8" spans="1:15" ht="13.8" x14ac:dyDescent="0.25">
      <c r="A8" s="497">
        <v>1992</v>
      </c>
      <c r="B8" s="510">
        <v>33</v>
      </c>
      <c r="C8" s="492">
        <f t="shared" si="0"/>
        <v>121</v>
      </c>
      <c r="D8" s="385"/>
      <c r="E8" s="385"/>
      <c r="F8" s="385"/>
      <c r="G8" s="385"/>
      <c r="H8" s="385"/>
      <c r="I8" s="385"/>
      <c r="J8" s="385"/>
      <c r="K8" s="385"/>
      <c r="L8" s="385"/>
      <c r="M8" s="385"/>
      <c r="N8" s="385"/>
      <c r="O8" s="385"/>
    </row>
    <row r="9" spans="1:15" ht="13.8" x14ac:dyDescent="0.25">
      <c r="A9" s="497"/>
      <c r="B9" s="510">
        <v>61</v>
      </c>
      <c r="C9" s="492">
        <f t="shared" si="0"/>
        <v>182</v>
      </c>
      <c r="D9" s="385"/>
      <c r="E9" s="385"/>
      <c r="F9" s="385"/>
      <c r="G9" s="385"/>
      <c r="H9" s="385"/>
      <c r="I9" s="385"/>
      <c r="J9" s="385"/>
      <c r="K9" s="385"/>
      <c r="L9" s="385"/>
      <c r="M9" s="385"/>
      <c r="N9" s="385"/>
      <c r="O9" s="385"/>
    </row>
    <row r="10" spans="1:15" ht="13.8" x14ac:dyDescent="0.25">
      <c r="A10" s="497">
        <v>1994</v>
      </c>
      <c r="B10" s="510">
        <v>35</v>
      </c>
      <c r="C10" s="492">
        <f t="shared" si="0"/>
        <v>217</v>
      </c>
      <c r="D10" s="385"/>
      <c r="E10" s="385"/>
      <c r="F10" s="385"/>
      <c r="G10" s="385"/>
      <c r="H10" s="385"/>
      <c r="I10" s="385"/>
      <c r="J10" s="385"/>
      <c r="K10" s="385"/>
      <c r="L10" s="385"/>
      <c r="M10" s="385"/>
      <c r="N10" s="385"/>
      <c r="O10" s="385"/>
    </row>
    <row r="11" spans="1:15" ht="13.8" x14ac:dyDescent="0.25">
      <c r="A11" s="497"/>
      <c r="B11" s="510">
        <v>24</v>
      </c>
      <c r="C11" s="492">
        <f t="shared" si="0"/>
        <v>241</v>
      </c>
      <c r="D11" s="385"/>
      <c r="E11" s="385"/>
      <c r="F11" s="385"/>
      <c r="G11" s="385"/>
      <c r="H11" s="385"/>
      <c r="I11" s="385"/>
      <c r="J11" s="385"/>
      <c r="K11" s="385"/>
      <c r="L11" s="385"/>
      <c r="M11" s="385"/>
      <c r="N11" s="385"/>
      <c r="O11" s="385"/>
    </row>
    <row r="12" spans="1:15" ht="14.4" x14ac:dyDescent="0.3">
      <c r="A12" s="497">
        <v>1996</v>
      </c>
      <c r="B12" s="510">
        <v>32</v>
      </c>
      <c r="C12" s="492">
        <v>273</v>
      </c>
      <c r="D12" s="697" t="s">
        <v>1976</v>
      </c>
      <c r="E12" s="385"/>
      <c r="F12" s="385"/>
      <c r="G12" s="385"/>
      <c r="H12" s="385"/>
      <c r="I12" s="385"/>
      <c r="J12" s="385"/>
      <c r="K12" s="385"/>
      <c r="L12" s="385"/>
      <c r="M12" s="385"/>
      <c r="N12" s="385"/>
      <c r="O12" s="385"/>
    </row>
    <row r="13" spans="1:15" ht="13.8" x14ac:dyDescent="0.25">
      <c r="A13" s="497"/>
      <c r="B13" s="510">
        <v>24</v>
      </c>
      <c r="C13" s="492">
        <f>C14-B14</f>
        <v>332</v>
      </c>
      <c r="D13" s="385"/>
      <c r="E13" s="385"/>
      <c r="F13" s="385"/>
      <c r="G13" s="385"/>
      <c r="H13" s="385"/>
      <c r="I13" s="385"/>
      <c r="J13" s="385"/>
      <c r="K13" s="385"/>
      <c r="L13" s="385"/>
      <c r="M13" s="385"/>
      <c r="N13" s="385"/>
      <c r="O13" s="385"/>
    </row>
    <row r="14" spans="1:15" ht="13.8" x14ac:dyDescent="0.25">
      <c r="A14" s="497">
        <v>1998</v>
      </c>
      <c r="B14" s="510">
        <v>23</v>
      </c>
      <c r="C14" s="492">
        <f t="shared" ref="C14:C23" si="1">C15-B15</f>
        <v>355</v>
      </c>
      <c r="D14" s="385"/>
      <c r="E14" s="385"/>
      <c r="F14" s="385"/>
      <c r="G14" s="385"/>
      <c r="H14" s="385"/>
      <c r="I14" s="385"/>
      <c r="J14" s="385"/>
      <c r="K14" s="385"/>
      <c r="L14" s="385"/>
      <c r="M14" s="385"/>
      <c r="N14" s="385"/>
      <c r="O14" s="385"/>
    </row>
    <row r="15" spans="1:15" ht="13.8" x14ac:dyDescent="0.25">
      <c r="A15" s="497"/>
      <c r="B15" s="510">
        <v>32</v>
      </c>
      <c r="C15" s="492">
        <f t="shared" si="1"/>
        <v>387</v>
      </c>
      <c r="D15" s="385"/>
      <c r="E15" s="385"/>
      <c r="F15" s="385"/>
      <c r="G15" s="385"/>
      <c r="H15" s="385"/>
      <c r="I15" s="385"/>
      <c r="J15" s="385"/>
      <c r="K15" s="385"/>
      <c r="L15" s="385"/>
      <c r="M15" s="385"/>
      <c r="N15" s="385"/>
      <c r="O15" s="385"/>
    </row>
    <row r="16" spans="1:15" ht="13.8" x14ac:dyDescent="0.25">
      <c r="A16" s="497">
        <v>2000</v>
      </c>
      <c r="B16" s="510">
        <v>47</v>
      </c>
      <c r="C16" s="492">
        <f t="shared" si="1"/>
        <v>434</v>
      </c>
      <c r="D16" s="385"/>
      <c r="E16" s="385"/>
      <c r="F16" s="385"/>
      <c r="G16" s="385"/>
      <c r="H16" s="385"/>
      <c r="I16" s="385"/>
      <c r="J16" s="385"/>
      <c r="K16" s="385"/>
      <c r="L16" s="385"/>
      <c r="M16" s="385"/>
      <c r="N16" s="385"/>
      <c r="O16" s="385"/>
    </row>
    <row r="17" spans="1:15" ht="13.8" x14ac:dyDescent="0.25">
      <c r="A17" s="497"/>
      <c r="B17" s="510">
        <v>40</v>
      </c>
      <c r="C17" s="492">
        <f t="shared" si="1"/>
        <v>474</v>
      </c>
      <c r="D17" s="385"/>
      <c r="E17" s="385"/>
      <c r="F17" s="385"/>
      <c r="G17" s="385"/>
      <c r="H17" s="385"/>
      <c r="I17" s="385"/>
      <c r="J17" s="385"/>
      <c r="K17" s="385"/>
      <c r="L17" s="385"/>
      <c r="M17" s="385"/>
      <c r="N17" s="385"/>
      <c r="O17" s="385"/>
    </row>
    <row r="18" spans="1:15" ht="13.8" x14ac:dyDescent="0.25">
      <c r="A18" s="497">
        <v>2002</v>
      </c>
      <c r="B18" s="510">
        <v>38</v>
      </c>
      <c r="C18" s="492">
        <f>C19-B19</f>
        <v>512</v>
      </c>
      <c r="D18" s="385"/>
      <c r="E18" s="385"/>
      <c r="F18" s="385"/>
      <c r="G18" s="385"/>
      <c r="H18" s="385"/>
      <c r="I18" s="385"/>
      <c r="J18" s="385"/>
      <c r="K18" s="385"/>
      <c r="L18" s="385"/>
      <c r="M18" s="385"/>
      <c r="N18" s="385"/>
      <c r="O18" s="385"/>
    </row>
    <row r="19" spans="1:15" ht="13.8" x14ac:dyDescent="0.25">
      <c r="A19" s="497"/>
      <c r="B19" s="510">
        <v>54</v>
      </c>
      <c r="C19" s="492">
        <f t="shared" si="1"/>
        <v>566</v>
      </c>
      <c r="D19" s="385"/>
      <c r="E19" s="385"/>
      <c r="F19" s="385"/>
      <c r="G19" s="385"/>
      <c r="H19" s="385"/>
      <c r="I19" s="385"/>
      <c r="J19" s="385"/>
      <c r="K19" s="385"/>
      <c r="L19" s="385"/>
      <c r="M19" s="385"/>
      <c r="N19" s="385"/>
      <c r="O19" s="385"/>
    </row>
    <row r="20" spans="1:15" ht="13.8" x14ac:dyDescent="0.25">
      <c r="A20" s="497">
        <v>2004</v>
      </c>
      <c r="B20" s="510">
        <v>55</v>
      </c>
      <c r="C20" s="492">
        <f t="shared" si="1"/>
        <v>621</v>
      </c>
      <c r="D20" s="385"/>
      <c r="E20" s="385"/>
      <c r="F20" s="385"/>
      <c r="G20" s="385"/>
      <c r="H20" s="385"/>
      <c r="I20" s="385"/>
      <c r="J20" s="385"/>
      <c r="K20" s="385"/>
      <c r="L20" s="385"/>
      <c r="M20" s="385"/>
      <c r="N20" s="385"/>
      <c r="O20" s="385"/>
    </row>
    <row r="21" spans="1:15" ht="13.8" x14ac:dyDescent="0.25">
      <c r="A21" s="497"/>
      <c r="B21" s="510">
        <v>52</v>
      </c>
      <c r="C21" s="492">
        <f t="shared" si="1"/>
        <v>673</v>
      </c>
      <c r="D21" s="385"/>
      <c r="E21" s="385"/>
      <c r="F21" s="385"/>
      <c r="G21" s="385"/>
      <c r="H21" s="385"/>
      <c r="I21" s="385"/>
      <c r="J21" s="385"/>
      <c r="K21" s="385"/>
      <c r="L21" s="385"/>
      <c r="M21" s="385"/>
      <c r="N21" s="385"/>
      <c r="O21" s="385"/>
    </row>
    <row r="22" spans="1:15" ht="13.8" x14ac:dyDescent="0.25">
      <c r="A22" s="497">
        <v>2006</v>
      </c>
      <c r="B22" s="510">
        <v>67</v>
      </c>
      <c r="C22" s="492">
        <f t="shared" si="1"/>
        <v>740</v>
      </c>
      <c r="D22" s="385"/>
      <c r="E22" s="385"/>
      <c r="F22" s="385"/>
      <c r="G22" s="385"/>
      <c r="H22" s="385"/>
      <c r="I22" s="385"/>
      <c r="J22" s="385"/>
      <c r="K22" s="385"/>
      <c r="L22" s="385"/>
      <c r="M22" s="385"/>
      <c r="N22" s="385"/>
      <c r="O22" s="385"/>
    </row>
    <row r="23" spans="1:15" ht="13.8" x14ac:dyDescent="0.25">
      <c r="A23" s="497"/>
      <c r="B23" s="510">
        <v>58</v>
      </c>
      <c r="C23" s="492">
        <f t="shared" si="1"/>
        <v>798</v>
      </c>
      <c r="D23" s="385"/>
      <c r="E23" s="385"/>
      <c r="F23" s="385"/>
      <c r="G23" s="385"/>
      <c r="H23" s="385"/>
      <c r="I23" s="385"/>
      <c r="J23" s="385"/>
      <c r="K23" s="385"/>
      <c r="L23" s="385"/>
      <c r="M23" s="385"/>
      <c r="N23" s="385"/>
      <c r="O23" s="385"/>
    </row>
    <row r="24" spans="1:15" ht="13.8" x14ac:dyDescent="0.25">
      <c r="A24" s="497">
        <v>2008</v>
      </c>
      <c r="B24" s="510">
        <v>75</v>
      </c>
      <c r="C24" s="492">
        <f>C25-B25</f>
        <v>873</v>
      </c>
      <c r="D24" s="385"/>
      <c r="E24" s="385"/>
      <c r="F24" s="385"/>
      <c r="G24" s="385"/>
      <c r="H24" s="385"/>
      <c r="I24" s="385"/>
      <c r="J24" s="385"/>
      <c r="K24" s="385"/>
      <c r="L24" s="385"/>
      <c r="M24" s="385"/>
      <c r="N24" s="385"/>
      <c r="O24" s="385"/>
    </row>
    <row r="25" spans="1:15" ht="13.8" x14ac:dyDescent="0.25">
      <c r="A25" s="497"/>
      <c r="B25" s="510">
        <v>52</v>
      </c>
      <c r="C25" s="492">
        <v>925</v>
      </c>
      <c r="D25" s="385"/>
      <c r="E25" s="385"/>
      <c r="F25" s="385"/>
      <c r="G25" s="385"/>
      <c r="H25" s="385"/>
      <c r="I25" s="385"/>
      <c r="J25" s="385"/>
      <c r="K25" s="385"/>
      <c r="L25" s="385"/>
      <c r="M25" s="385"/>
      <c r="N25" s="385"/>
      <c r="O25" s="385"/>
    </row>
    <row r="26" spans="1:15" ht="13.8" x14ac:dyDescent="0.25">
      <c r="A26" s="497">
        <v>2010</v>
      </c>
      <c r="B26" s="510">
        <v>45</v>
      </c>
      <c r="C26" s="492">
        <f>C25+B26</f>
        <v>970</v>
      </c>
      <c r="D26" s="385"/>
      <c r="E26" s="385"/>
      <c r="F26" s="385"/>
      <c r="G26" s="385"/>
      <c r="H26" s="385"/>
      <c r="I26" s="385"/>
      <c r="J26" s="385"/>
      <c r="K26" s="385"/>
      <c r="L26" s="385"/>
      <c r="M26" s="385"/>
      <c r="N26" s="385"/>
      <c r="O26" s="385"/>
    </row>
    <row r="27" spans="1:15" ht="13.8" x14ac:dyDescent="0.25">
      <c r="A27" s="497"/>
      <c r="B27" s="510">
        <v>75</v>
      </c>
      <c r="C27" s="492">
        <f t="shared" ref="C27:C40" si="2">C26+B27</f>
        <v>1045</v>
      </c>
      <c r="D27" s="385"/>
      <c r="E27" s="385"/>
      <c r="F27" s="385"/>
      <c r="G27" s="385"/>
      <c r="H27" s="385"/>
      <c r="I27" s="385"/>
      <c r="J27" s="385"/>
      <c r="K27" s="385"/>
      <c r="L27" s="385"/>
      <c r="M27" s="385"/>
      <c r="N27" s="385"/>
      <c r="O27" s="385"/>
    </row>
    <row r="28" spans="1:15" ht="13.8" x14ac:dyDescent="0.25">
      <c r="A28" s="497">
        <v>2012</v>
      </c>
      <c r="B28" s="510">
        <v>59</v>
      </c>
      <c r="C28" s="492">
        <f t="shared" si="2"/>
        <v>1104</v>
      </c>
      <c r="D28" s="385"/>
      <c r="E28" s="385"/>
      <c r="F28" s="385"/>
      <c r="G28" s="385"/>
      <c r="H28" s="385"/>
      <c r="I28" s="385"/>
      <c r="J28" s="385"/>
      <c r="K28" s="385"/>
      <c r="L28" s="385"/>
      <c r="M28" s="385"/>
      <c r="N28" s="385"/>
      <c r="O28" s="385"/>
    </row>
    <row r="29" spans="1:15" ht="13.8" x14ac:dyDescent="0.25">
      <c r="A29" s="497"/>
      <c r="B29" s="510">
        <v>53</v>
      </c>
      <c r="C29" s="492">
        <f t="shared" si="2"/>
        <v>1157</v>
      </c>
      <c r="D29" s="385"/>
      <c r="E29" s="385"/>
      <c r="F29" s="385"/>
      <c r="G29" s="385"/>
      <c r="H29" s="385"/>
      <c r="I29" s="385"/>
      <c r="J29" s="385"/>
      <c r="K29" s="385"/>
      <c r="L29" s="385"/>
      <c r="M29" s="385"/>
      <c r="N29" s="385"/>
      <c r="O29" s="385"/>
    </row>
    <row r="30" spans="1:15" ht="13.8" x14ac:dyDescent="0.25">
      <c r="A30" s="498">
        <v>2014</v>
      </c>
      <c r="B30" s="510">
        <v>44</v>
      </c>
      <c r="C30" s="492">
        <f t="shared" si="2"/>
        <v>1201</v>
      </c>
      <c r="D30" s="385"/>
      <c r="E30" s="385"/>
      <c r="F30" s="385"/>
      <c r="G30" s="385"/>
      <c r="H30" s="385"/>
      <c r="I30" s="385"/>
      <c r="J30" s="385"/>
      <c r="K30" s="385"/>
      <c r="L30" s="385"/>
      <c r="M30" s="385"/>
      <c r="N30" s="385"/>
      <c r="O30" s="385"/>
    </row>
    <row r="31" spans="1:15" ht="13.8" x14ac:dyDescent="0.25">
      <c r="A31" s="498"/>
      <c r="B31" s="510">
        <v>58</v>
      </c>
      <c r="C31" s="492">
        <f t="shared" si="2"/>
        <v>1259</v>
      </c>
      <c r="D31" s="385"/>
      <c r="E31" s="385"/>
      <c r="F31" s="385"/>
      <c r="G31" s="385"/>
      <c r="H31" s="385"/>
      <c r="I31" s="385"/>
      <c r="J31" s="385"/>
      <c r="K31" s="385"/>
      <c r="L31" s="385"/>
      <c r="M31" s="385"/>
      <c r="N31" s="385"/>
      <c r="O31" s="385"/>
    </row>
    <row r="32" spans="1:15" ht="13.8" x14ac:dyDescent="0.25">
      <c r="A32" s="498">
        <v>2016</v>
      </c>
      <c r="B32" s="510">
        <v>59</v>
      </c>
      <c r="C32" s="492">
        <f t="shared" si="2"/>
        <v>1318</v>
      </c>
      <c r="D32" s="385"/>
      <c r="E32" s="385"/>
      <c r="F32" s="385"/>
      <c r="G32" s="385"/>
      <c r="H32" s="385"/>
      <c r="I32" s="385"/>
      <c r="J32" s="385"/>
      <c r="K32" s="385"/>
      <c r="L32" s="385"/>
      <c r="M32" s="385"/>
      <c r="N32" s="385"/>
      <c r="O32" s="385"/>
    </row>
    <row r="33" spans="1:15" ht="13.8" x14ac:dyDescent="0.25">
      <c r="A33" s="498"/>
      <c r="B33" s="510">
        <v>73</v>
      </c>
      <c r="C33" s="492">
        <f t="shared" si="2"/>
        <v>1391</v>
      </c>
      <c r="D33" s="385"/>
      <c r="E33" s="385"/>
      <c r="F33" s="385"/>
      <c r="G33" s="385"/>
      <c r="H33" s="385"/>
      <c r="I33" s="385"/>
      <c r="J33" s="385"/>
      <c r="K33" s="385"/>
      <c r="L33" s="385"/>
      <c r="M33" s="385"/>
      <c r="N33" s="385"/>
      <c r="O33" s="385"/>
    </row>
    <row r="34" spans="1:15" ht="13.8" x14ac:dyDescent="0.25">
      <c r="A34" s="498">
        <v>2018</v>
      </c>
      <c r="B34" s="510">
        <v>61</v>
      </c>
      <c r="C34" s="492">
        <f t="shared" si="2"/>
        <v>1452</v>
      </c>
      <c r="D34" s="385"/>
      <c r="E34" s="385"/>
      <c r="F34" s="385"/>
      <c r="G34" s="385"/>
      <c r="H34" s="385"/>
      <c r="I34" s="385"/>
      <c r="J34" s="385"/>
      <c r="K34" s="385"/>
      <c r="L34" s="385"/>
      <c r="M34" s="385"/>
      <c r="N34" s="385"/>
      <c r="O34" s="385"/>
    </row>
    <row r="35" spans="1:15" ht="13.8" x14ac:dyDescent="0.25">
      <c r="A35" s="498"/>
      <c r="B35" s="510">
        <v>46</v>
      </c>
      <c r="C35" s="492">
        <f t="shared" si="2"/>
        <v>1498</v>
      </c>
      <c r="D35" s="385"/>
      <c r="E35" s="385"/>
      <c r="F35" s="385"/>
      <c r="G35" s="385"/>
      <c r="H35" s="385"/>
      <c r="I35" s="385"/>
      <c r="J35" s="385"/>
      <c r="K35" s="385"/>
      <c r="L35" s="385"/>
      <c r="M35" s="385"/>
      <c r="N35" s="385"/>
      <c r="O35" s="385"/>
    </row>
    <row r="36" spans="1:15" ht="13.8" x14ac:dyDescent="0.25">
      <c r="A36" s="498">
        <v>2020</v>
      </c>
      <c r="B36" s="510">
        <v>39</v>
      </c>
      <c r="C36" s="492">
        <f t="shared" si="2"/>
        <v>1537</v>
      </c>
      <c r="D36" s="385"/>
      <c r="E36" s="385"/>
      <c r="F36" s="385"/>
      <c r="G36" s="385"/>
      <c r="H36" s="385"/>
      <c r="I36" s="385"/>
      <c r="J36" s="385"/>
      <c r="K36" s="385"/>
      <c r="L36" s="385"/>
      <c r="M36" s="385"/>
      <c r="N36" s="385"/>
      <c r="O36" s="385"/>
    </row>
    <row r="37" spans="1:15" ht="13.8" x14ac:dyDescent="0.25">
      <c r="A37" s="498"/>
      <c r="B37" s="510">
        <v>26</v>
      </c>
      <c r="C37" s="492">
        <f t="shared" si="2"/>
        <v>1563</v>
      </c>
      <c r="D37" s="385"/>
      <c r="E37" s="385"/>
      <c r="F37" s="385"/>
      <c r="G37" s="385"/>
      <c r="H37" s="385"/>
      <c r="I37" s="385"/>
      <c r="J37" s="385"/>
      <c r="K37" s="385"/>
      <c r="L37" s="385"/>
      <c r="M37" s="385"/>
      <c r="N37" s="385"/>
      <c r="O37" s="385"/>
    </row>
    <row r="38" spans="1:15" ht="13.8" x14ac:dyDescent="0.25">
      <c r="A38" s="497">
        <v>2022</v>
      </c>
      <c r="B38" s="510">
        <v>39</v>
      </c>
      <c r="C38" s="492">
        <f t="shared" si="2"/>
        <v>1602</v>
      </c>
      <c r="D38" s="385"/>
      <c r="E38" s="385"/>
      <c r="F38" s="385"/>
      <c r="G38" s="385"/>
      <c r="H38" s="385"/>
      <c r="I38" s="385"/>
      <c r="J38" s="385"/>
      <c r="K38" s="385"/>
      <c r="L38" s="385"/>
      <c r="M38" s="385"/>
      <c r="N38" s="385"/>
      <c r="O38" s="385"/>
    </row>
    <row r="39" spans="1:15" ht="13.8" x14ac:dyDescent="0.25">
      <c r="A39" s="497"/>
      <c r="B39" s="510">
        <v>38</v>
      </c>
      <c r="C39" s="492">
        <f t="shared" si="2"/>
        <v>1640</v>
      </c>
      <c r="D39" s="385"/>
      <c r="E39" s="385"/>
      <c r="F39" s="385"/>
      <c r="G39" s="385"/>
      <c r="H39" s="385"/>
      <c r="I39" s="385"/>
      <c r="J39" s="385"/>
      <c r="K39" s="385"/>
      <c r="L39" s="385"/>
      <c r="M39" s="385"/>
      <c r="N39" s="385"/>
      <c r="O39" s="385"/>
    </row>
    <row r="40" spans="1:15" ht="13.8" x14ac:dyDescent="0.25">
      <c r="A40" s="497">
        <v>2024</v>
      </c>
      <c r="B40" s="510">
        <v>40</v>
      </c>
      <c r="C40" s="492">
        <f t="shared" si="2"/>
        <v>1680</v>
      </c>
      <c r="D40" s="386"/>
      <c r="E40" s="385"/>
      <c r="F40" s="385"/>
      <c r="G40" s="385"/>
      <c r="H40" s="385"/>
      <c r="I40" s="385"/>
      <c r="J40" s="385"/>
      <c r="K40" s="385"/>
      <c r="L40" s="385"/>
      <c r="M40" s="385"/>
      <c r="N40" s="385"/>
      <c r="O40" s="385"/>
    </row>
    <row r="41" spans="1:15" ht="13.8" x14ac:dyDescent="0.25">
      <c r="A41" s="497"/>
      <c r="B41" s="510"/>
      <c r="C41" s="492"/>
      <c r="D41" s="385"/>
      <c r="E41" s="385"/>
      <c r="F41" s="385"/>
      <c r="G41" s="385"/>
      <c r="H41" s="385"/>
      <c r="I41" s="385"/>
      <c r="J41" s="385"/>
      <c r="K41" s="385"/>
      <c r="L41" s="385"/>
      <c r="M41" s="385"/>
      <c r="N41" s="385"/>
      <c r="O41" s="385"/>
    </row>
    <row r="42" spans="1:15" ht="13.8" x14ac:dyDescent="0.25">
      <c r="A42" s="497">
        <v>2026</v>
      </c>
      <c r="B42" s="510"/>
      <c r="C42" s="492"/>
      <c r="D42" s="385"/>
      <c r="E42" s="385"/>
      <c r="F42" s="385"/>
      <c r="G42" s="385"/>
      <c r="H42" s="385"/>
      <c r="I42" s="385"/>
      <c r="J42" s="385"/>
      <c r="K42" s="385"/>
      <c r="L42" s="385"/>
      <c r="M42" s="385"/>
      <c r="N42" s="385"/>
      <c r="O42" s="385"/>
    </row>
    <row r="43" spans="1:15" ht="13.8" x14ac:dyDescent="0.25">
      <c r="A43" s="499"/>
      <c r="B43" s="510"/>
      <c r="C43" s="492"/>
      <c r="D43" s="385"/>
      <c r="E43" s="385"/>
      <c r="F43" s="385"/>
      <c r="G43" s="385"/>
      <c r="H43" s="385"/>
      <c r="I43" s="385"/>
      <c r="J43" s="385"/>
      <c r="K43" s="385"/>
      <c r="L43" s="385"/>
      <c r="M43" s="385"/>
      <c r="N43" s="385"/>
      <c r="O43" s="385"/>
    </row>
    <row r="44" spans="1:15" x14ac:dyDescent="0.25">
      <c r="A44" s="500"/>
      <c r="B44" s="511"/>
      <c r="C44" s="493"/>
      <c r="D44" s="385"/>
      <c r="E44" s="385"/>
      <c r="F44" s="385"/>
      <c r="G44" s="385"/>
      <c r="H44" s="385"/>
      <c r="I44" s="385"/>
      <c r="J44" s="385"/>
      <c r="K44" s="385"/>
      <c r="L44" s="385"/>
      <c r="M44" s="385"/>
      <c r="N44" s="385"/>
      <c r="O44" s="385"/>
    </row>
    <row r="45" spans="1:15" x14ac:dyDescent="0.25">
      <c r="A45" s="500"/>
      <c r="B45" s="512"/>
      <c r="C45" s="494"/>
      <c r="D45" s="385"/>
      <c r="E45" s="476" t="s">
        <v>2292</v>
      </c>
      <c r="F45" s="477"/>
      <c r="G45" s="478" t="s">
        <v>2293</v>
      </c>
      <c r="H45" s="479" t="s">
        <v>2294</v>
      </c>
      <c r="I45" s="480" t="s">
        <v>2295</v>
      </c>
      <c r="J45" s="385"/>
      <c r="K45" s="385"/>
      <c r="L45" s="385"/>
      <c r="M45" s="385"/>
      <c r="N45" s="385"/>
      <c r="O45" s="385"/>
    </row>
    <row r="46" spans="1:15" x14ac:dyDescent="0.25">
      <c r="A46" s="500"/>
      <c r="B46" s="512"/>
      <c r="C46" s="494"/>
      <c r="D46" s="385"/>
      <c r="E46" s="385" t="s">
        <v>2296</v>
      </c>
      <c r="F46" s="385"/>
      <c r="G46" s="385" t="s">
        <v>2297</v>
      </c>
      <c r="H46" s="385"/>
      <c r="I46" s="385" t="s">
        <v>2298</v>
      </c>
      <c r="J46" s="385"/>
      <c r="K46" s="385"/>
      <c r="L46" s="385"/>
      <c r="M46" s="385"/>
      <c r="N46" s="385"/>
      <c r="O46" s="385"/>
    </row>
    <row r="47" spans="1:15" x14ac:dyDescent="0.25">
      <c r="A47" s="500"/>
      <c r="B47" s="512"/>
      <c r="C47" s="494"/>
      <c r="D47" s="385"/>
      <c r="E47" s="385" t="s">
        <v>2299</v>
      </c>
      <c r="F47" s="385"/>
      <c r="G47" s="385" t="s">
        <v>2300</v>
      </c>
      <c r="H47" s="385"/>
      <c r="I47" s="385" t="s">
        <v>2301</v>
      </c>
      <c r="J47" s="385"/>
      <c r="L47" s="385"/>
      <c r="M47" s="385"/>
      <c r="N47" s="385"/>
      <c r="O47" s="385"/>
    </row>
    <row r="48" spans="1:15" x14ac:dyDescent="0.25">
      <c r="A48" s="500"/>
      <c r="B48" s="512"/>
      <c r="C48" s="494"/>
      <c r="D48" s="385"/>
      <c r="E48" s="385" t="s">
        <v>2302</v>
      </c>
      <c r="F48" s="385"/>
      <c r="G48" s="385"/>
      <c r="H48" s="385"/>
      <c r="I48" s="385"/>
      <c r="J48" s="385"/>
      <c r="K48" s="385"/>
      <c r="L48" s="385"/>
      <c r="M48" s="385"/>
      <c r="N48" s="385"/>
      <c r="O48" s="385"/>
    </row>
  </sheetData>
  <customSheetViews>
    <customSheetView guid="{5F8FD084-40FB-49AA-B447-CD935F604D55}" topLeftCell="A44">
      <selection activeCell="A2" sqref="A2"/>
      <pageMargins left="0.7" right="0.7" top="0.75" bottom="0.75" header="0.3" footer="0.3"/>
    </customSheetView>
    <customSheetView guid="{5FD7D287-AC38-49FE-8AA5-C4506E353DCC}" showPageBreaks="1">
      <selection activeCell="E4" sqref="E4"/>
      <pageMargins left="0.7" right="0.7" top="0.75" bottom="0.75" header="0.3" footer="0.3"/>
    </customSheetView>
  </customSheetViews>
  <mergeCells count="1">
    <mergeCell ref="F2:O4"/>
  </mergeCell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03F6E0-0545-4CEC-8B3F-3B07D412CFAC}">
  <sheetPr codeName="Sheet3">
    <tabColor theme="2" tint="-0.499984740745262"/>
  </sheetPr>
  <dimension ref="A1:N35"/>
  <sheetViews>
    <sheetView view="pageBreakPreview" zoomScaleNormal="75" zoomScaleSheetLayoutView="100" workbookViewId="0">
      <selection activeCell="B21" sqref="B21"/>
    </sheetView>
  </sheetViews>
  <sheetFormatPr defaultColWidth="8.88671875" defaultRowHeight="13.2" x14ac:dyDescent="0.25"/>
  <cols>
    <col min="1" max="1" width="13.5546875" style="131" customWidth="1"/>
    <col min="2" max="2" width="19" style="152" customWidth="1"/>
    <col min="3" max="3" width="8.88671875" style="131" customWidth="1"/>
    <col min="4" max="12" width="8.88671875" style="131"/>
    <col min="13" max="13" width="9.6640625" style="131" customWidth="1"/>
    <col min="14" max="14" width="8.88671875" style="131" customWidth="1"/>
    <col min="15" max="16384" width="8.88671875" style="131"/>
  </cols>
  <sheetData>
    <row r="1" spans="1:14" x14ac:dyDescent="0.25">
      <c r="A1" s="1270" t="s">
        <v>2283</v>
      </c>
      <c r="B1" s="1271"/>
      <c r="C1" s="481"/>
      <c r="D1" s="481"/>
      <c r="E1" s="481"/>
      <c r="F1" s="481"/>
      <c r="G1" s="481"/>
      <c r="H1" s="481"/>
      <c r="I1" s="481"/>
      <c r="J1" s="481"/>
      <c r="K1" s="481"/>
      <c r="L1" s="481"/>
      <c r="M1" s="481"/>
      <c r="N1" s="481"/>
    </row>
    <row r="2" spans="1:14" x14ac:dyDescent="0.25">
      <c r="A2" s="1272"/>
      <c r="B2" s="1273"/>
      <c r="C2" s="481"/>
      <c r="D2" s="481"/>
      <c r="E2" s="481"/>
      <c r="F2" s="481"/>
      <c r="G2" s="481"/>
      <c r="H2" s="481"/>
      <c r="I2" s="481"/>
      <c r="J2" s="481"/>
      <c r="K2" s="481"/>
      <c r="L2" s="481"/>
      <c r="M2" s="481"/>
      <c r="N2" s="481"/>
    </row>
    <row r="3" spans="1:14" ht="24.6" customHeight="1" x14ac:dyDescent="0.25">
      <c r="A3" s="515" t="s">
        <v>3604</v>
      </c>
      <c r="B3" s="495" t="s">
        <v>2284</v>
      </c>
      <c r="C3" s="481"/>
      <c r="D3" s="481"/>
      <c r="E3" s="481"/>
      <c r="F3" s="481"/>
      <c r="G3" s="481"/>
      <c r="H3" s="481"/>
      <c r="I3" s="481"/>
      <c r="J3" s="481"/>
      <c r="K3" s="481"/>
      <c r="L3" s="481"/>
      <c r="M3" s="481"/>
      <c r="N3" s="481"/>
    </row>
    <row r="4" spans="1:14" x14ac:dyDescent="0.25">
      <c r="A4" s="514" t="s">
        <v>1082</v>
      </c>
      <c r="B4" s="993">
        <v>18889</v>
      </c>
      <c r="C4" s="481"/>
      <c r="D4" s="481"/>
      <c r="E4" s="481"/>
      <c r="F4" s="481"/>
      <c r="G4" s="481"/>
      <c r="H4" s="481"/>
      <c r="I4" s="481"/>
      <c r="J4" s="481"/>
      <c r="K4" s="481"/>
      <c r="L4" s="481"/>
      <c r="M4" s="481"/>
      <c r="N4" s="481"/>
    </row>
    <row r="5" spans="1:14" x14ac:dyDescent="0.25">
      <c r="A5" s="514" t="s">
        <v>1083</v>
      </c>
      <c r="B5" s="993">
        <v>30036</v>
      </c>
      <c r="C5" s="481"/>
      <c r="D5" s="481"/>
      <c r="E5" s="481"/>
      <c r="F5" s="481"/>
      <c r="G5" s="481"/>
      <c r="H5" s="481"/>
      <c r="I5" s="481"/>
      <c r="J5" s="481"/>
      <c r="K5" s="481"/>
      <c r="L5" s="481"/>
      <c r="M5" s="481"/>
      <c r="N5" s="481"/>
    </row>
    <row r="6" spans="1:14" x14ac:dyDescent="0.25">
      <c r="A6" s="514" t="s">
        <v>1084</v>
      </c>
      <c r="B6" s="993">
        <v>29832</v>
      </c>
      <c r="C6" s="481"/>
      <c r="D6" s="481"/>
      <c r="E6" s="481"/>
      <c r="F6" s="481"/>
      <c r="G6" s="481"/>
      <c r="H6" s="481"/>
      <c r="I6" s="481"/>
      <c r="J6" s="481"/>
      <c r="K6" s="481"/>
      <c r="L6" s="481"/>
      <c r="M6" s="481"/>
      <c r="N6" s="481"/>
    </row>
    <row r="7" spans="1:14" x14ac:dyDescent="0.25">
      <c r="A7" s="514" t="s">
        <v>1085</v>
      </c>
      <c r="B7" s="993">
        <v>31759</v>
      </c>
      <c r="C7" s="481"/>
      <c r="D7" s="481"/>
      <c r="E7" s="481"/>
      <c r="F7" s="481"/>
      <c r="G7" s="481"/>
      <c r="H7" s="481"/>
      <c r="I7" s="481"/>
      <c r="J7" s="481"/>
      <c r="K7" s="481"/>
      <c r="L7" s="481"/>
      <c r="M7" s="481"/>
      <c r="N7" s="481"/>
    </row>
    <row r="8" spans="1:14" x14ac:dyDescent="0.25">
      <c r="A8" s="514" t="s">
        <v>1086</v>
      </c>
      <c r="B8" s="993">
        <v>30810</v>
      </c>
      <c r="C8" s="481"/>
      <c r="D8" s="481"/>
      <c r="E8" s="481"/>
      <c r="F8" s="481"/>
      <c r="G8" s="481"/>
      <c r="H8" s="481"/>
      <c r="I8" s="481"/>
      <c r="J8" s="481"/>
      <c r="K8" s="481"/>
      <c r="L8" s="481"/>
      <c r="M8" s="481"/>
      <c r="N8" s="481"/>
    </row>
    <row r="9" spans="1:14" x14ac:dyDescent="0.25">
      <c r="A9" s="514" t="s">
        <v>1087</v>
      </c>
      <c r="B9" s="993">
        <v>40840</v>
      </c>
      <c r="C9" s="481"/>
      <c r="D9" s="481"/>
      <c r="E9" s="481"/>
      <c r="F9" s="481"/>
      <c r="G9" s="481"/>
      <c r="H9" s="481"/>
      <c r="I9" s="481"/>
      <c r="J9" s="481"/>
      <c r="K9" s="481"/>
      <c r="L9" s="481"/>
      <c r="M9" s="481"/>
      <c r="N9" s="481"/>
    </row>
    <row r="10" spans="1:14" x14ac:dyDescent="0.25">
      <c r="A10" s="514" t="s">
        <v>1088</v>
      </c>
      <c r="B10" s="993">
        <v>34556</v>
      </c>
      <c r="C10" s="481"/>
      <c r="D10" s="481"/>
      <c r="E10" s="481"/>
      <c r="F10" s="481"/>
      <c r="G10" s="481"/>
      <c r="H10" s="481"/>
      <c r="I10" s="481"/>
      <c r="J10" s="481"/>
      <c r="K10" s="481"/>
      <c r="L10" s="481"/>
      <c r="M10" s="481"/>
      <c r="N10" s="481"/>
    </row>
    <row r="11" spans="1:14" x14ac:dyDescent="0.25">
      <c r="A11" s="514" t="s">
        <v>1089</v>
      </c>
      <c r="B11" s="993">
        <v>35822</v>
      </c>
      <c r="C11" s="481"/>
      <c r="D11" s="481"/>
      <c r="E11" s="481"/>
      <c r="F11" s="481"/>
      <c r="G11" s="481"/>
      <c r="H11" s="481"/>
      <c r="I11" s="481"/>
      <c r="J11" s="481"/>
      <c r="K11" s="481"/>
      <c r="L11" s="481"/>
      <c r="M11" s="481"/>
      <c r="N11" s="481"/>
    </row>
    <row r="12" spans="1:14" x14ac:dyDescent="0.25">
      <c r="A12" s="514" t="s">
        <v>2285</v>
      </c>
      <c r="B12" s="993">
        <v>42339</v>
      </c>
      <c r="C12" s="481"/>
      <c r="D12" s="481"/>
      <c r="E12" s="481"/>
      <c r="F12" s="481"/>
      <c r="G12" s="481"/>
      <c r="H12" s="481"/>
      <c r="I12" s="481"/>
      <c r="J12" s="481"/>
      <c r="K12" s="481"/>
      <c r="L12" s="481"/>
      <c r="M12" s="481"/>
      <c r="N12" s="481"/>
    </row>
    <row r="13" spans="1:14" x14ac:dyDescent="0.25">
      <c r="A13" s="514" t="s">
        <v>1091</v>
      </c>
      <c r="B13" s="993">
        <v>37344</v>
      </c>
      <c r="C13" s="481"/>
      <c r="D13" s="481"/>
      <c r="E13" s="481"/>
      <c r="F13" s="481"/>
      <c r="G13" s="481"/>
      <c r="H13" s="481"/>
      <c r="I13" s="481"/>
      <c r="J13" s="481"/>
      <c r="K13" s="481"/>
      <c r="L13" s="481"/>
      <c r="M13" s="481"/>
      <c r="N13" s="481"/>
    </row>
    <row r="14" spans="1:14" x14ac:dyDescent="0.25">
      <c r="A14" s="514" t="s">
        <v>1092</v>
      </c>
      <c r="B14" s="993">
        <v>41172.620000000003</v>
      </c>
      <c r="C14" s="481"/>
      <c r="D14" s="481"/>
      <c r="E14" s="481"/>
      <c r="F14" s="481"/>
      <c r="G14" s="481"/>
      <c r="H14" s="481"/>
      <c r="I14" s="481"/>
      <c r="J14" s="481"/>
      <c r="K14" s="481"/>
      <c r="L14" s="481"/>
      <c r="M14" s="481"/>
      <c r="N14" s="481"/>
    </row>
    <row r="15" spans="1:14" x14ac:dyDescent="0.25">
      <c r="A15" s="514" t="s">
        <v>1093</v>
      </c>
      <c r="B15" s="993">
        <v>36705</v>
      </c>
      <c r="C15" s="481"/>
      <c r="D15" s="481"/>
      <c r="E15" s="481"/>
      <c r="F15" s="481"/>
      <c r="G15" s="481"/>
      <c r="H15" s="481"/>
      <c r="I15" s="481"/>
      <c r="J15" s="481"/>
      <c r="K15" s="481"/>
      <c r="L15" s="481"/>
      <c r="M15" s="481"/>
      <c r="N15" s="481"/>
    </row>
    <row r="16" spans="1:14" x14ac:dyDescent="0.25">
      <c r="A16" s="514" t="s">
        <v>1094</v>
      </c>
      <c r="B16" s="993">
        <v>44429</v>
      </c>
      <c r="C16" s="481"/>
      <c r="D16" s="481"/>
      <c r="E16" s="481"/>
      <c r="F16" s="481"/>
      <c r="G16" s="481"/>
      <c r="H16" s="481"/>
      <c r="I16" s="481"/>
      <c r="J16" s="481"/>
      <c r="K16" s="481"/>
      <c r="L16" s="481"/>
      <c r="M16" s="481"/>
      <c r="N16" s="481"/>
    </row>
    <row r="17" spans="1:14" x14ac:dyDescent="0.25">
      <c r="A17" s="514" t="s">
        <v>1095</v>
      </c>
      <c r="B17" s="993">
        <v>40572</v>
      </c>
      <c r="C17" s="481"/>
      <c r="D17" s="481"/>
      <c r="E17" s="481"/>
      <c r="F17" s="481"/>
      <c r="G17" s="481"/>
      <c r="H17" s="481"/>
      <c r="I17" s="481"/>
      <c r="J17" s="481"/>
      <c r="K17" s="481"/>
      <c r="L17" s="481"/>
      <c r="M17" s="481"/>
      <c r="N17" s="481"/>
    </row>
    <row r="18" spans="1:14" x14ac:dyDescent="0.25">
      <c r="A18" s="514" t="s">
        <v>1096</v>
      </c>
      <c r="B18" s="993">
        <v>55790</v>
      </c>
      <c r="C18" s="481"/>
      <c r="D18" s="481"/>
      <c r="E18" s="481"/>
      <c r="F18" s="481"/>
      <c r="G18" s="481"/>
      <c r="H18" s="481"/>
      <c r="I18" s="481"/>
      <c r="J18" s="481"/>
      <c r="K18" s="481"/>
      <c r="L18" s="481"/>
      <c r="M18" s="481"/>
      <c r="N18" s="481"/>
    </row>
    <row r="19" spans="1:14" x14ac:dyDescent="0.25">
      <c r="A19" s="514" t="s">
        <v>1097</v>
      </c>
      <c r="B19" s="993">
        <v>43761</v>
      </c>
      <c r="C19" s="481"/>
      <c r="D19" s="481"/>
      <c r="E19" s="481"/>
      <c r="F19" s="481"/>
      <c r="G19" s="481"/>
      <c r="H19" s="481"/>
      <c r="I19" s="481"/>
      <c r="J19" s="481"/>
      <c r="K19" s="481"/>
      <c r="L19" s="481"/>
      <c r="M19" s="481"/>
      <c r="N19" s="481"/>
    </row>
    <row r="20" spans="1:14" x14ac:dyDescent="0.25">
      <c r="A20" s="514" t="s">
        <v>1098</v>
      </c>
      <c r="B20" s="993">
        <v>45640</v>
      </c>
      <c r="C20" s="481"/>
      <c r="D20" s="481"/>
      <c r="E20" s="481"/>
      <c r="F20" s="481"/>
      <c r="G20" s="481"/>
      <c r="H20" s="481"/>
      <c r="I20" s="481"/>
      <c r="J20" s="481"/>
      <c r="K20" s="481"/>
      <c r="L20" s="481"/>
      <c r="M20" s="481"/>
      <c r="N20" s="481"/>
    </row>
    <row r="21" spans="1:14" x14ac:dyDescent="0.25">
      <c r="A21" s="514" t="s">
        <v>1099</v>
      </c>
      <c r="B21" s="993">
        <v>40345</v>
      </c>
      <c r="C21" s="481"/>
      <c r="D21" s="481"/>
      <c r="E21" s="481"/>
      <c r="F21" s="481"/>
      <c r="G21" s="481"/>
      <c r="H21" s="481"/>
      <c r="I21" s="481"/>
      <c r="J21" s="481"/>
      <c r="K21" s="481"/>
      <c r="L21" s="481"/>
      <c r="M21" s="481"/>
      <c r="N21" s="481"/>
    </row>
    <row r="22" spans="1:14" x14ac:dyDescent="0.25">
      <c r="A22" s="514" t="s">
        <v>1100</v>
      </c>
      <c r="B22" s="993">
        <v>34600</v>
      </c>
      <c r="C22" s="481"/>
      <c r="D22" s="481"/>
      <c r="E22" s="481"/>
      <c r="F22" s="481"/>
      <c r="G22" s="481"/>
      <c r="H22" s="481"/>
      <c r="I22" s="481"/>
      <c r="J22" s="481"/>
      <c r="K22" s="481"/>
      <c r="L22" s="481"/>
      <c r="M22" s="481"/>
      <c r="N22" s="481"/>
    </row>
    <row r="23" spans="1:14" x14ac:dyDescent="0.25">
      <c r="A23" s="514" t="s">
        <v>2286</v>
      </c>
      <c r="B23" s="993">
        <v>39685</v>
      </c>
      <c r="C23" s="481"/>
      <c r="D23" s="481"/>
      <c r="E23" s="481"/>
      <c r="F23" s="481"/>
      <c r="G23" s="481"/>
      <c r="H23" s="481"/>
      <c r="I23" s="481"/>
      <c r="J23" s="481"/>
      <c r="K23" s="481"/>
      <c r="L23" s="481"/>
      <c r="M23" s="481"/>
      <c r="N23" s="481"/>
    </row>
    <row r="24" spans="1:14" x14ac:dyDescent="0.25">
      <c r="A24" s="514" t="s">
        <v>2287</v>
      </c>
      <c r="B24" s="994">
        <v>44975</v>
      </c>
      <c r="C24" s="481"/>
      <c r="D24" s="481"/>
      <c r="E24" s="481"/>
      <c r="F24" s="481"/>
      <c r="G24" s="481"/>
      <c r="H24" s="481"/>
      <c r="I24" s="481"/>
      <c r="J24" s="481"/>
      <c r="K24" s="481"/>
      <c r="L24" s="481"/>
      <c r="M24" s="481"/>
      <c r="N24" s="481"/>
    </row>
    <row r="25" spans="1:14" x14ac:dyDescent="0.25">
      <c r="A25" s="514" t="s">
        <v>1975</v>
      </c>
      <c r="B25" s="994">
        <v>57405</v>
      </c>
      <c r="C25" s="481"/>
      <c r="D25" s="481"/>
      <c r="E25" s="481"/>
      <c r="F25" s="481"/>
      <c r="G25" s="481"/>
      <c r="H25" s="481"/>
      <c r="I25" s="481"/>
      <c r="J25" s="481"/>
      <c r="K25" s="481"/>
      <c r="L25" s="481"/>
      <c r="M25" s="481"/>
      <c r="N25" s="481"/>
    </row>
    <row r="26" spans="1:14" x14ac:dyDescent="0.25">
      <c r="A26" s="514"/>
      <c r="B26" s="993"/>
      <c r="C26" s="481"/>
      <c r="D26" s="481"/>
      <c r="E26" s="481"/>
      <c r="F26" s="481"/>
      <c r="G26" s="481"/>
      <c r="H26" s="481"/>
      <c r="I26" s="481"/>
      <c r="J26" s="481"/>
      <c r="K26" s="481"/>
      <c r="L26" s="481"/>
      <c r="M26" s="481"/>
      <c r="N26" s="481"/>
    </row>
    <row r="27" spans="1:14" x14ac:dyDescent="0.25">
      <c r="A27" s="514"/>
      <c r="B27" s="993"/>
      <c r="C27" s="481"/>
      <c r="D27" s="481"/>
      <c r="E27" s="481"/>
      <c r="F27" s="481"/>
      <c r="G27" s="481"/>
      <c r="H27" s="481"/>
      <c r="I27" s="481"/>
      <c r="J27" s="481"/>
      <c r="K27" s="481"/>
      <c r="L27" s="481"/>
      <c r="M27" s="481"/>
      <c r="N27" s="481"/>
    </row>
    <row r="28" spans="1:14" x14ac:dyDescent="0.25">
      <c r="A28" s="514"/>
      <c r="B28" s="995"/>
      <c r="C28" s="481"/>
      <c r="D28" s="481"/>
      <c r="E28" s="481"/>
      <c r="F28" s="481"/>
      <c r="G28" s="481"/>
      <c r="H28" s="481"/>
      <c r="I28" s="481"/>
      <c r="J28" s="481"/>
      <c r="K28" s="481"/>
      <c r="L28" s="481"/>
      <c r="M28" s="481"/>
      <c r="N28" s="481"/>
    </row>
    <row r="29" spans="1:14" x14ac:dyDescent="0.25">
      <c r="A29" s="514"/>
      <c r="B29" s="995"/>
      <c r="C29" s="481"/>
      <c r="D29" s="481"/>
      <c r="E29" s="481"/>
      <c r="F29" s="481"/>
      <c r="G29" s="481"/>
      <c r="H29" s="481"/>
      <c r="I29" s="481"/>
      <c r="J29" s="481"/>
      <c r="K29" s="481"/>
      <c r="L29" s="481"/>
      <c r="M29" s="481"/>
      <c r="N29" s="481"/>
    </row>
    <row r="30" spans="1:14" x14ac:dyDescent="0.25">
      <c r="A30" s="514"/>
      <c r="B30" s="995"/>
      <c r="C30" s="481"/>
      <c r="D30" s="481"/>
      <c r="E30" s="481"/>
      <c r="F30" s="481"/>
      <c r="G30" s="481"/>
      <c r="H30" s="481"/>
      <c r="I30" s="481"/>
      <c r="J30" s="481"/>
      <c r="K30" s="481"/>
      <c r="L30" s="481"/>
      <c r="M30" s="481"/>
      <c r="N30" s="481"/>
    </row>
    <row r="31" spans="1:14" x14ac:dyDescent="0.25">
      <c r="A31" s="514"/>
      <c r="B31" s="995"/>
      <c r="C31" s="481"/>
      <c r="D31" s="481"/>
      <c r="E31" s="481"/>
      <c r="F31" s="481"/>
      <c r="G31" s="481"/>
      <c r="H31" s="481"/>
      <c r="I31" s="481"/>
      <c r="J31" s="481"/>
      <c r="K31" s="481"/>
      <c r="L31" s="481"/>
      <c r="M31" s="481"/>
      <c r="N31" s="481"/>
    </row>
    <row r="32" spans="1:14" x14ac:dyDescent="0.25">
      <c r="A32" s="514"/>
      <c r="B32" s="996"/>
      <c r="C32" s="481"/>
      <c r="D32" s="481"/>
      <c r="E32" s="481"/>
      <c r="F32" s="481"/>
      <c r="G32" s="481"/>
      <c r="H32" s="481"/>
      <c r="I32" s="481"/>
      <c r="J32" s="481"/>
      <c r="K32" s="481"/>
      <c r="L32" s="481"/>
      <c r="M32" s="481"/>
      <c r="N32" s="481"/>
    </row>
    <row r="33" spans="4:14" x14ac:dyDescent="0.25">
      <c r="N33" s="481"/>
    </row>
    <row r="34" spans="4:14" x14ac:dyDescent="0.25">
      <c r="D34" s="610" t="s">
        <v>4064</v>
      </c>
      <c r="N34" s="481"/>
    </row>
    <row r="35" spans="4:14" x14ac:dyDescent="0.25">
      <c r="D35" s="745" t="s">
        <v>4220</v>
      </c>
      <c r="E35" s="746"/>
      <c r="F35" s="746"/>
      <c r="G35" s="746"/>
      <c r="H35" s="746"/>
      <c r="N35" s="481"/>
    </row>
  </sheetData>
  <customSheetViews>
    <customSheetView guid="{5F8FD084-40FB-49AA-B447-CD935F604D55}" showPageBreaks="1" printArea="1" view="pageBreakPreview" topLeftCell="A6">
      <selection activeCell="P11" sqref="P11"/>
      <pageMargins left="0.75" right="0.75" top="1" bottom="1" header="0.5" footer="0.5"/>
      <pageSetup scale="63" orientation="portrait" r:id="rId1"/>
      <headerFooter alignWithMargins="0"/>
    </customSheetView>
    <customSheetView guid="{5FD7D287-AC38-49FE-8AA5-C4506E353DCC}" showPageBreaks="1" printArea="1" view="pageBreakPreview" topLeftCell="A6">
      <selection activeCell="D36" sqref="D36"/>
      <pageMargins left="0.75" right="0.75" top="1" bottom="1" header="0.5" footer="0.5"/>
      <pageSetup scale="63" orientation="portrait" r:id="rId2"/>
      <headerFooter alignWithMargins="0"/>
    </customSheetView>
  </customSheetViews>
  <mergeCells count="1">
    <mergeCell ref="A1:B2"/>
  </mergeCells>
  <phoneticPr fontId="61" type="noConversion"/>
  <pageMargins left="0.75" right="0.75" top="1" bottom="1" header="0.5" footer="0.5"/>
  <pageSetup scale="63" orientation="portrait" r:id="rId3"/>
  <headerFooter alignWithMargins="0"/>
  <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vt:i4>
      </vt:variant>
    </vt:vector>
  </HeadingPairs>
  <TitlesOfParts>
    <vt:vector size="16" baseType="lpstr">
      <vt:lpstr>Orders</vt:lpstr>
      <vt:lpstr>On hold</vt:lpstr>
      <vt:lpstr>Customers</vt:lpstr>
      <vt:lpstr>Org #</vt:lpstr>
      <vt:lpstr>ID #</vt:lpstr>
      <vt:lpstr>Usage</vt:lpstr>
      <vt:lpstr>Media Requests</vt:lpstr>
      <vt:lpstr>Source Requests</vt:lpstr>
      <vt:lpstr>Strains Ordered</vt:lpstr>
      <vt:lpstr>Service Revenue Breakdown</vt:lpstr>
      <vt:lpstr>Users List</vt:lpstr>
      <vt:lpstr>Institution List</vt:lpstr>
      <vt:lpstr>User Growth</vt:lpstr>
      <vt:lpstr>Summary of Revenue</vt:lpstr>
      <vt:lpstr>'Strains Ordered'!Print_Area</vt:lpstr>
      <vt:lpstr>'Summary of Revenue'!Print_Area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Kim</dc:creator>
  <cp:lastModifiedBy>Andy Kim</cp:lastModifiedBy>
  <cp:lastPrinted>2024-12-16T01:29:31Z</cp:lastPrinted>
  <dcterms:created xsi:type="dcterms:W3CDTF">2023-02-22T21:25:58Z</dcterms:created>
  <dcterms:modified xsi:type="dcterms:W3CDTF">2025-01-02T07:04:32Z</dcterms:modified>
</cp:coreProperties>
</file>